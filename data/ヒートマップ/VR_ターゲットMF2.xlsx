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1328"/>
  <workbookPr codeName="ThisWorkbook"/>
  <mc:AlternateContent>
    <mc:Choice Requires="x15">
      <x15ac:absPath xmlns:x15ac="http://schemas.microsoft.com/office/spreadsheetml/2010/11/ac" url="C:\Users\215677\Desktop\延べＴＳ対応\byDayOfTheWeek\oneHour\"/>
    </mc:Choice>
  </mc:AlternateContent>
  <xr:revisionPtr documentId="13_ncr:1_{7389DCE7-51D6-4CE8-A255-EE98714EC859}" revIDLastSave="0" xr10:uidLastSave="{00000000-0000-0000-0000-000000000000}" xr6:coauthVersionLast="41" xr6:coauthVersionMax="41"/>
  <bookViews>
    <workbookView activeTab="4" windowHeight="8270" windowWidth="15680" xWindow="12790" xr2:uid="{00000000-000D-0000-FFFF-FFFF00000000}" yWindow="1940"/>
  </bookViews>
  <sheets>
    <sheet name="TS異常値データ更新について" r:id="rId1" sheetId="14" state="visible"/>
    <sheet name="正誤表の見方" r:id="rId2" sheetId="13" state="visible"/>
    <sheet name="正誤表（ALL当週）" r:id="rId3" sheetId="12" state="visible"/>
    <sheet name="正誤表（ALL前4週）" r:id="rId4" sheetId="11" state="visible"/>
    <sheet name="メニュー" r:id="rId6" sheetId="5" state="visible"/>
    <sheet name="世帯" r:id="rId7" sheetId="1" state="visible"/>
    <sheet name="男女　３５～４９才" r:id="rId8" sheetId="8" state="visible"/>
    <sheet name="男女　３５～４９才TF" r:id="rId9" sheetId="9" state="visible"/>
  </sheets>
  <externalReferences>
    <externalReference r:id="rId12"/>
    <externalReference r:id="rId13"/>
  </externalReferences>
  <definedNames>
    <definedName hidden="1" localSheetId="3" name="_xlnm._FilterDatabase">'正誤表（ALL前4週）'!$A$4:$AJ$852</definedName>
    <definedName hidden="1" localSheetId="2" name="_xlnm._FilterDatabase">'正誤表（ALL当週）'!$A$4:$AO$601</definedName>
    <definedName hidden="1" name="_Order1">255</definedName>
    <definedName hidden="1" name="_Order2">0</definedName>
    <definedName name="ＩＯ区分">[1]入力規則!$B$1:$B$5</definedName>
    <definedName name="N1_RATE_ONE">#REF!</definedName>
    <definedName name="N2_RATE_TWO">#REF!</definedName>
    <definedName name="N3_RATE_THREE">#REF!</definedName>
    <definedName name="N4_RATE_FOUR">#REF!</definedName>
    <definedName localSheetId="7" name="_xlnm.Print_Area">'男女　３５～４９才TF'!$A$1:$AL$96</definedName>
    <definedName localSheetId="6" name="_xlnm.Print_Area">'男女　３５～４９才'!$A$1:$AL$97</definedName>
    <definedName localSheetId="5" name="_xlnm.Print_Area">世帯!$A$1:$AL$97</definedName>
    <definedName localSheetId="7" name="_xlnm.Print_Titles">'男女　３５～４９才TF'!$A$1:$XFD$5</definedName>
    <definedName localSheetId="6" name="_xlnm.Print_Titles">'男女　３５～４９才'!$A$1:$XFD$5</definedName>
    <definedName localSheetId="4" name="_xlnm.Print_Titles">メニュー!$A$1:$XFD$10</definedName>
    <definedName localSheetId="5" name="_xlnm.Print_Titles">世帯!$A$1:$XFD$5</definedName>
    <definedName name="ケーブル">#REF!</definedName>
    <definedName name="ケーブル2">#REF!</definedName>
    <definedName name="家族人数">#REF!</definedName>
    <definedName name="家族人数2">#REF!</definedName>
    <definedName name="区分">[1]入力規則!$C$1:$C$2</definedName>
    <definedName name="地域">#REF!</definedName>
    <definedName name="地域2">#REF!</definedName>
    <definedName name="変更区分">[1]入力規則!$D$1:$D$3</definedName>
    <definedName name="毎分">#REF!</definedName>
    <definedName name="有無">[1]入力規則!$A$1:$A$2</definedName>
  </definedNames>
  <calcPr calcId="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<sst xmlns="http://schemas.openxmlformats.org/spreadsheetml/2006/main" count="14905" uniqueCount="890">
  <si>
    <t xml:space="preserve"> 地    区</t>
    <rPh eb="7" sb="1">
      <t>チク</t>
    </rPh>
    <phoneticPr fontId="4"/>
  </si>
  <si>
    <t>以上</t>
    <rPh eb="2" sb="0">
      <t>イジョウ</t>
    </rPh>
    <phoneticPr fontId="4"/>
  </si>
  <si>
    <t xml:space="preserve"> 期    間</t>
    <rPh eb="7" sb="1">
      <t>キカン</t>
    </rPh>
    <phoneticPr fontId="4"/>
  </si>
  <si>
    <t xml:space="preserve"> 集計区分</t>
    <rPh eb="3" sb="1">
      <t>シュウケイ</t>
    </rPh>
    <rPh eb="5" sb="3">
      <t>クブン</t>
    </rPh>
    <phoneticPr fontId="4"/>
  </si>
  <si>
    <t>月</t>
  </si>
  <si>
    <t>火</t>
  </si>
  <si>
    <t>水</t>
  </si>
  <si>
    <t>木</t>
  </si>
  <si>
    <t>金</t>
  </si>
  <si>
    <t>土</t>
  </si>
  <si>
    <t>日</t>
  </si>
  <si>
    <t>平日平均</t>
  </si>
  <si>
    <t>週平均</t>
  </si>
  <si>
    <t>ゾーン</t>
    <phoneticPr fontId="4"/>
  </si>
  <si>
    <t>平均</t>
    <rPh eb="2" sb="0">
      <t>ヘイキン</t>
    </rPh>
    <phoneticPr fontId="4"/>
  </si>
  <si>
    <t>ゾーン</t>
  </si>
  <si>
    <t xml:space="preserve"> 5:00</t>
  </si>
  <si>
    <t xml:space="preserve"> 6:00</t>
  </si>
  <si>
    <t xml:space="preserve"> 7:00</t>
  </si>
  <si>
    <t xml:space="preserve"> 8:00</t>
  </si>
  <si>
    <t xml:space="preserve"> 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</si>
  <si>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</si>
  <si>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</si>
  <si>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</si>
  <si>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</si>
  <si>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</si>
  <si>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</si>
  <si>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</si>
  <si>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</si>
  <si>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</si>
  <si>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ゾーン</t>
    <phoneticPr fontId="4"/>
  </si>
  <si>
    <t>19:00</t>
  </si>
  <si>
    <t>20:00</t>
  </si>
  <si>
    <t>21:00</t>
  </si>
  <si>
    <t>22:00</t>
  </si>
  <si>
    <t>23:00</t>
  </si>
  <si>
    <t>24:00</t>
  </si>
  <si>
    <t>25:00</t>
  </si>
  <si>
    <t>26:00</t>
  </si>
  <si>
    <t>27:00</t>
  </si>
  <si>
    <t>28:00</t>
  </si>
  <si>
    <t>地　　区：</t>
    <phoneticPr fontId="4"/>
  </si>
  <si>
    <t>期　　間：</t>
    <phoneticPr fontId="4"/>
  </si>
  <si>
    <t>集計区分：</t>
    <rPh eb="2" sb="0">
      <t>シュウケイ</t>
    </rPh>
    <rPh eb="4" sb="2">
      <t>クブン</t>
    </rPh>
    <phoneticPr fontId="4"/>
  </si>
  <si>
    <t>月</t>
    <rPh eb="1" sb="0">
      <t>ゲツ</t>
    </rPh>
    <phoneticPr fontId="4"/>
  </si>
  <si>
    <t>火</t>
    <rPh eb="1" sb="0">
      <t>カ</t>
    </rPh>
    <phoneticPr fontId="4"/>
  </si>
  <si>
    <t>世帯のみ</t>
    <rPh eb="2" sb="0">
      <t>セタイ</t>
    </rPh>
    <phoneticPr fontId="4"/>
  </si>
  <si>
    <t>世帯＆個人</t>
    <rPh eb="2" sb="0">
      <t>セタイ</t>
    </rPh>
    <rPh eb="5" sb="3">
      <t>コジン</t>
    </rPh>
    <phoneticPr fontId="4"/>
  </si>
  <si>
    <t>調査無し</t>
    <rPh eb="2" sb="0">
      <t>チョウサ</t>
    </rPh>
    <rPh eb="3" sb="2">
      <t>ナ</t>
    </rPh>
    <phoneticPr fontId="4"/>
  </si>
  <si>
    <t>＊曜日平均は、指定された期間の平均値です。</t>
    <rPh eb="3" sb="1">
      <t>ヨウビ</t>
    </rPh>
    <rPh eb="5" sb="3">
      <t>ヘイキン</t>
    </rPh>
    <rPh eb="9" sb="7">
      <t>シテイ</t>
    </rPh>
    <rPh eb="14" sb="12">
      <t>キカン</t>
    </rPh>
    <rPh eb="17" sb="15">
      <t>ヘイキン</t>
    </rPh>
    <rPh eb="18" sb="17">
      <t>チ</t>
    </rPh>
    <phoneticPr fontId="4"/>
  </si>
  <si>
    <t>ターゲット</t>
    <phoneticPr fontId="4"/>
  </si>
  <si>
    <t>●前4週の正誤表（個人全体4歳以上）</t>
    <rPh eb="2" sb="1">
      <t>ゼン</t>
    </rPh>
    <rPh eb="4" sb="3">
      <t>シュウ</t>
    </rPh>
    <rPh eb="7" sb="5">
      <t>セイゴ</t>
    </rPh>
    <rPh eb="8" sb="7">
      <t>ヒョウ</t>
    </rPh>
    <rPh eb="17" sb="14">
      <t>サイイジョウ</t>
    </rPh>
    <phoneticPr fontId="23"/>
  </si>
  <si>
    <t>※ソート順</t>
    <rPh eb="5" sb="4">
      <t>ジュン</t>
    </rPh>
    <phoneticPr fontId="23"/>
  </si>
  <si>
    <t>地区コード、局コード、日付、開始時刻（全て昇順）</t>
    <rPh eb="2" sb="0">
      <t>チク</t>
    </rPh>
    <rPh eb="7" sb="6">
      <t>キョク</t>
    </rPh>
    <rPh eb="13" sb="11">
      <t>ヒヅケ</t>
    </rPh>
    <rPh eb="16" sb="14">
      <t>カイシ</t>
    </rPh>
    <rPh eb="18" sb="16">
      <t>ジコク</t>
    </rPh>
    <rPh eb="20" sb="19">
      <t>スベ</t>
    </rPh>
    <phoneticPr fontId="23"/>
  </si>
  <si>
    <t>前四週（修正前）</t>
    <rPh eb="3" sb="0">
      <t>ゼンヨンシュウ</t>
    </rPh>
    <rPh eb="6" sb="4">
      <t>シュウセイ</t>
    </rPh>
    <rPh eb="7" sb="6">
      <t>マエ</t>
    </rPh>
    <phoneticPr fontId="23"/>
  </si>
  <si>
    <t>前四週（修正後）</t>
    <rPh eb="3" sb="0">
      <t>ゼンヨンシュウ</t>
    </rPh>
    <rPh eb="6" sb="4">
      <t>シュウセイ</t>
    </rPh>
    <rPh eb="7" sb="6">
      <t>ゴ</t>
    </rPh>
    <phoneticPr fontId="23"/>
  </si>
  <si>
    <t>差分確認</t>
    <rPh eb="2" sb="0">
      <t>サブン</t>
    </rPh>
    <rPh eb="4" sb="2">
      <t>カクニン</t>
    </rPh>
    <phoneticPr fontId="23"/>
  </si>
  <si>
    <t>SEQ</t>
    <phoneticPr fontId="23"/>
  </si>
  <si>
    <t>地区
コード</t>
    <phoneticPr fontId="23"/>
  </si>
  <si>
    <t>地区</t>
  </si>
  <si>
    <t>局
コード</t>
    <phoneticPr fontId="23"/>
  </si>
  <si>
    <t>局</t>
  </si>
  <si>
    <t>日付</t>
  </si>
  <si>
    <t>曜日</t>
  </si>
  <si>
    <t>号数</t>
  </si>
  <si>
    <t>番組名</t>
  </si>
  <si>
    <t>開始</t>
    <phoneticPr fontId="23"/>
  </si>
  <si>
    <t>終了
(終了時点)</t>
    <rPh eb="6" sb="4">
      <t>シュウリョウ</t>
    </rPh>
    <rPh eb="8" sb="6">
      <t>ジテン</t>
    </rPh>
    <phoneticPr fontId="23"/>
  </si>
  <si>
    <t>終了時_flg</t>
    <rPh eb="3" sb="0">
      <t>シュウリョウジ</t>
    </rPh>
    <phoneticPr fontId="23"/>
  </si>
  <si>
    <t>号数</t>
    <rPh eb="2" sb="0">
      <t>ゴウスウ</t>
    </rPh>
    <phoneticPr fontId="23"/>
  </si>
  <si>
    <t>P+C7</t>
  </si>
  <si>
    <t>P</t>
  </si>
  <si>
    <t>C7</t>
  </si>
  <si>
    <t>P+C7
(終了時)</t>
  </si>
  <si>
    <t>P
(終了時)</t>
  </si>
  <si>
    <t>C7
(終了時)</t>
  </si>
  <si>
    <t>P+C7
(終了時)</t>
    <phoneticPr fontId="4"/>
  </si>
  <si>
    <t>P
(終了時)</t>
    <phoneticPr fontId="4"/>
  </si>
  <si>
    <t>C7
(終了時)</t>
    <phoneticPr fontId="4"/>
  </si>
  <si>
    <t>関東</t>
  </si>
  <si>
    <t>日本テレビ</t>
  </si>
  <si>
    <t>ＮＥＷＳ　ＺＥＲＯ</t>
  </si>
  <si>
    <t/>
  </si>
  <si>
    <t>名乗るほどではございません！・芸能人が匿名で投稿してみたら通っちゃったＳＰ</t>
  </si>
  <si>
    <t>-</t>
  </si>
  <si>
    <t>真相報道バンキシャ！</t>
  </si>
  <si>
    <t>それって！？実際どうなの課</t>
  </si>
  <si>
    <t>世界一受けたい授業１５年でこんなに変わった新常識ベスト１５</t>
  </si>
  <si>
    <t>天才！志村どうぶつ園秋の２時間スペシャル</t>
  </si>
  <si>
    <t>天才！志村どうぶつ園</t>
  </si>
  <si>
    <t>Ｓｔｏｒｉｅｓ・あなたのライフを探す家</t>
  </si>
  <si>
    <t>ｎｅｗｓ　ｅｖｅｒｙ．・第２部</t>
  </si>
  <si>
    <t>Ｈｕｌｕ傑作シアター</t>
  </si>
  <si>
    <t>第１００回全国高校サッカー選手権大会東京Ｂ決勝</t>
  </si>
  <si>
    <t>ｎｅｗｓ　ｅｖｅｒｙ．・第３部</t>
  </si>
  <si>
    <t>ＴＨＥ突破ファイル２時間ＳＰ</t>
  </si>
  <si>
    <t>人生が変わる１分間の深イイ話２時間スペシャル</t>
  </si>
  <si>
    <t>しゃべくり００７×人生が変わる１分間の深イイ話合体ＳＰ</t>
  </si>
  <si>
    <t>しゃべくり００７</t>
  </si>
  <si>
    <t>ＺＩＰ！</t>
  </si>
  <si>
    <t>ＴＢＳ</t>
  </si>
  <si>
    <t>バナナサンド</t>
  </si>
  <si>
    <t>グッとラック！・１部</t>
  </si>
  <si>
    <t>グッとラック！</t>
  </si>
  <si>
    <t>Ｌｅｔ’ｓ！美バディ</t>
  </si>
  <si>
    <t>Ｎスタ・第２部</t>
  </si>
  <si>
    <t>義母と娘のブルース・全話一挙放送ＳＰ</t>
  </si>
  <si>
    <t>スペシャルアンコール・ロンブー淳と言いたい女・私たち納得するまで買いません！</t>
  </si>
  <si>
    <t>キニナル金曜日</t>
  </si>
  <si>
    <t>ＴＨＥ　ＴＩＭＥ，・６時台</t>
  </si>
  <si>
    <t>フジテレビ</t>
  </si>
  <si>
    <t>ＫｉｎＫｉ　Ｋｉｄｓのブンブブーン</t>
  </si>
  <si>
    <t>ミライ・モンスター</t>
  </si>
  <si>
    <t>めざましどようび</t>
  </si>
  <si>
    <t>アウト×デラックス</t>
  </si>
  <si>
    <t>メディアミックスα・ＨＥＲＯ・後編</t>
  </si>
  <si>
    <t>メディアミックスα・ラジエーションハウス</t>
  </si>
  <si>
    <t>メディアミックスα・ルパンの娘</t>
  </si>
  <si>
    <t>メディアミックスα・ルパンの娘・愛の物語</t>
  </si>
  <si>
    <t>メディアミックスα・美女か野獣</t>
  </si>
  <si>
    <t>Ｌｉｖｅ　Ｎｅｗｓイット！第１部</t>
  </si>
  <si>
    <t>メディアミックスα・ディア・シスター</t>
  </si>
  <si>
    <t>メディアミックスα・イチケイのカラス</t>
  </si>
  <si>
    <t>日本全国ならではハウス</t>
  </si>
  <si>
    <t>メディアミックスα・コンフィデンスマンＪＰ</t>
  </si>
  <si>
    <t>めざましテレビ・第２部</t>
  </si>
  <si>
    <t>テレビ朝日</t>
  </si>
  <si>
    <t>熱闘甲子園</t>
  </si>
  <si>
    <t>マツコ＆有吉かりそめ天国</t>
  </si>
  <si>
    <t>グッド！モーニング・６時台</t>
  </si>
  <si>
    <t>日曜プライム・映画・臨場劇場版</t>
  </si>
  <si>
    <t>日曜プライム・ドラマスペシャル・全身刑事</t>
  </si>
  <si>
    <t>日曜プライム・ドラマスペシャル・私刑人・正義の証明</t>
  </si>
  <si>
    <t>日曜プライム・ドラマスペシャル庶務行員・多加賀主水４</t>
  </si>
  <si>
    <t>帰れマンデー見っけ隊！！</t>
  </si>
  <si>
    <t>グッド！モーニング・７時台</t>
  </si>
  <si>
    <t>クイズプレゼンバラエティーＱさま！３時間ＳＰ</t>
  </si>
  <si>
    <t>グッド！モーニング・５時台</t>
  </si>
  <si>
    <t>関西</t>
  </si>
  <si>
    <t>ＭＢＳ</t>
  </si>
  <si>
    <t>あさチャン！・第１部</t>
  </si>
  <si>
    <t>ミキＢＡＳＥ・いいね！で応援</t>
  </si>
  <si>
    <t>らいよんチャンネル</t>
  </si>
  <si>
    <t>千鳥の出没！ひな壇団</t>
  </si>
  <si>
    <t>ＡＢＣ</t>
  </si>
  <si>
    <t>ナニコレ珍百景</t>
  </si>
  <si>
    <t>ＫＴＶ</t>
  </si>
  <si>
    <t>限界調査！秘境メシ超超ベスト７</t>
  </si>
  <si>
    <t>世界フィギュアスケート選手権２０２１女子フリーダイジェスト</t>
  </si>
  <si>
    <t>芸能人が本気で考えた！ドッキリＧＰスノーマン１００日ドッキリ完結編ＳＰ</t>
  </si>
  <si>
    <t>超逆境クイズバトル！！９９人の壁ファミレス・家電・ゲーム・お笑い…社員を倒せ</t>
  </si>
  <si>
    <t>スローでイージーなルーティーンで</t>
  </si>
  <si>
    <t>ラジエーションハウス</t>
  </si>
  <si>
    <t>ルパンの娘</t>
  </si>
  <si>
    <t>ルパンの娘・最終回</t>
  </si>
  <si>
    <t>ＨＥＲＯ</t>
  </si>
  <si>
    <t>ＹＴＶ</t>
  </si>
  <si>
    <t>ザ！鉄腕！ＤＡＳＨ！！</t>
  </si>
  <si>
    <t>テレビ大阪</t>
  </si>
  <si>
    <t>アジアドラマタイム第１部・夫婦の世界</t>
  </si>
  <si>
    <t>昼サテ</t>
  </si>
  <si>
    <t>アジアドラマタイム第１部・夫婦の世界・最終回</t>
  </si>
  <si>
    <t>アジアドラマタイム第１部・黄金の庭・奪われた運命</t>
  </si>
  <si>
    <t>ドラマコレクション・名奉行遠山の金さん第２シリーズ・水戸黄門第三十九部</t>
  </si>
  <si>
    <t>１月６日・木・よる６時２５分は！最強動画ランキングＳＰ・予習復習</t>
  </si>
  <si>
    <t>ドラマコレクション・名奉行遠山の金さん第３シリーズ・水戸黄門第三十九部</t>
  </si>
  <si>
    <t>名古屋</t>
  </si>
  <si>
    <t>東海テレビ</t>
  </si>
  <si>
    <t>ドラマＯｎｅ・ＨＥＲＯ</t>
  </si>
  <si>
    <t>ドラマＯｎｅ・ルパンの娘</t>
  </si>
  <si>
    <t>Ｌｉｖｅ　Ｎｅｗｓイット！</t>
  </si>
  <si>
    <t>中京テレビ</t>
  </si>
  <si>
    <t>世界の果てまでイッテＱ！新春ＳＰ</t>
  </si>
  <si>
    <t>笑神様は突然に…２０２１新春ＳＰ</t>
  </si>
  <si>
    <t>世界の果てまでイッテＱ！</t>
  </si>
  <si>
    <t>ぐっと</t>
  </si>
  <si>
    <t>スッキリ・１部</t>
  </si>
  <si>
    <t>ウェークアップ</t>
  </si>
  <si>
    <t>北部九州</t>
  </si>
  <si>
    <t>ＫＢＣ</t>
  </si>
  <si>
    <t>木曜ドラマ・ＢＧ・身辺警護人</t>
  </si>
  <si>
    <t>木曜ドラマ・ＢＧ・身辺警護人・最終回</t>
  </si>
  <si>
    <t>羽鳥慎一モーニングショー</t>
  </si>
  <si>
    <t>ポツンと一軒家</t>
  </si>
  <si>
    <t>ＤＲＡＧＯＮ　ＣＨＥＦ２０２１</t>
  </si>
  <si>
    <t>東京オリンピック</t>
  </si>
  <si>
    <t>アサデス。ＫＢＣ　ＰＡＲＴ２</t>
  </si>
  <si>
    <t>グッド！モーニング</t>
  </si>
  <si>
    <t>バリバリサンデー１部・ポツンと一軒家</t>
  </si>
  <si>
    <t>カチタカ！プロ野球・ソフトバンク×日本ハム</t>
  </si>
  <si>
    <t>バリバリサンデー２部・マツコ＆有吉かりそめ天国</t>
  </si>
  <si>
    <t>カチタカ！プロ野球・西武×ソフトバンク</t>
  </si>
  <si>
    <t>ＲＫＢ毎日</t>
  </si>
  <si>
    <t>ごぶごぶ</t>
  </si>
  <si>
    <t>札幌</t>
  </si>
  <si>
    <t>ＨＢＣ</t>
  </si>
  <si>
    <t>最前線！密着警察２４時</t>
  </si>
  <si>
    <t>アイ・アム・冒険少年</t>
  </si>
  <si>
    <t>佐藤健＆千鳥ノブよ！この謎を解いてみろ！</t>
  </si>
  <si>
    <t>ＣＤＴＶライブ！ライブ！</t>
  </si>
  <si>
    <t>ＨＢＣ天気予報</t>
  </si>
  <si>
    <t>快適！ドキドキライフ</t>
  </si>
  <si>
    <t>今日ドキッ！・第３部・Ｎスタ</t>
  </si>
  <si>
    <t>ＳＴＶ</t>
  </si>
  <si>
    <t>どさんこワイド１７９・第２部</t>
  </si>
  <si>
    <t>情報ライブミヤネ屋</t>
  </si>
  <si>
    <t>ＨＴＢ</t>
  </si>
  <si>
    <t>木曜ミステリー・警視庁・捜査一課長</t>
  </si>
  <si>
    <t>木曜ミステリー・警視庁・捜査一課長２時間ＳＰ・最終回</t>
  </si>
  <si>
    <t>ドラマスペシャル広域警察</t>
  </si>
  <si>
    <t>木曜ミステリー・ＩＰ・サイバー捜査班初回２時間ＳＰ</t>
  </si>
  <si>
    <t>ＵＨＢ</t>
  </si>
  <si>
    <t>ダイレクトテレショップ</t>
  </si>
  <si>
    <t>ＴＶショッピング</t>
  </si>
  <si>
    <t>ショップジャパン</t>
  </si>
  <si>
    <t>マル得ジャパン</t>
  </si>
  <si>
    <t>のりゆきのトークＤＥお悩み解決！</t>
  </si>
  <si>
    <t>めざまし８</t>
  </si>
  <si>
    <t>ＴＶＨ</t>
  </si>
  <si>
    <t>土曜イベントアワー・所さんの学校では教えてくれないそこんトコロ！</t>
  </si>
  <si>
    <t>奇皇后ふたつの愛涙の誓い</t>
  </si>
  <si>
    <t>仙台</t>
  </si>
  <si>
    <t>仙台放送</t>
  </si>
  <si>
    <t>仙台放送Ｌｉｖｅ　Ｎｅｗｓイット！</t>
  </si>
  <si>
    <t>土曜プレミアム・ＥＮＧＥＩグランドスラム・笑いっぱなしの豪華４時間ＳＰ！</t>
  </si>
  <si>
    <t>芸能人が本気で考えた！ドッキリＧＰ森七菜が許せない！峯岸ガチャピンＳＰ</t>
  </si>
  <si>
    <t>超逆境クイズバトル！！９９人の壁音楽ＳＰ！ドラマ＆アニメ主題歌…貴重映像大放出</t>
  </si>
  <si>
    <t>超逆境クイズバトル！！９９人の壁</t>
  </si>
  <si>
    <t>ミヤギテレビ</t>
  </si>
  <si>
    <t>Ｉ　ＬＯＶＥみんなのどうぶつ園２時間ＳＰ</t>
  </si>
  <si>
    <t>Ｉ　ＬＯＶＥみんなのどうぶつ園</t>
  </si>
  <si>
    <t>世界一受けたい授業２時間ＳＰ</t>
  </si>
  <si>
    <t>ウルトラマンＤＡＳＨ・２部</t>
  </si>
  <si>
    <t>東日本放送</t>
  </si>
  <si>
    <t>午後のワイド劇場・弁護士・森江春策の事件３</t>
  </si>
  <si>
    <t>午後のワイド劇場・広域警察９</t>
  </si>
  <si>
    <t>午後のワイド劇場・温泉若おかみの殺人推理２３</t>
  </si>
  <si>
    <t>午後のワイド劇場・ショカツの女１０</t>
  </si>
  <si>
    <t>広島</t>
  </si>
  <si>
    <t>広島テレビ</t>
  </si>
  <si>
    <t>ハワイファイブオーシーズン３</t>
  </si>
  <si>
    <t>笑神様は突然に…２０２１初夏ＳＰ</t>
  </si>
  <si>
    <t>ザ！鉄腕！ＤＡＳＨ！！ＤＡＳＨ海岸にワカメの森＆アフリカから来た厄介者ＳＰ</t>
  </si>
  <si>
    <t>広島ホームテレビ</t>
  </si>
  <si>
    <t>ＨＯＭＥドラマランド・警視庁捜査一課長３</t>
  </si>
  <si>
    <t>ＨＯＭＥドラマランド・ＴＥＡＭ・警視庁特別犯罪捜査本部</t>
  </si>
  <si>
    <t>ＨＯＭＥドラマランド・相棒１６</t>
  </si>
  <si>
    <t>ＨＯＭＥドラマランド・科捜研の女３</t>
  </si>
  <si>
    <t>静岡</t>
  </si>
  <si>
    <t>ＳＢＳ</t>
  </si>
  <si>
    <t>ゴゴスマ・ＧＯＧＯ！Ｓｍｉｌｅ！</t>
  </si>
  <si>
    <t>カンブリア宮殿</t>
  </si>
  <si>
    <t>テレビ静岡</t>
  </si>
  <si>
    <t>関ジャニ∞クロニクルＦ</t>
  </si>
  <si>
    <t>ＴＯＫＩＯカケル</t>
  </si>
  <si>
    <t>静岡朝日テレビ</t>
  </si>
  <si>
    <t>ドラえもん</t>
  </si>
  <si>
    <t>静岡第一テレビ</t>
  </si>
  <si>
    <t>ｎｅｗｓ　ｅｖｅｒｙ．しずおか</t>
  </si>
  <si>
    <t>ズームイン！！サタデー</t>
  </si>
  <si>
    <t>長野</t>
  </si>
  <si>
    <t>信越放送</t>
  </si>
  <si>
    <t>ずくだせテレビ</t>
  </si>
  <si>
    <t>ひるおび</t>
  </si>
  <si>
    <t>長野放送</t>
  </si>
  <si>
    <t>Ｌｉｖｅ　Ｎｅｗｓ　ｉｔ！</t>
  </si>
  <si>
    <t>所さんの学校では教えてくれないそこんトコロ！</t>
  </si>
  <si>
    <t>テレビ信州</t>
  </si>
  <si>
    <t>ゆうがたＧｅｔ！・第１部</t>
  </si>
  <si>
    <t>ｎｅｗｓ　ｅｖｅｒｙ．</t>
  </si>
  <si>
    <t>柴田理恵のよってかれとやま観光開発事業団</t>
  </si>
  <si>
    <t>どこかで見たことある雰囲気バラエティー！＃っぽいネタ</t>
  </si>
  <si>
    <t>長野朝日放送</t>
  </si>
  <si>
    <t>世界フシギ動画祭り</t>
  </si>
  <si>
    <t>世界アニマル動画１００連発</t>
  </si>
  <si>
    <t>池上彰のニュースそうだったのか！！</t>
  </si>
  <si>
    <t>福島</t>
  </si>
  <si>
    <t>福島テレビ</t>
  </si>
  <si>
    <t>めざましテレビ・第３部</t>
  </si>
  <si>
    <t>新しいカギ２時間ＳＰ</t>
  </si>
  <si>
    <t>芸能人が本気で考えた！ドッキリＧＰ浜辺美波が参戦＆伝説ヒーロー集結ＳＰ</t>
  </si>
  <si>
    <t>芸能人が本気で考えた！ドッキリＧＰ</t>
  </si>
  <si>
    <t>福島中央テレビ</t>
  </si>
  <si>
    <t>ヒルナンデス！</t>
  </si>
  <si>
    <t>福島放送</t>
  </si>
  <si>
    <t>サンデーＬＩＶＥ！！・第２部</t>
  </si>
  <si>
    <t>テレビユー福島</t>
  </si>
  <si>
    <t>Ｎスタ・日曜</t>
  </si>
  <si>
    <t>所さんお届けモノです！東海道５３次制覇！？ゴール目前１時間ＳＰ</t>
  </si>
  <si>
    <t>げっきんチェック・第１部</t>
  </si>
  <si>
    <t>テレショップ</t>
  </si>
  <si>
    <t>サタデープラス</t>
  </si>
  <si>
    <t>Ｎスタふくしま</t>
  </si>
  <si>
    <t>新潟</t>
  </si>
  <si>
    <t>テレビ新潟</t>
  </si>
  <si>
    <t>新潟テレビ２１</t>
  </si>
  <si>
    <t>岡山・香川</t>
  </si>
  <si>
    <t>西日本放送</t>
  </si>
  <si>
    <t>ＲＮＣ　ｎｅｗｓ　ｅｖｅｒｙ．・第１部</t>
  </si>
  <si>
    <t>内村＆さまぁ～ずの初出しトークバラエティー笑いダネ傑作選</t>
  </si>
  <si>
    <t>瀬戸内海放送</t>
  </si>
  <si>
    <t>相棒ｓｅａｓｏｎ２０</t>
  </si>
  <si>
    <t>相棒</t>
  </si>
  <si>
    <t>テレビせとうち</t>
  </si>
  <si>
    <t>ＦＯＯＴ×ＢＲＡＩＮ</t>
  </si>
  <si>
    <t>そろそろにちようチャップリン</t>
  </si>
  <si>
    <t>熊本</t>
    <rPh eb="2" sb="0">
      <t>クマモト</t>
    </rPh>
    <phoneticPr fontId="23"/>
  </si>
  <si>
    <t>熊本放送</t>
  </si>
  <si>
    <t>ぱじゃまでシネマ・咲・Ｓａｋｉ・阿知賀編ｅｐｉｓｏｄｅ　ｏｆ　ｓｉｄｅ－Ａ</t>
  </si>
  <si>
    <t>ぱじゃまでシネマ・マイ・ボディガード</t>
  </si>
  <si>
    <t>ぱじゃまでシネマ・みとりし</t>
  </si>
  <si>
    <t>ぱじゃまでシネマ・ボクの妻と結婚してください。</t>
  </si>
  <si>
    <t>ひるおび！・午後</t>
  </si>
  <si>
    <t>３秒聴けば誰でもわかる名曲ベスト１００</t>
  </si>
  <si>
    <t>内村さまぁ～ず</t>
  </si>
  <si>
    <t>シネマナビ・映画・ヒノマルソウル・舞台裏の英雄たち</t>
  </si>
  <si>
    <t>ぱじゃまでシネマ・愚行録・編集版</t>
  </si>
  <si>
    <t>ぱじゃまでシネマ・ダーク・タイド</t>
  </si>
  <si>
    <t>中居正広のキンスマスペシャル</t>
  </si>
  <si>
    <t>金曜ドラマ・最愛</t>
  </si>
  <si>
    <t>ぱじゃまでシネマ・泣き虫ピエロの結婚式</t>
  </si>
  <si>
    <t>ぱじゃまでシネマ・ワンチャンス</t>
  </si>
  <si>
    <t>ぱじゃまでシネマ・ＳＰＩＮＮＩＮＧ　ＫＩＴＥスピニングカイト</t>
  </si>
  <si>
    <t>ぱじゃまでシネマ・ライフ・イズ・ビューティフル</t>
  </si>
  <si>
    <t>テレビ熊本</t>
  </si>
  <si>
    <t>直撃ＬＩＶＥグッディ！</t>
  </si>
  <si>
    <t>家族ゲーム</t>
  </si>
  <si>
    <t>監察医朝顔</t>
  </si>
  <si>
    <t>ＴＫＵ　Ｌｉｖｅ　Ｎｅｗｓ</t>
  </si>
  <si>
    <t>英太郎のかたらんね新春！熊本クイズ王決定戦</t>
  </si>
  <si>
    <t>バイキングＭＯＲＥ</t>
  </si>
  <si>
    <t>ＫＫＴ</t>
  </si>
  <si>
    <t>ＮＮＮ未来へのチカラミヤネ屋×ｅｖｅｒｙ．×ｚｅｒｏ×バンキシャ！特別版・２部</t>
  </si>
  <si>
    <t>二月の勝者・絶対合格の教室・最終回</t>
  </si>
  <si>
    <t>ニノさんクリスマスダービーＳＰ</t>
  </si>
  <si>
    <t>月曜から夜ふかし・２０２２元日スペシャル</t>
  </si>
  <si>
    <t>マツコ会議ＳＰ！</t>
  </si>
  <si>
    <t>モクドラＦ・ケイ×ヤク・あぶない相棒</t>
  </si>
  <si>
    <t>ガイド</t>
  </si>
  <si>
    <t>熊本朝日放送</t>
  </si>
  <si>
    <t>相棒ｓｅａｓｏｎ１９</t>
  </si>
  <si>
    <t>エイジハラスメント</t>
  </si>
  <si>
    <t>大下容子ワイド！スクランブル・第１部</t>
  </si>
  <si>
    <t>ビートたけしのＴＶタックル</t>
  </si>
  <si>
    <t>クイズプレゼンバラエティーＱさま！</t>
  </si>
  <si>
    <t>１０万円でできるかな</t>
  </si>
  <si>
    <t>帰れマンデー見っけ隊！！３時間ＳＰ</t>
  </si>
  <si>
    <t>報道ステーション</t>
  </si>
  <si>
    <t>アメトーーーーーーーーーーーク！年末５時間４０分ＳＰ</t>
  </si>
  <si>
    <t>鹿児島</t>
    <rPh eb="3" sb="0">
      <t>カゴシマ</t>
    </rPh>
    <phoneticPr fontId="23"/>
  </si>
  <si>
    <t>鹿児島テレビ</t>
  </si>
  <si>
    <t>壁をぶち破れ・男子新体操美を追いかけたコーチと選手</t>
  </si>
  <si>
    <t>ひとまかせ総本山まるなげ寺</t>
  </si>
  <si>
    <t>終着駅からはじめちゃう？！・満腹＆ハプニング！サンドが行くローカル線</t>
  </si>
  <si>
    <t>さんまのまんまＳＰ特別編</t>
  </si>
  <si>
    <t>ワンピース</t>
  </si>
  <si>
    <t>めざましテレビ・第１部</t>
  </si>
  <si>
    <t>北京オリンピック</t>
  </si>
  <si>
    <t>鹿児島放送</t>
  </si>
  <si>
    <t>サタデーステーション</t>
  </si>
  <si>
    <t>上沼恵美子のおしゃべりクッキング</t>
  </si>
  <si>
    <t>ＫＫＢスペシャル１・ＴＨＥカラオケ・バトル</t>
  </si>
  <si>
    <t>ＫＫＢスペシャル１・ナゼそこ？３時間半ＳＰ</t>
  </si>
  <si>
    <t>ＫＫＢスペシャル１・ナゼそこ？２時間ＳＰ</t>
  </si>
  <si>
    <t>ひる・スペ！・山村美紗サスペンス京都・どうぶつツアー殺人事件</t>
  </si>
  <si>
    <t>ひる・スペ！・内田康夫サスペンス・警視庁岡部班２</t>
  </si>
  <si>
    <t>ひる・スペ！・遺留捜査３</t>
  </si>
  <si>
    <t>ひる・スペ！・女王の法医学・屍活師</t>
  </si>
  <si>
    <t>探偵！ナイトスクープ年忘れファン感謝祭２０２１</t>
  </si>
  <si>
    <t>鹿児島読売テレビ</t>
  </si>
  <si>
    <t>ズームイン！！サタデー・第２部</t>
  </si>
  <si>
    <t>いろはに千鳥</t>
  </si>
  <si>
    <t>長崎</t>
    <rPh eb="2" sb="0">
      <t>ナガサキ</t>
    </rPh>
    <phoneticPr fontId="23"/>
  </si>
  <si>
    <t>長崎放送</t>
  </si>
  <si>
    <t>ひるおび！・午前</t>
  </si>
  <si>
    <t>Ｐｉｎｔ・１部</t>
  </si>
  <si>
    <t>天気予報</t>
  </si>
  <si>
    <t>テレビ長崎</t>
  </si>
  <si>
    <t>ノンストップ！</t>
  </si>
  <si>
    <t>マルっと！１部</t>
  </si>
  <si>
    <t>超ド級！世界のありえない映像大賞</t>
  </si>
  <si>
    <t>クイズ！ドレミファドン冬ドラマ豪華俳優陣が激突！新春ＳＰ</t>
  </si>
  <si>
    <t>奇跡体験！アンビリバボー仰天家族！マサカの結末２時間ＳＰ</t>
  </si>
  <si>
    <t>千鳥のクセがスゴいネタＧＰ</t>
  </si>
  <si>
    <t>長崎文化放送</t>
  </si>
  <si>
    <t>関ジャム完全燃ＳＨＯＷ</t>
  </si>
  <si>
    <t>サンデーステーション・短縮版</t>
  </si>
  <si>
    <t>金沢</t>
    <rPh eb="2" sb="0">
      <t>カナザワ</t>
    </rPh>
    <phoneticPr fontId="23"/>
  </si>
  <si>
    <t>北陸放送</t>
  </si>
  <si>
    <t>アピールちゃん巨大な壁突破２時間スペシャル</t>
  </si>
  <si>
    <t>石川テレビ</t>
  </si>
  <si>
    <t>池上彰ＶＳ天才キッズ・忖度なしの疑問に答えます</t>
  </si>
  <si>
    <t>春の高校バレー</t>
  </si>
  <si>
    <t>ごご・プレ・コンフィデンスマンＪＰ</t>
  </si>
  <si>
    <t>テレビ金沢</t>
  </si>
  <si>
    <t>世界まる見え！テレビ特捜部</t>
  </si>
  <si>
    <t>ＤＲＡＭＡＴＩＣ　ＢＡＳＥＢＡＬＬ２０２０・巨人×阪神</t>
  </si>
  <si>
    <t>ぐるぐるナインティナイン２時間ＳＰ</t>
  </si>
  <si>
    <t>世界まる見え！テレビ特捜部２時間ＳＰ</t>
  </si>
  <si>
    <t>ＴＨＥ突破ファイル</t>
  </si>
  <si>
    <t>テレビショッピング</t>
  </si>
  <si>
    <t>山形</t>
    <rPh eb="2" sb="0">
      <t>ヤマガタ</t>
    </rPh>
    <phoneticPr fontId="23"/>
  </si>
  <si>
    <t>さくらんぼテレビ</t>
  </si>
  <si>
    <t>芸能人が本気で考えた！ドッキリＧＰ鬼ババアに追いかけられて絶体絶命ＳＰ</t>
  </si>
  <si>
    <t>２０２１プロ野球日本シリーズ・オリックス×ヤクルト・第１戦</t>
  </si>
  <si>
    <t>岩手</t>
    <rPh eb="2" sb="0">
      <t>イワテ</t>
    </rPh>
    <phoneticPr fontId="23"/>
  </si>
  <si>
    <t>ＩＢＣ岩手放送</t>
  </si>
  <si>
    <t>Ｎスタ</t>
  </si>
  <si>
    <t>ＩＢＣ時代劇シリーズ・水戸黄門第３９部</t>
  </si>
  <si>
    <t>日曜劇場・ＴＯＫＹＯ　ＭＥＲ・走る緊急救命室</t>
  </si>
  <si>
    <t>林家たい平のラーメンの噺・特別編</t>
  </si>
  <si>
    <t>ＩＢＣ時代劇シリーズ・水戸黄門第２４部</t>
  </si>
  <si>
    <t>オオカミ少年</t>
  </si>
  <si>
    <t>ザ・ベストワンＳＰ</t>
  </si>
  <si>
    <t>ＷＢＯ世界スーパーフライ級タイトルマッチ・井岡一翔×福永亮次</t>
  </si>
  <si>
    <t>テレビ岩手</t>
  </si>
  <si>
    <t>２４時間テレビ４３愛は地球を救うＰＡＲＴ１０</t>
  </si>
  <si>
    <t>世界！ニッポン行きたい人応援団</t>
  </si>
  <si>
    <t>岩手めんこいテレビ</t>
  </si>
  <si>
    <t>鳥取・島根</t>
  </si>
  <si>
    <t>日本海テレビ</t>
  </si>
  <si>
    <t>チョコプラアキタメシ</t>
  </si>
  <si>
    <t>ＢＳＳテレビ</t>
  </si>
  <si>
    <t>トロピカル～ジュ！プリキュア</t>
  </si>
  <si>
    <t>さんいん中央テレビ</t>
  </si>
  <si>
    <t>新しいカギ２週連続２時間ＳＰ</t>
  </si>
  <si>
    <t>もうすぐウワサのお客さま</t>
  </si>
  <si>
    <t>愛媛</t>
    <rPh eb="2" sb="0">
      <t>エヒメ</t>
    </rPh>
    <phoneticPr fontId="23"/>
  </si>
  <si>
    <t>テレビ愛媛</t>
  </si>
  <si>
    <t>Ｓ－ＰＡＲＫ</t>
  </si>
  <si>
    <t>イイものショッピングゥ～！</t>
  </si>
  <si>
    <t>富山</t>
    <rPh eb="2" sb="0">
      <t>トヤマ</t>
    </rPh>
    <phoneticPr fontId="23"/>
  </si>
  <si>
    <t>北日本放送</t>
  </si>
  <si>
    <t>いっちゃん！ＫＮＢ・２部</t>
  </si>
  <si>
    <t>いっちゃん！ＫＮＢ・１部</t>
  </si>
  <si>
    <t>まさかの！？二枚看板！！気になる店を大調査！！</t>
  </si>
  <si>
    <t>秘密のケンミンＳＨＯＷ極</t>
  </si>
  <si>
    <t>浜田が豪華ゲストと専門店で新春爆買いツアー！２０２２</t>
  </si>
  <si>
    <t>そこまで言って委員会ＮＰ</t>
  </si>
  <si>
    <t>上田晋也の日本メダル話</t>
  </si>
  <si>
    <t>富山テレビ</t>
  </si>
  <si>
    <t>チューリップテレビ</t>
  </si>
  <si>
    <t>私の家政夫ナギサさん</t>
  </si>
  <si>
    <t>山口</t>
    <rPh eb="2" sb="0">
      <t>ヤマグチ</t>
    </rPh>
    <phoneticPr fontId="23"/>
  </si>
  <si>
    <t>山口放送</t>
  </si>
  <si>
    <t>テレビ山口</t>
  </si>
  <si>
    <t>Ｓ・１</t>
  </si>
  <si>
    <t>ＣＤＴＶサタデー</t>
  </si>
  <si>
    <t>山口朝日放送</t>
  </si>
  <si>
    <t>ザワつく！金曜日</t>
  </si>
  <si>
    <t>探偵！ナイトスクープ</t>
  </si>
  <si>
    <t>金曜ナイトドラマ・和田家の男たち</t>
  </si>
  <si>
    <t>ｙａｂセレクション・おみやさん５</t>
  </si>
  <si>
    <t>ｙａｂセレクション・おみやさん６</t>
  </si>
  <si>
    <t>ｙａｂセレクション・おみやさん３</t>
  </si>
  <si>
    <t>ｙａｂセレクション・おみやさん４</t>
  </si>
  <si>
    <t>秋田</t>
    <rPh eb="2" sb="0">
      <t>アキタ</t>
    </rPh>
    <phoneticPr fontId="23"/>
  </si>
  <si>
    <t>秋田テレビ</t>
  </si>
  <si>
    <t>ＦＮＮ　Ｌｉｖｅ　Ｎｅｗｓイット！</t>
  </si>
  <si>
    <t>さんタク</t>
  </si>
  <si>
    <t>秋田朝日放送</t>
  </si>
  <si>
    <t>青森</t>
    <rPh eb="2" sb="0">
      <t>アオモリ</t>
    </rPh>
    <phoneticPr fontId="23"/>
  </si>
  <si>
    <t>青森放送</t>
  </si>
  <si>
    <t>ニノさん</t>
  </si>
  <si>
    <t>メレンゲの気持ち</t>
  </si>
  <si>
    <t>空き</t>
  </si>
  <si>
    <t>ザ！世界仰天ニュース４時間ＳＰ</t>
  </si>
  <si>
    <t>踊る！さんま御殿！！秋の３時間ＳＰ</t>
  </si>
  <si>
    <t>一撃解明バラエティひと目でわかる！！初回２時間ＳＰ</t>
  </si>
  <si>
    <t>一撃解明バラエティひと目でわかる！！</t>
  </si>
  <si>
    <t>青森テレビ</t>
  </si>
  <si>
    <t>わっち！！・第１部</t>
  </si>
  <si>
    <t>テレビ診察室</t>
  </si>
  <si>
    <t>田中達也的ＭＩＮＩＡＴＵＲＥ　ＬＩＦＥ</t>
  </si>
  <si>
    <t>大分</t>
    <rPh eb="2" sb="0">
      <t>オオイタ</t>
    </rPh>
    <phoneticPr fontId="23"/>
  </si>
  <si>
    <t>大分放送</t>
  </si>
  <si>
    <t>ニンゲン観察バラエティモニタリング</t>
  </si>
  <si>
    <t>行列ゲット１０００人旅</t>
  </si>
  <si>
    <t>テレビ大分</t>
  </si>
  <si>
    <t>世界一受けたい授業</t>
  </si>
  <si>
    <t>２４時間テレビ４３愛は地球を救うＰＡＲＴ１</t>
  </si>
  <si>
    <t>ゆ～わくワイドＦＮＮ　ＴＯＳ　Ｌｉｖｅ　Ｎｅｗｓイット！</t>
  </si>
  <si>
    <t>月曜から夜ふかし</t>
  </si>
  <si>
    <t>超Ｓ級エンタメ情報マシマシＴＶ</t>
  </si>
  <si>
    <t>ファクトチェック・都市伝説で終わらせない</t>
  </si>
  <si>
    <t>大分朝日放送</t>
  </si>
  <si>
    <t>マツコ＆有吉かりそめ天国２時間ＳＰ</t>
  </si>
  <si>
    <t>ミュージックステーション</t>
  </si>
  <si>
    <t>スーパーＪチャンネル</t>
  </si>
  <si>
    <t>沖縄</t>
    <rPh eb="2" sb="0">
      <t>オキナワ</t>
    </rPh>
    <phoneticPr fontId="23"/>
  </si>
  <si>
    <t>沖縄テレビ</t>
  </si>
  <si>
    <t>ナインティナインのコツコツ人生館</t>
  </si>
  <si>
    <t>一流企業が禁断のカミングアウト私、アレにやられました！</t>
  </si>
  <si>
    <t>ニッポンわが町うどんＭＡＰ３</t>
  </si>
  <si>
    <t>アニマルリスペクトＴＶ動物さまの言うとおり</t>
  </si>
  <si>
    <t>高知</t>
    <rPh eb="2" sb="0">
      <t>コウチ</t>
    </rPh>
    <phoneticPr fontId="23"/>
  </si>
  <si>
    <t>高知放送</t>
  </si>
  <si>
    <t>こうちｅｙｅ</t>
  </si>
  <si>
    <t>テレビ高知</t>
  </si>
  <si>
    <t>ホットインフォメーション</t>
  </si>
  <si>
    <t>高知さんさんテレビ</t>
  </si>
  <si>
    <t>突然ですが占ってもいいですか？ＳＰ</t>
  </si>
  <si>
    <t>ホンマでっか！？ＴＶカトパン卒業…新メンバーお披露目ＳＰ</t>
  </si>
  <si>
    <t>ナンバＭＧ５</t>
  </si>
  <si>
    <t>ナンバＭＧ５全開バリバリでヨロシク！特別編</t>
  </si>
  <si>
    <t>宮崎</t>
    <rPh eb="2" sb="0">
      <t>ミヤザキ</t>
    </rPh>
    <phoneticPr fontId="23"/>
  </si>
  <si>
    <t>ＵＭＫテレビ宮崎</t>
  </si>
  <si>
    <t>第９８回東京箱根間往復大学駅伝競走復路</t>
  </si>
  <si>
    <t>コンフィデンスマンＪＰ運勢編</t>
  </si>
  <si>
    <t>山梨</t>
    <rPh eb="2" sb="0">
      <t>ヤマナシ</t>
    </rPh>
    <phoneticPr fontId="23"/>
  </si>
  <si>
    <t>山梨放送</t>
  </si>
  <si>
    <t>シェフは名探偵・最終回</t>
  </si>
  <si>
    <t>ＪＦＡ第４５回全日本Ｕ－１２サッカー選手権大会決勝</t>
  </si>
  <si>
    <t>新春！よしもと大爆笑</t>
  </si>
  <si>
    <t>森三中＆友近の産地直行Ｔｏ徳島</t>
  </si>
  <si>
    <t>福井</t>
    <rPh eb="2" sb="0">
      <t>フクイ</t>
    </rPh>
    <phoneticPr fontId="23"/>
  </si>
  <si>
    <t>福井放送</t>
  </si>
  <si>
    <t>福井テレビ</t>
  </si>
  <si>
    <t>松坂大輔甲子園に愛された平成の怪物</t>
  </si>
  <si>
    <t>佐賀</t>
    <rPh eb="2" sb="0">
      <t>サガ</t>
    </rPh>
    <phoneticPr fontId="23"/>
  </si>
  <si>
    <t>サガテレビ</t>
  </si>
  <si>
    <t>ポップＵＰ！</t>
  </si>
  <si>
    <t>●当週の正誤表（個人全体4歳以上）</t>
    <rPh eb="3" sb="1">
      <t>トウシュウ</t>
    </rPh>
    <rPh eb="6" sb="4">
      <t>セイゴ</t>
    </rPh>
    <rPh eb="7" sb="6">
      <t>ヒョウ</t>
    </rPh>
    <phoneticPr fontId="23"/>
  </si>
  <si>
    <t>当週（修正前）</t>
    <rPh eb="2" sb="0">
      <t>トウシュウ</t>
    </rPh>
    <rPh eb="5" sb="3">
      <t>シュウセイ</t>
    </rPh>
    <rPh eb="6" sb="5">
      <t>マエ</t>
    </rPh>
    <phoneticPr fontId="23"/>
  </si>
  <si>
    <t>当週（修正後）</t>
    <rPh eb="2" sb="0">
      <t>トウシュウ</t>
    </rPh>
    <rPh eb="5" sb="3">
      <t>シュウセイ</t>
    </rPh>
    <rPh eb="6" sb="5">
      <t>ゴ</t>
    </rPh>
    <phoneticPr fontId="23"/>
  </si>
  <si>
    <t>地区コード、局コード、日付、該当時点（全て昇順）</t>
    <rPh eb="2" sb="0">
      <t>チク</t>
    </rPh>
    <rPh eb="7" sb="6">
      <t>キョク</t>
    </rPh>
    <rPh eb="13" sb="11">
      <t>ヒヅケ</t>
    </rPh>
    <rPh eb="16" sb="14">
      <t>ガイトウ</t>
    </rPh>
    <rPh eb="18" sb="16">
      <t>ジテン</t>
    </rPh>
    <rPh eb="20" sb="19">
      <t>スベ</t>
    </rPh>
    <phoneticPr fontId="23"/>
  </si>
  <si>
    <t>毎分</t>
    <rPh eb="2" sb="0">
      <t>マイフン</t>
    </rPh>
    <phoneticPr fontId="23"/>
  </si>
  <si>
    <t>P+C7</t>
    <phoneticPr fontId="23"/>
  </si>
  <si>
    <t>該当
時点</t>
    <rPh eb="2" sb="0">
      <t>ガイトウ</t>
    </rPh>
    <phoneticPr fontId="23"/>
  </si>
  <si>
    <t>cm_flg</t>
    <phoneticPr fontId="23"/>
  </si>
  <si>
    <r>
      <t xml:space="preserve">延べTS率
</t>
    </r>
    <r>
      <rPr>
        <b/>
        <sz val="8"/>
        <color theme="0"/>
        <rFont val="ＭＳ Ｐゴシック"/>
        <family val="3"/>
        <charset val="128"/>
        <scheme val="minor"/>
      </rPr>
      <t>（該当時点）</t>
    </r>
    <rPh eb="9" sb="7">
      <t>ガイトウ</t>
    </rPh>
    <rPh eb="11" sb="9">
      <t>ジテン</t>
    </rPh>
    <phoneticPr fontId="23"/>
  </si>
  <si>
    <t>C7
(終了時)</t>
    <phoneticPr fontId="23"/>
  </si>
  <si>
    <r>
      <t xml:space="preserve">延べTS率
</t>
    </r>
    <r>
      <rPr>
        <b/>
        <sz val="8"/>
        <color rgb="FFFF0000"/>
        <rFont val="ＭＳ Ｐゴシック"/>
        <family val="3"/>
        <charset val="128"/>
        <scheme val="minor"/>
      </rPr>
      <t>（該当時点）</t>
    </r>
    <rPh eb="9" sb="7">
      <t>ガイトウ</t>
    </rPh>
    <rPh eb="11" sb="9">
      <t>ジテン</t>
    </rPh>
    <phoneticPr fontId="23"/>
  </si>
  <si>
    <t>ラグビーワールドカップ２０１９日本大会・決勝イングランド×南アフリカ</t>
  </si>
  <si>
    <t>日テレポシュレ</t>
  </si>
  <si>
    <t>内村＆さまぁ～ずの初出しトークバラエティ笑いダネ第７弾</t>
  </si>
  <si>
    <t>まるっと！サタデー</t>
  </si>
  <si>
    <t>坂上＆指原のつぶれない店ＳＰ</t>
  </si>
  <si>
    <t>世界の何だコレ！？ミステリー４時間ＳＰ</t>
  </si>
  <si>
    <t>ＦＮＮ　Ｌｉｖｅ　Ｎｅｗｓ　ｄａｙｓ</t>
  </si>
  <si>
    <t>メディアミックスα・ＨＥＲＯ</t>
  </si>
  <si>
    <t>ＧＯ！ＧＯ！チャギントン</t>
  </si>
  <si>
    <t>日曜プライム・おかしな刑事京都スペシャル</t>
  </si>
  <si>
    <t>題名のない音楽会</t>
  </si>
  <si>
    <t>テレビ東京</t>
  </si>
  <si>
    <t>出川哲朗の充電させてもらえませんか？スペシャル</t>
  </si>
  <si>
    <t>有吉ぃぃｅｅｅｅｅ！・そうだ！今からお前んチでゲームしない？</t>
  </si>
  <si>
    <t>ものスタ</t>
  </si>
  <si>
    <t>ポケモンの家あつまる？</t>
  </si>
  <si>
    <t>ＮＨＫ総合</t>
  </si>
  <si>
    <t>高専ロボコン２０１６・東海北陸地区大会</t>
  </si>
  <si>
    <t>スポーツ×ヒューマン</t>
  </si>
  <si>
    <t>土曜スタジオパーク</t>
  </si>
  <si>
    <t>ＮＨＫＥテレ</t>
  </si>
  <si>
    <t>ＮＨＫ手話ニュース</t>
  </si>
  <si>
    <t>ＮＨＫ手話ニュース８４５</t>
  </si>
  <si>
    <t>囲碁フォーカス</t>
  </si>
  <si>
    <t>ごちそんぐＤＪ</t>
  </si>
  <si>
    <t>日本の話芸</t>
  </si>
  <si>
    <t>水野真紀の魔法のレストラン</t>
  </si>
  <si>
    <t>テレメンタリー２０２１</t>
  </si>
  <si>
    <t>とくダネ！</t>
  </si>
  <si>
    <t>ＶＳ嵐</t>
  </si>
  <si>
    <t>キューン！</t>
  </si>
  <si>
    <t>ダーウィンが来た！生きもの新伝説</t>
  </si>
  <si>
    <t>麒麟がくる</t>
  </si>
  <si>
    <t>ニュース</t>
  </si>
  <si>
    <t>日本夜景めぐり</t>
  </si>
  <si>
    <t>ニュースシブ５時</t>
  </si>
  <si>
    <t>週間手話ニュース</t>
  </si>
  <si>
    <t>ドラマコレクション・名奉行遠山の金さん第２シリーズ・水戸黄門第十七部</t>
  </si>
  <si>
    <t>ウィークリーインフォメーション</t>
  </si>
  <si>
    <t>ＣＢＣ</t>
  </si>
  <si>
    <t>ドラマアンコール・水戸黄門第３２部</t>
  </si>
  <si>
    <t>まちイチｎｉｃｅ　ｔｏ　ｐｅｏｐｌｅ</t>
  </si>
  <si>
    <t>メーテレ</t>
  </si>
  <si>
    <t>旅サンデー・１駅だけ！道草さんぽ傑作選</t>
  </si>
  <si>
    <t>ニュース・気象情報</t>
  </si>
  <si>
    <t>クローズアップ現代＋</t>
  </si>
  <si>
    <t>視点・論点</t>
  </si>
  <si>
    <t>沼にハマってきいてみた</t>
  </si>
  <si>
    <t>金曜ロードＳＨＯＷ！・スター・ウォーズ／最後のジェダイ</t>
  </si>
  <si>
    <t>うわっ！ダマされた大賞２０２０年末生放送</t>
  </si>
  <si>
    <t>新春シューイチ２０２２・ネンイチ・第２部</t>
  </si>
  <si>
    <t>Ｏｈａ！４ＮＥＷＳ　ＬＩＶＥ・第１部</t>
  </si>
  <si>
    <t>テレビ愛知</t>
  </si>
  <si>
    <t>ＢＯＲＵＴＯ－ボルト－ＮＡＲＵＴＯ　ＮＥＸＴ　ＧＥＮＥＲＡＴＩＯＮＳ</t>
  </si>
  <si>
    <t>全仏オープンテニス２０１９・男子単・錦織×ナダル</t>
  </si>
  <si>
    <t>アサデス。ＫＢＣ　ＰＡＲＴ１</t>
  </si>
  <si>
    <t>バリバリサンデー１部・マツコ＆有吉かりそめ天国２時間スペシャル</t>
  </si>
  <si>
    <t>ＮＥＷＳ２３</t>
  </si>
  <si>
    <t>テレビ西日本</t>
  </si>
  <si>
    <t>ももち浜ストア第２部</t>
  </si>
  <si>
    <t>ＮＨＫニュース７</t>
  </si>
  <si>
    <t>ロクいち！福岡</t>
  </si>
  <si>
    <t>国会中継</t>
  </si>
  <si>
    <t>いないいないばあっ！</t>
  </si>
  <si>
    <t>エイゴビート２</t>
  </si>
  <si>
    <t>昔話法廷</t>
  </si>
  <si>
    <t>みいつけた！</t>
  </si>
  <si>
    <t>ＥＴＶ特集・震災関連死何が命を奪ったのか福島１９９５人の経緯書</t>
  </si>
  <si>
    <t>福島をずっと見ているＴＶ</t>
  </si>
  <si>
    <t>美の壷・選</t>
  </si>
  <si>
    <t>バリバラ</t>
  </si>
  <si>
    <t>ＦＢＳ</t>
  </si>
  <si>
    <t>バベル九朔</t>
  </si>
  <si>
    <t>テレＱ</t>
  </si>
  <si>
    <t>勇者ああああ・ゲーム知識ゼロでもなんとなく見られるゲーム番組</t>
  </si>
  <si>
    <t>ワールドビジネスサテライト</t>
  </si>
  <si>
    <t>午後のロードショー・駅弁刑事・神保徳之助１０</t>
  </si>
  <si>
    <t>ＣＤＴＶライブ！ライブ！ＳＰ</t>
  </si>
  <si>
    <t>沸騰ワード１０春爛漫ＳＰ</t>
  </si>
  <si>
    <t>ズームイン！！サタデー・２部</t>
  </si>
  <si>
    <t>ウェザータイム</t>
  </si>
  <si>
    <t>ＮＥＷニューヨーク</t>
  </si>
  <si>
    <t>イチオシ！！第３部</t>
  </si>
  <si>
    <t>イチモニ！・１部</t>
  </si>
  <si>
    <t>潜在能力テスト</t>
    <phoneticPr fontId="23"/>
  </si>
  <si>
    <t>0</t>
  </si>
  <si>
    <t>めざましテレビ全部見せ</t>
  </si>
  <si>
    <t>オトナの土ドラ・最高のオバハン中島ハルコ</t>
  </si>
  <si>
    <t>連続テレビ小説・エール</t>
  </si>
  <si>
    <t>ニュースウオッチ９</t>
  </si>
  <si>
    <t>テキシコー</t>
  </si>
  <si>
    <t>キミなら何つくる？</t>
  </si>
  <si>
    <t>今野敏サスペンス・機捜２３５</t>
  </si>
  <si>
    <t>５時ナビＴＶｈ道新ニュース</t>
  </si>
  <si>
    <t>ＴＢＣ</t>
  </si>
  <si>
    <t>Ｏｎｅ　Ｓｗｉｔｃｈ　Ｃａｆｅ</t>
  </si>
  <si>
    <t>はやドキ！</t>
  </si>
  <si>
    <t>芸能人が本気で考えた！ドッキリＧＰ岡田准一ｖｓ堤真一！人生初ドッキリＳＰ</t>
  </si>
  <si>
    <t>Ｅテレ０６５５</t>
  </si>
  <si>
    <t>すたあと</t>
  </si>
  <si>
    <t>突撃！ナマイキＴＶ</t>
  </si>
  <si>
    <t>ドラマプレミア・相棒１８</t>
  </si>
  <si>
    <t>ＲＣＣ</t>
  </si>
  <si>
    <t>うわっ！ダマされた大賞夏の２時間ＳＰ</t>
  </si>
  <si>
    <t>大相撲・２０２０年・７月場所・１２日目</t>
  </si>
  <si>
    <t>大相撲・２０２０年・秋場所・６日目</t>
  </si>
  <si>
    <t>大相撲・２０２１年・初場所・３日目</t>
  </si>
  <si>
    <t>大相撲・２０２１年・初場所・４日目</t>
  </si>
  <si>
    <t>先人たちの底力知恵泉</t>
  </si>
  <si>
    <t>ＴＳＳ</t>
  </si>
  <si>
    <t>ただいま！テレビ２部</t>
  </si>
  <si>
    <t>週刊ニュースリーダー</t>
  </si>
  <si>
    <t>映像散歩・沖縄慶良間諸島</t>
  </si>
  <si>
    <t>あさイチ</t>
  </si>
  <si>
    <t>ＮＨＫスペシャル・疫病退散千三百年の祈り</t>
  </si>
  <si>
    <t>九州発！進化するふるさと納税　　　　　　　　　　　　　　　　　　　　　　　　　　　</t>
  </si>
  <si>
    <t>ずくだせテレビ　　　　　　　　　　　　　　　　　　　　　　　　　　　　　　　　　　</t>
  </si>
  <si>
    <t>９９．９・刑事専門弁護士・完全新作ＳＰ・新たな出会い篇・映画公開前夜祭　　　　　　</t>
  </si>
  <si>
    <t>ひるおび！　　　　　　　　　　　　　　　　　　　　　　　　　　　　　　　　　　　　</t>
  </si>
  <si>
    <t>Ｌｉｖｅ　Ｎｅｗｓ　ｉｔ！　　　　　　　　　　　　　　　　　　　　　　　　　　　　</t>
  </si>
  <si>
    <t>ＮＢＳ　Ｌｉｖｅ　Ｎｅｗｓみんなの信州　　　　　　　　　　　　　　　　　　　　　　</t>
  </si>
  <si>
    <t>時をかける愛　　　　　　　　　　　　　　　　　　　　　　　　　　　　　　　　　　　</t>
  </si>
  <si>
    <t>所さんの学校では教えてくれないそこんトコロ！　　　　　　　　　　　　　　　　　　　</t>
  </si>
  <si>
    <t>めざまし８　　　　　　　　　　　　　　　　　　　　　　　　　　　　　　　　　　　　</t>
  </si>
  <si>
    <t>ｎｅｗｓ　ｚｅｒｏ　　　　　　　　　　　　　　　　　　　　　　　　　　　　　　　　</t>
  </si>
  <si>
    <t>ゆうがたＧｅｔ！・第１部　　　　　　　　　　　　　　　　　　　　　　　　　　　　　</t>
  </si>
  <si>
    <t>ｎｅｗｓ　ｅｖｅｒｙ．　　　　　　　　　　　　　　　　　　　　　　　　　　　　　　</t>
  </si>
  <si>
    <t>ＮＨＫニュース７　　　　　　　　　　　　　　　　　　　　　　　　　　　　　　　　　</t>
  </si>
  <si>
    <t>ＮＨＫニュースおはよう日本　　　　　　　　　　　　　　　　　　　　　　　　　　　　</t>
  </si>
  <si>
    <t>ニュースシブ５時　　　　　　　　　　　　　　　　　　　　　　　　　　　　　　　　　</t>
  </si>
  <si>
    <t>ピタゴラスイッチミニ　　　　　　　　　　　　　　　　　　　　　　　　　　　　　　　</t>
  </si>
  <si>
    <t>プチプチ・アニメ　　　　　　　　　　　　　　　　　　　　　　　　　　　　　　　　　</t>
  </si>
  <si>
    <t>ｎｏ　ａｒｔ，ｎｏ　ｌｉｆｅ　　　　　　　　　　　　　　　　　　　　　　　　　　　</t>
  </si>
  <si>
    <t>サタデーステーション　　　　　　　　　　　　　　　　　　　　　　　　　　　　　　　</t>
  </si>
  <si>
    <t>ナニコレ珍百景　　　　　　　　　　　　　　　　　　　　　　　　　　　　　　　　　　</t>
  </si>
  <si>
    <t>池上彰のニュースそうだったのか！！　　　　　　　　　　　　　　　　　　　　　　　　</t>
  </si>
  <si>
    <t>テレポートプラス・土曜</t>
  </si>
  <si>
    <t>映画・とんかつＤＪアゲ太郎・公開記念特番とんかつＪＤ・恋の悩みも！</t>
  </si>
  <si>
    <t>Ｂｒｅａｋ　Ｏｕｔ</t>
  </si>
  <si>
    <t>はまなかあいづＴＯＤＡＹ</t>
  </si>
  <si>
    <t>プロフェッショナル仕事の流儀</t>
  </si>
  <si>
    <t>ＢＳコンシェルジュ</t>
  </si>
  <si>
    <t>ＮＳＴ</t>
  </si>
  <si>
    <t>夕方ワイド新潟一番・第１部</t>
  </si>
  <si>
    <t>岡山香川</t>
  </si>
  <si>
    <t>木曜ドラマＦ・ギルティ・この恋は罪ですか？</t>
  </si>
  <si>
    <t>ウェークアップ！ぷらす</t>
  </si>
  <si>
    <t>くりぃむクイズミラクル９　３時間ＳＰ</t>
  </si>
  <si>
    <t>ドラマセレクション・桃太郎侍</t>
  </si>
  <si>
    <t>サンデースポーツ</t>
  </si>
  <si>
    <t>大相撲・２０２０年・１１月場所・９日目</t>
  </si>
  <si>
    <t>ＮＨＫニュースおはよう日本</t>
  </si>
  <si>
    <t>プレマップ</t>
  </si>
  <si>
    <t>国際報道２０２１</t>
  </si>
  <si>
    <t>熊本</t>
  </si>
  <si>
    <t>ぱじゃまでシネマ・ハッピーボイス・キラー</t>
  </si>
  <si>
    <t>シネマインフォメーション</t>
  </si>
  <si>
    <t>ぱじゃまでシネマ・女神の見えざる手</t>
  </si>
  <si>
    <t>ぱじゃまでシネマ・メン・イン・ブラック２</t>
  </si>
  <si>
    <t>金曜ドラマ・＃家族募集します・最終回</t>
  </si>
  <si>
    <t>ぱじゃまでシネマ・スクール・オブ・ロック</t>
  </si>
  <si>
    <t>水曜ＮＥＸＴ！・Ｎｏ．１ツッコミＧＰ　ＫＩＲＥＡＪＩ</t>
  </si>
  <si>
    <t>ライアーゲームシーズン２</t>
  </si>
  <si>
    <t>じっくり聞いタロウ・スター近況マル秘報告</t>
  </si>
  <si>
    <t>二月の勝者・絶対合格の教室</t>
  </si>
  <si>
    <t>逃亡医Ｆ</t>
  </si>
  <si>
    <t>２４ＪＡＰＡＮ</t>
  </si>
  <si>
    <t>ケービィーｃｈ５</t>
  </si>
  <si>
    <t>ドラマ１０・タリオ復讐代行の２人・最終回</t>
  </si>
  <si>
    <t>鹿児島</t>
  </si>
  <si>
    <t>南日本放送</t>
  </si>
  <si>
    <t>爆笑問題の深海ＷＡＮＴＥＤ６最新マシンで深海大探査！世界初＆超レア映像連発ＳＰ</t>
  </si>
  <si>
    <t>サンデーステーション</t>
  </si>
  <si>
    <t>ひる・スペ！・赤かぶ検事奮戦記５</t>
  </si>
  <si>
    <t>ひる・スペ！・特殊犯罪課・花島渉２</t>
  </si>
  <si>
    <t>光秀のスマホ</t>
  </si>
  <si>
    <t>ニュース８４５かごしま</t>
  </si>
  <si>
    <t>まる得マガジン</t>
  </si>
  <si>
    <t>こころの時代</t>
  </si>
  <si>
    <t>きょうの料理</t>
  </si>
  <si>
    <t>ＥＴＶ特集・一所懸命に漕いできた</t>
  </si>
  <si>
    <t>見逃しｅｖｅｒｙ．かごしま</t>
  </si>
  <si>
    <t>ＫＹＴ　ｎｅｗｓ　ｅｖｅｒｙ．かごしま</t>
  </si>
  <si>
    <t>長崎</t>
  </si>
  <si>
    <t>Ｐｉｎｔ・２部</t>
  </si>
  <si>
    <t>世界遺産</t>
  </si>
  <si>
    <t>東大王</t>
  </si>
  <si>
    <t>王様のブランチ・１部</t>
  </si>
  <si>
    <t>ＫＴＮ　Ｌｉｖｅ　Ｎｅｗｓ　ｄａｙｓ</t>
  </si>
  <si>
    <t>ＦＮＳ九州８局共同制作ドキュメント九州</t>
  </si>
  <si>
    <t>アサデス。九州・山口</t>
  </si>
  <si>
    <t>長崎国際テレビ</t>
  </si>
  <si>
    <t>よル～じげトゥギャザーしようぜ！！</t>
  </si>
  <si>
    <t>ＳＷＩＴＣＨインタビュー達人達</t>
  </si>
  <si>
    <t>コレナンデ商会</t>
  </si>
  <si>
    <t>金沢</t>
  </si>
  <si>
    <t>映画・ハリー・ポッターと謎のプリンス</t>
  </si>
  <si>
    <t>世界！ニッポン行きたい人応援団・後編</t>
  </si>
  <si>
    <t>エンタの神様大爆笑の最強ネタ大大連発ＳＰ</t>
  </si>
  <si>
    <t>北陸朝日放送</t>
  </si>
  <si>
    <t>川柳居酒屋なつみ</t>
  </si>
  <si>
    <t>山形</t>
  </si>
  <si>
    <t>山形放送</t>
  </si>
  <si>
    <t>マツコ会議</t>
  </si>
  <si>
    <t>やままる</t>
  </si>
  <si>
    <t>芸能人が本気で考えた！ドッキリＧＰアナウンサー謝罪会見！裏切り連発ＳＰ</t>
  </si>
  <si>
    <t>岩手</t>
  </si>
  <si>
    <t>東京ＶＩＣＴＯＲＹ・最終回</t>
  </si>
  <si>
    <t>第１００回全国高校サッカー選手権大会岩手県大会決勝</t>
  </si>
  <si>
    <t>おばんですいわて</t>
  </si>
  <si>
    <t>岩手朝日テレビ</t>
  </si>
  <si>
    <t>スーパーＪチャンネルいわて</t>
  </si>
  <si>
    <t>鳥取島根</t>
  </si>
  <si>
    <t>さんいん中央テレビ</t>
    <phoneticPr fontId="23"/>
  </si>
  <si>
    <t>とくダネ！・最終回</t>
  </si>
  <si>
    <t>さんまのまんま初夏ＳＰ</t>
  </si>
  <si>
    <t>火曜は全力！華大さんと千鳥くん</t>
  </si>
  <si>
    <t>映像散歩・空からクルージング特別編</t>
  </si>
  <si>
    <t>プチプチ・アニメ</t>
  </si>
  <si>
    <t>愛媛</t>
  </si>
  <si>
    <t>南海放送</t>
  </si>
  <si>
    <t>ますあつ</t>
  </si>
  <si>
    <t>アナタに使って欲しい若見えファンデ！</t>
  </si>
  <si>
    <t>あいテレビ</t>
  </si>
  <si>
    <t>Ｎスタ・第０部</t>
  </si>
  <si>
    <t>マツコの知らない世界</t>
  </si>
  <si>
    <t>愛媛朝日テレビ</t>
  </si>
  <si>
    <t>グッド！モーニング・第２部２</t>
  </si>
  <si>
    <t>サンデーＬＩＶＥ！！・第３部</t>
  </si>
  <si>
    <t>スーパーＪチャンネルえひめ第１部</t>
  </si>
  <si>
    <t>ファミリーヒストリー</t>
  </si>
  <si>
    <t>第６８回ＮＨＫ杯テレビ囲碁トーナメント</t>
  </si>
  <si>
    <t>にっぽんの芸能</t>
  </si>
  <si>
    <t>富山</t>
  </si>
  <si>
    <t>上沼・高田のクギズケ！</t>
  </si>
  <si>
    <t>Ｎスタ・第１部</t>
  </si>
  <si>
    <t>山口</t>
  </si>
  <si>
    <t>ひるおび！ＪＮＮニュース</t>
  </si>
  <si>
    <t>アメトーーク３時間ＳＰ</t>
  </si>
  <si>
    <t>グッド！モーニング・第１部</t>
  </si>
  <si>
    <t>秋田</t>
  </si>
  <si>
    <t>秋田放送</t>
  </si>
  <si>
    <t>ｎｅｗｓ　ｚｅｒｏ</t>
  </si>
  <si>
    <t>えび・ステ</t>
  </si>
  <si>
    <t>グレーテルのかまど</t>
  </si>
  <si>
    <t>３６５日の献立日記</t>
  </si>
  <si>
    <t>青森</t>
  </si>
  <si>
    <t>ものまねグランプリ新世代の歌ものまねＮｏ．１決定戦＆最強の新ネタ決定戦</t>
  </si>
  <si>
    <t>あさチャン！・第２部</t>
  </si>
  <si>
    <t>火曜ドラマ・ファイトソング・最終回</t>
  </si>
  <si>
    <t>青森朝日放送</t>
  </si>
  <si>
    <t>竹島宏の歌ＭＡＸ</t>
  </si>
  <si>
    <t>大分</t>
  </si>
  <si>
    <t>熱狂！１／３６５日のマニアさん</t>
  </si>
  <si>
    <t>ＦＮＮ　ＴＯＳ　Ｌｉｖｅ　Ｎｅｗｓ　ｄａｙｓ</t>
  </si>
  <si>
    <t>世界フィギュアスケート国別対抗戦２０２１</t>
  </si>
  <si>
    <t>サタデーステーション・短縮版</t>
  </si>
  <si>
    <t>逆転人生</t>
  </si>
  <si>
    <t>アニメもっと！まじめにふまじめかいけつゾロリ</t>
  </si>
  <si>
    <t>古典芸能への招待・歌舞伎・お祭り・勧進帳</t>
  </si>
  <si>
    <t>沖縄</t>
  </si>
  <si>
    <t>日本大相撲トーナメント番外編・大相撲バズり場所なんでもグランプリ</t>
  </si>
  <si>
    <t>琉球朝日放送</t>
  </si>
  <si>
    <t>理屈やなかろうもん・医師・中村哲７３年の軌跡</t>
  </si>
  <si>
    <t>桂文珍の演芸図鑑・選</t>
  </si>
  <si>
    <t>ＮＨＫ高校講座世界史</t>
  </si>
  <si>
    <t>ＥＴＶ特集・ワケありりんご</t>
  </si>
  <si>
    <t>高知</t>
  </si>
  <si>
    <t>年末映画ＳＰ・おっぱいバレー</t>
  </si>
  <si>
    <t>世界フィギュアスケート選手権２０２２女子ショート</t>
  </si>
  <si>
    <t>ＮＨＫスペシャル・戦国・激動の世界と日本・２・ジャパン・シルバーを獲得せよ</t>
  </si>
  <si>
    <t>よるドラ・きれいのくに</t>
  </si>
  <si>
    <t>宮崎</t>
  </si>
  <si>
    <t>宮崎放送</t>
  </si>
  <si>
    <t>９９．９・刑事専門弁護士・完全新作ＳＰ・新たな出会い篇・映画公開前夜祭</t>
  </si>
  <si>
    <t>テレビ宮崎</t>
  </si>
  <si>
    <t>ガル学。・ガールズガーデン</t>
  </si>
  <si>
    <t>山梨</t>
  </si>
  <si>
    <t>シェフは名探偵</t>
  </si>
  <si>
    <t>Ｎｅｗｓかいドキ</t>
  </si>
  <si>
    <t>福井</t>
  </si>
  <si>
    <t>ティーンズビデオ</t>
  </si>
  <si>
    <t>佐賀</t>
  </si>
  <si>
    <t>今回の事由の詳細については、事計本部発表の掲示板資料をご確認ください。</t>
    <rPh eb="2" sb="0">
      <t>コンカイ</t>
    </rPh>
    <rPh eb="5" sb="3">
      <t>ジユウ</t>
    </rPh>
    <rPh eb="8" sb="6">
      <t>ショウサイ</t>
    </rPh>
    <rPh eb="18" sb="14">
      <t>ジケイホンブ</t>
    </rPh>
    <rPh eb="20" sb="18">
      <t>ハッピョウ</t>
    </rPh>
    <rPh eb="26" sb="21">
      <t>ケイジバンシリョウ</t>
    </rPh>
    <rPh eb="30" sb="28">
      <t>カクニン</t>
    </rPh>
    <phoneticPr fontId="37"/>
  </si>
  <si>
    <t>掲示板投稿記事はこのセルをクリック（VPN接続が必要です）</t>
    <rPh eb="3" sb="0">
      <t>ケイジバン</t>
    </rPh>
    <rPh eb="5" sb="3">
      <t>トウコウ</t>
    </rPh>
    <rPh eb="7" sb="5">
      <t>キジ</t>
    </rPh>
    <rPh eb="23" sb="21">
      <t>セツゾク</t>
    </rPh>
    <rPh eb="26" sb="24">
      <t>ヒツヨウ</t>
    </rPh>
    <phoneticPr fontId="37"/>
  </si>
  <si>
    <t>【タイムシフトデータの更新について】</t>
    <rPh eb="13" sb="11">
      <t>コウシン</t>
    </rPh>
    <phoneticPr fontId="37"/>
  </si>
  <si>
    <r>
      <t>ビデオリサーチ社が認定した異常値時点については</t>
    </r>
    <r>
      <rPr>
        <u/>
        <sz val="12"/>
        <rFont val="ＭＳ Ｐゴシック"/>
        <family val="3"/>
        <charset val="128"/>
        <scheme val="minor"/>
      </rPr>
      <t>「個人全体（当週）」「個人全体（前4週）」シート</t>
    </r>
    <r>
      <rPr>
        <sz val="12"/>
        <rFont val="ＭＳ Ｐゴシック"/>
        <family val="3"/>
        <charset val="128"/>
        <scheme val="minor"/>
      </rPr>
      <t>をご覧ください。</t>
    </r>
    <r>
      <rPr>
        <u/>
        <sz val="12"/>
        <rFont val="ＭＳ Ｐゴシック"/>
        <family val="3"/>
        <charset val="128"/>
        <scheme val="minor"/>
      </rPr>
      <t>「正誤表の見方」シート</t>
    </r>
    <r>
      <rPr>
        <sz val="12"/>
        <rFont val="ＭＳ Ｐゴシック"/>
        <family val="3"/>
        <charset val="128"/>
        <scheme val="minor"/>
      </rPr>
      <t>はこの2シートの</t>
    </r>
    <r>
      <rPr>
        <u/>
        <sz val="12"/>
        <rFont val="ＭＳ Ｐゴシック"/>
        <family val="3"/>
        <charset val="128"/>
        <scheme val="minor"/>
      </rPr>
      <t>ガイド</t>
    </r>
    <r>
      <rPr>
        <sz val="12"/>
        <rFont val="ＭＳ Ｐゴシック"/>
        <family val="3"/>
        <charset val="128"/>
        <scheme val="minor"/>
      </rPr>
      <t>です。</t>
    </r>
    <rPh eb="8" sb="7">
      <t>シャ</t>
    </rPh>
    <rPh eb="11" sb="9">
      <t>ニンテイ</t>
    </rPh>
    <rPh eb="18" sb="13">
      <t>イジョウチジテン</t>
    </rPh>
    <rPh eb="28" sb="24">
      <t>コジンゼンタイ</t>
    </rPh>
    <rPh eb="31" sb="29">
      <t>トウシュウ</t>
    </rPh>
    <rPh eb="38" sb="34">
      <t>コジンゼンタイ</t>
    </rPh>
    <rPh eb="40" sb="39">
      <t>マエ</t>
    </rPh>
    <rPh eb="42" sb="41">
      <t>シュウ</t>
    </rPh>
    <rPh eb="50" sb="49">
      <t>ラン</t>
    </rPh>
    <rPh eb="59" sb="56">
      <t>セイゴヒョウ</t>
    </rPh>
    <rPh eb="62" sb="60">
      <t>ミカタ</t>
    </rPh>
    <phoneticPr fontId="37"/>
  </si>
  <si>
    <r>
      <t>■更新はスポット取引指標である</t>
    </r>
    <r>
      <rPr>
        <b/>
        <u/>
        <sz val="12"/>
        <color theme="1"/>
        <rFont val="ＭＳ Ｐゴシック"/>
        <family val="3"/>
        <charset val="128"/>
        <scheme val="minor"/>
      </rPr>
      <t>「P+C7/C7」データが優先</t>
    </r>
    <r>
      <rPr>
        <sz val="12"/>
        <color theme="1"/>
        <rFont val="ＭＳ Ｐゴシック"/>
        <family val="3"/>
        <charset val="128"/>
        <scheme val="minor"/>
      </rPr>
      <t>されます。</t>
    </r>
    <rPh eb="3" sb="1">
      <t>コウシン</t>
    </rPh>
    <rPh eb="12" sb="8">
      <t>トリヒキシヒョウ</t>
    </rPh>
    <rPh eb="30" sb="28">
      <t>ユウセン</t>
    </rPh>
    <phoneticPr fontId="37"/>
  </si>
  <si>
    <t>■下記の通り、優先指標のデータがビデオリサーチから5回に分けて納品されます。</t>
    <rPh eb="3" sb="1">
      <t>カキ</t>
    </rPh>
    <rPh eb="5" sb="4">
      <t>トオ</t>
    </rPh>
    <rPh eb="9" sb="7">
      <t>ユウセン</t>
    </rPh>
    <rPh eb="11" sb="9">
      <t>シヒョウ</t>
    </rPh>
    <rPh eb="27" sb="26">
      <t>カイ</t>
    </rPh>
    <rPh eb="29" sb="28">
      <t>ワ</t>
    </rPh>
    <rPh eb="33" sb="31">
      <t>ノウヒン</t>
    </rPh>
    <phoneticPr fontId="37"/>
  </si>
  <si>
    <t>■MPSSでは、納品後～1か月の期間に順次データ更新を行います。（5回目は現状スケジュール未定です）</t>
    <rPh eb="11" sb="8">
      <t>ノウヒンゴ</t>
    </rPh>
    <rPh eb="15" sb="14">
      <t>ゲツ</t>
    </rPh>
    <rPh eb="18" sb="16">
      <t>キカン</t>
    </rPh>
    <rPh eb="21" sb="19">
      <t>ジュンジ</t>
    </rPh>
    <rPh eb="26" sb="24">
      <t>コウシン</t>
    </rPh>
    <rPh eb="28" sb="27">
      <t>オコナ</t>
    </rPh>
    <rPh eb="36" sb="34">
      <t>カイメ</t>
    </rPh>
    <rPh eb="39" sb="37">
      <t>ゲンジョウ</t>
    </rPh>
    <rPh eb="47" sb="45">
      <t>ミテイ</t>
    </rPh>
    <phoneticPr fontId="37"/>
  </si>
  <si>
    <t>納品</t>
    <rPh eb="2" sb="0">
      <t>ノウヒン</t>
    </rPh>
    <phoneticPr fontId="37"/>
  </si>
  <si>
    <t>納品日</t>
    <rPh eb="3" sb="0">
      <t>ノウヒンビ</t>
    </rPh>
    <phoneticPr fontId="37"/>
  </si>
  <si>
    <t>納品対象ファイル</t>
    <rPh eb="2" sb="0">
      <t>ノウヒン</t>
    </rPh>
    <rPh eb="4" sb="2">
      <t>タイショウ</t>
    </rPh>
    <phoneticPr fontId="37"/>
  </si>
  <si>
    <t>納品データ期間</t>
    <rPh eb="2" sb="0">
      <t>ノウヒン</t>
    </rPh>
    <rPh eb="7" sb="5">
      <t>キカン</t>
    </rPh>
    <phoneticPr fontId="37"/>
  </si>
  <si>
    <t>1回目納品</t>
    <rPh eb="3" sb="1">
      <t>カイメ</t>
    </rPh>
    <rPh eb="5" sb="3">
      <t>ノウヒン</t>
    </rPh>
    <phoneticPr fontId="37"/>
  </si>
  <si>
    <t>P+C7、C7</t>
    <phoneticPr fontId="37"/>
  </si>
  <si>
    <t>2022年1月3日～2022年5月22日</t>
    <rPh eb="5" sb="4">
      <t>ネン</t>
    </rPh>
    <rPh eb="7" sb="6">
      <t>ガツ</t>
    </rPh>
    <rPh eb="9" sb="8">
      <t>ニチ</t>
    </rPh>
    <rPh eb="15" sb="14">
      <t>ネン</t>
    </rPh>
    <rPh eb="17" sb="16">
      <t>ガツ</t>
    </rPh>
    <phoneticPr fontId="37"/>
  </si>
  <si>
    <t>2回目納品</t>
    <rPh eb="3" sb="1">
      <t>カイメ</t>
    </rPh>
    <rPh eb="5" sb="3">
      <t>ノウヒン</t>
    </rPh>
    <phoneticPr fontId="37"/>
  </si>
  <si>
    <t>2021年1月～2021年12月</t>
    <rPh eb="5" sb="4">
      <t>ネン</t>
    </rPh>
    <rPh eb="7" sb="6">
      <t>ガツ</t>
    </rPh>
    <rPh eb="13" sb="12">
      <t>ネン</t>
    </rPh>
    <rPh eb="16" sb="15">
      <t>ガツ</t>
    </rPh>
    <phoneticPr fontId="37"/>
  </si>
  <si>
    <t>3回目納品</t>
    <rPh eb="3" sb="1">
      <t>カイメ</t>
    </rPh>
    <rPh eb="5" sb="3">
      <t>ノウヒン</t>
    </rPh>
    <phoneticPr fontId="37"/>
  </si>
  <si>
    <t>2020年4月～2020年12月</t>
    <rPh eb="5" sb="4">
      <t>ネン</t>
    </rPh>
    <rPh eb="7" sb="6">
      <t>ガツ</t>
    </rPh>
    <rPh eb="13" sb="12">
      <t>ネン</t>
    </rPh>
    <rPh eb="16" sb="15">
      <t>ガツ</t>
    </rPh>
    <phoneticPr fontId="37"/>
  </si>
  <si>
    <t>4回目納品</t>
    <rPh eb="3" sb="1">
      <t>カイメ</t>
    </rPh>
    <rPh eb="5" sb="3">
      <t>ノウヒン</t>
    </rPh>
    <phoneticPr fontId="37"/>
  </si>
  <si>
    <t>2016年10月～2020年3月</t>
    <rPh eb="5" sb="4">
      <t>ネン</t>
    </rPh>
    <rPh eb="8" sb="7">
      <t>ガツ</t>
    </rPh>
    <rPh eb="14" sb="13">
      <t>ネン</t>
    </rPh>
    <rPh eb="16" sb="15">
      <t>ガツ</t>
    </rPh>
    <phoneticPr fontId="37"/>
  </si>
  <si>
    <t>5回目納品</t>
    <rPh eb="3" sb="1">
      <t>カイメ</t>
    </rPh>
    <rPh eb="5" sb="3">
      <t>ノウヒン</t>
    </rPh>
    <phoneticPr fontId="37"/>
  </si>
  <si>
    <t>他TS系データ</t>
    <rPh eb="1" sb="0">
      <t>ホカ</t>
    </rPh>
    <rPh eb="4" sb="3">
      <t>ケイ</t>
    </rPh>
    <phoneticPr fontId="37"/>
  </si>
  <si>
    <t>全期間</t>
    <rPh eb="3" sb="0">
      <t>ゼンキカン</t>
    </rPh>
    <phoneticPr fontId="37"/>
  </si>
  <si>
    <t>■ご注意事項（※）</t>
    <rPh eb="4" sb="2">
      <t>チュウイ</t>
    </rPh>
    <rPh eb="6" sb="4">
      <t>ジコウ</t>
    </rPh>
    <phoneticPr fontId="37"/>
  </si>
  <si>
    <r>
      <t>iNEX3では</t>
    </r>
    <r>
      <rPr>
        <u/>
        <sz val="12"/>
        <color theme="1"/>
        <rFont val="ＭＳ Ｐゴシック"/>
        <family val="3"/>
        <charset val="128"/>
        <scheme val="minor"/>
      </rPr>
      <t>CM時点の修正時に全指標（P+C7、TS視聴率、延べTS視聴率、総合視聴率）が修正されます</t>
    </r>
    <r>
      <rPr>
        <sz val="12"/>
        <color theme="1"/>
        <rFont val="ＭＳ Ｐゴシック"/>
        <family val="3"/>
        <charset val="128"/>
        <scheme val="minor"/>
      </rPr>
      <t>が、</t>
    </r>
    <rPh eb="11" sb="9">
      <t>ジテン</t>
    </rPh>
    <rPh eb="14" sb="12">
      <t>シュウセイ</t>
    </rPh>
    <rPh eb="15" sb="14">
      <t>ジ</t>
    </rPh>
    <rPh eb="17" sb="16">
      <t>ゼン</t>
    </rPh>
    <rPh eb="19" sb="17">
      <t>シヒョウ</t>
    </rPh>
    <rPh eb="30" sb="27">
      <t>シチョウリツ</t>
    </rPh>
    <rPh eb="32" sb="31">
      <t>ノ</t>
    </rPh>
    <rPh eb="38" sb="35">
      <t>シチョウリツ</t>
    </rPh>
    <rPh eb="41" sb="39">
      <t>ソウゴウ</t>
    </rPh>
    <rPh eb="44" sb="41">
      <t>シチョウリツ</t>
    </rPh>
    <rPh eb="48" sb="46">
      <t>シュウセイ</t>
    </rPh>
    <phoneticPr fontId="37"/>
  </si>
  <si>
    <t>納品データはP+C7納品が優先されます。他の指標は本編修正時に納品となります。（5回目の内容となります）</t>
    <rPh eb="2" sb="0">
      <t>ノウヒン</t>
    </rPh>
    <rPh eb="12" sb="10">
      <t>ノウヒン</t>
    </rPh>
    <rPh eb="15" sb="13">
      <t>ユウセン</t>
    </rPh>
    <rPh eb="21" sb="20">
      <t>ホカ</t>
    </rPh>
    <rPh eb="24" sb="22">
      <t>シヒョウ</t>
    </rPh>
    <rPh eb="27" sb="25">
      <t>ホンペン</t>
    </rPh>
    <rPh eb="27" sb="26">
      <t>キホン</t>
    </rPh>
    <rPh eb="29" sb="27">
      <t>シュウセイ</t>
    </rPh>
    <rPh eb="30" sb="29">
      <t>ジ</t>
    </rPh>
    <rPh eb="33" sb="31">
      <t>ノウヒン</t>
    </rPh>
    <rPh eb="43" sb="41">
      <t>カイメ</t>
    </rPh>
    <rPh eb="46" sb="44">
      <t>ナイヨウ</t>
    </rPh>
    <phoneticPr fontId="37"/>
  </si>
  <si>
    <r>
      <t>その為、2024年までは、</t>
    </r>
    <r>
      <rPr>
        <u/>
        <sz val="12"/>
        <color theme="1"/>
        <rFont val="ＭＳ Ｐゴシック"/>
        <family val="3"/>
        <charset val="128"/>
        <scheme val="minor"/>
      </rPr>
      <t>一部指標（TS視聴率、延べTS視聴率、総合視聴率）においてiNEX3とMPSSの集計値が異なる可能性があります。</t>
    </r>
    <rPh eb="3" sb="2">
      <t>タメ</t>
    </rPh>
    <rPh eb="9" sb="8">
      <t>ネン</t>
    </rPh>
    <rPh eb="15" sb="13">
      <t>イチブ</t>
    </rPh>
    <rPh eb="17" sb="15">
      <t>シヒョウ</t>
    </rPh>
    <rPh eb="56" sb="53">
      <t>シュウケイチ</t>
    </rPh>
    <rPh eb="58" sb="57">
      <t>コト</t>
    </rPh>
    <rPh eb="63" sb="60">
      <t>カノウセイ</t>
    </rPh>
    <phoneticPr fontId="37"/>
  </si>
  <si>
    <t>＜参考＞</t>
    <rPh eb="3" sb="1">
      <t>サンコウ</t>
    </rPh>
    <phoneticPr fontId="37"/>
  </si>
  <si>
    <t>iNEX3の更新スケジュール</t>
    <rPh eb="8" sb="6">
      <t>コウシン</t>
    </rPh>
    <phoneticPr fontId="37"/>
  </si>
  <si>
    <t>更新日</t>
    <rPh eb="3" sb="0">
      <t>コウシンビ</t>
    </rPh>
    <phoneticPr fontId="37"/>
  </si>
  <si>
    <t>対象指標</t>
    <rPh eb="2" sb="0">
      <t>タイショウ</t>
    </rPh>
    <rPh eb="4" sb="2">
      <t>シヒョウ</t>
    </rPh>
    <phoneticPr fontId="37"/>
  </si>
  <si>
    <t>対象期間</t>
    <rPh eb="4" sb="0">
      <t>タイショウキカン</t>
    </rPh>
    <phoneticPr fontId="37"/>
  </si>
  <si>
    <t>2022/10/17（月）</t>
    <rPh eb="12" sb="11">
      <t>ゲツ</t>
    </rPh>
    <phoneticPr fontId="23"/>
  </si>
  <si>
    <t>CM時点のみ（※）</t>
    <rPh eb="4" sb="2">
      <t>ジテン</t>
    </rPh>
    <phoneticPr fontId="37"/>
  </si>
  <si>
    <t>2022年1月3日～2022年5月22日</t>
    <rPh eb="5" sb="4">
      <t>ネン</t>
    </rPh>
    <rPh eb="7" sb="6">
      <t>ガツ</t>
    </rPh>
    <rPh eb="9" sb="8">
      <t>ニチ</t>
    </rPh>
    <rPh eb="15" sb="14">
      <t>ネン</t>
    </rPh>
    <rPh eb="17" sb="16">
      <t>ガツ</t>
    </rPh>
    <rPh eb="20" sb="19">
      <t>ニチ</t>
    </rPh>
    <phoneticPr fontId="37"/>
  </si>
  <si>
    <t>2023/2/20（月）</t>
    <rPh eb="11" sb="10">
      <t>ゲツ</t>
    </rPh>
    <phoneticPr fontId="23"/>
  </si>
  <si>
    <t>2023/3/20（月）</t>
    <rPh eb="11" sb="10">
      <t>ゲツ</t>
    </rPh>
    <phoneticPr fontId="23"/>
  </si>
  <si>
    <t>2023/5/15（月）</t>
    <rPh eb="11" sb="10">
      <t>ゲツ</t>
    </rPh>
    <phoneticPr fontId="23"/>
  </si>
  <si>
    <t>2016年～2020年3月</t>
    <rPh eb="5" sb="4">
      <t>ネン</t>
    </rPh>
    <rPh eb="11" sb="10">
      <t>ネン</t>
    </rPh>
    <rPh eb="13" sb="12">
      <t>ガツ</t>
    </rPh>
    <phoneticPr fontId="37"/>
  </si>
  <si>
    <t>2024/4/15（月）</t>
    <rPh eb="11" sb="10">
      <t>ゲツ</t>
    </rPh>
    <phoneticPr fontId="23"/>
  </si>
  <si>
    <t>当週・全週</t>
    <rPh eb="2" sb="0">
      <t>トウシュウ</t>
    </rPh>
    <rPh eb="4" sb="3">
      <t>ゼン</t>
    </rPh>
    <rPh eb="5" sb="4">
      <t>シュウ</t>
    </rPh>
    <phoneticPr fontId="37"/>
  </si>
  <si>
    <t>2026年03月01日(日)～2026年03月31日(火)</t>
  </si>
  <si>
    <t>曜日平均(24時間) [６０分]</t>
  </si>
  <si>
    <t>＊深夜・早朝の全局視聴率は、集計方法が異なるため、</t>
  </si>
  <si>
    <t xml:space="preserve">　iNEXの数値と合わないときがあります。</t>
  </si>
  <si>
    <t>＊全局には、民放・NHK総合/教育・その他局（独立U局・BS/CS等）</t>
  </si>
  <si>
    <t xml:space="preserve">　の視聴率調査対象放送局すべてが含まれます。</t>
  </si>
  <si>
    <t>2026/03</t>
  </si>
  <si>
    <t>世帯</t>
  </si>
  <si>
    <t>男女　３５～４９才</t>
  </si>
  <si>
    <t>男女　３５～４９才TF</t>
  </si>
  <si>
    <t>視聴率</t>
  </si>
  <si>
    <t>ターゲット･ファクター</t>
  </si>
  <si>
    <t>：関東</t>
  </si>
  <si>
    <t>：2026年03月01日(日)～2026年03月31日(火)</t>
  </si>
  <si>
    <t>：曜日平均(24時間) [６０分]</t>
  </si>
  <si>
    <t>：男女　３５～４９才</t>
  </si>
  <si>
    <t>(ターゲットファクター)</t>
  </si>
  <si>
    <t>深夜・早朝の全局視聴率は、集計方法が異なるため、iNEXの数値と合わないときがあります。</t>
  </si>
  <si>
    <t>↑＊色分けしたいターゲットファクターを設定してください</t>
  </si>
  <si>
    <t>＊全局には、民放・NHK総合/教育・その他局（独立U局・BS/CS等）の視聴率調査対象放送局すべてが含まれます</t>
  </si>
  <si>
    <t>平均</t>
  </si>
  <si>
    <t>ＮＴＶ</t>
  </si>
  <si>
    <t>ＥＸ</t>
  </si>
  <si>
    <t>ＴＸ</t>
  </si>
  <si>
    <t>ＣＸ</t>
  </si>
  <si>
    <t>全局</t>
  </si>
  <si>
    <t>民放各局計</t>
  </si>
  <si>
    <t>ＴＸ系列を除く民放各局計</t>
  </si>
  <si>
    <t>(視聴率)</t>
  </si>
  <si>
    <t>↑＊色分けしたい視聴率を設定してください</t>
  </si>
  <si>
    <t>男女　３５～４９才　ゾーン平均視聴率比較</t>
  </si>
  <si>
    <t>：世帯</t>
  </si>
  <si>
    <t>世帯　ゾーン平均視聴率比較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</si>
</sst>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_ "/>
    <numFmt numFmtId="177" formatCode="0.0_);[Red]\(0.0\)"/>
    <numFmt numFmtId="178" formatCode="0.00_ "/>
    <numFmt numFmtId="179" formatCode="0.00_);[Red]\(0.00\)"/>
    <numFmt numFmtId="180" formatCode="d"/>
    <numFmt numFmtId="181" formatCode="0_);[Red]\(0\)"/>
    <numFmt numFmtId="182" formatCode="0.0"/>
    <numFmt numFmtId="183" formatCode="aaa"/>
    <numFmt numFmtId="184" formatCode="0_ "/>
    <numFmt numFmtId="185" formatCode="yyyy/m/d\(aaa\)"/>
  </numFmts>
  <fonts count="4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b/>
      <sz val="10"/>
      <color rgb="FFFF0000"/>
      <name val="ＭＳ ゴシック"/>
      <family val="3"/>
      <charset val="128"/>
    </font>
    <font>
      <b/>
      <sz val="10"/>
      <color rgb="FF0000FF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rgb="FFA6A6A6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  <scheme val="major"/>
    </font>
    <font>
      <b/>
      <sz val="10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  <scheme val="major"/>
    </font>
    <font>
      <sz val="9"/>
      <color rgb="FFFF0000"/>
      <name val="ＭＳ 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2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0"/>
      <color theme="1"/>
      <name val="Arial"/>
      <family val="2"/>
    </font>
    <font>
      <sz val="11"/>
      <name val="ＭＳ Ｐゴシック"/>
      <family val="3"/>
      <charset val="128"/>
      <scheme val="minor"/>
    </font>
    <font>
      <sz val="9"/>
      <name val="HGｺﾞｼｯｸM"/>
      <family val="3"/>
      <charset val="128"/>
    </font>
    <font>
      <b/>
      <sz val="8"/>
      <color theme="0"/>
      <name val="ＭＳ Ｐゴシック"/>
      <family val="3"/>
      <charset val="128"/>
      <scheme val="minor"/>
    </font>
    <font>
      <b/>
      <sz val="8"/>
      <color rgb="FFFF0000"/>
      <name val="ＭＳ Ｐゴシック"/>
      <family val="3"/>
      <charset val="128"/>
      <scheme val="minor"/>
    </font>
    <font>
      <b/>
      <sz val="14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2"/>
      <color rgb="FFFF000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u/>
      <sz val="12"/>
      <name val="ＭＳ Ｐゴシック"/>
      <family val="3"/>
      <charset val="128"/>
      <scheme val="minor"/>
    </font>
    <font>
      <b/>
      <u/>
      <sz val="12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u/>
      <sz val="12"/>
      <color theme="1"/>
      <name val="ＭＳ Ｐゴシック"/>
      <family val="3"/>
      <charset val="128"/>
      <scheme val="minor"/>
    </font>
    <font>
      <name val="Calibri"/>
      <sz val="11.0"/>
      <color indexed="12"/>
      <u val="single"/>
    </font>
  </fonts>
  <fills count="20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hair">
        <color rgb="FF000000"/>
      </left>
      <right/>
      <top style="thin">
        <color indexed="64"/>
      </top>
      <bottom/>
      <diagonal/>
    </border>
    <border>
      <left style="hair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rgb="FF000000"/>
      </top>
      <bottom/>
      <diagonal/>
    </border>
    <border>
      <left style="hair">
        <color rgb="FF000000"/>
      </left>
      <right style="thin">
        <color indexed="64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rgb="FF000000"/>
      </top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borderId="0" fillId="0" fontId="0" numFmtId="0"/>
    <xf borderId="0" fillId="0" fontId="7" numFmtId="0"/>
    <xf borderId="0" fillId="0" fontId="7" numFmtId="0"/>
    <xf borderId="0" fillId="0" fontId="7" numFmtId="0"/>
    <xf borderId="0" fillId="0" fontId="11" numFmtId="0"/>
    <xf borderId="0" fillId="0" fontId="12" numFmtId="0">
      <alignment vertical="center"/>
    </xf>
    <xf borderId="0" fillId="0" fontId="1" numFmtId="0">
      <alignment vertical="center"/>
    </xf>
    <xf borderId="0" fillId="0" fontId="24" numFmtId="0"/>
    <xf borderId="0" fillId="0" fontId="29" numFmtId="0"/>
    <xf borderId="0" fillId="0" fontId="7" numFmtId="0"/>
  </cellStyleXfs>
  <cellXfs count="292">
    <xf borderId="0" fillId="0" fontId="0" numFmtId="0" xfId="0"/>
    <xf applyFont="1" applyNumberFormat="1" borderId="0" fillId="0" fontId="5" numFmtId="0" xfId="0"/>
    <xf applyAlignment="1" applyBorder="1" applyFill="1" applyFont="1" applyNumberFormat="1" borderId="0" fillId="0" fontId="8" numFmtId="0" xfId="2">
      <alignment horizontal="center"/>
    </xf>
    <xf applyAlignment="1" applyBorder="1" applyFill="1" applyFont="1" applyNumberFormat="1" borderId="0" fillId="0" fontId="5" numFmtId="0" xfId="1">
      <alignment horizontal="center"/>
    </xf>
    <xf applyAlignment="1" applyBorder="1" applyFill="1" applyFont="1" applyNumberFormat="1" borderId="0" fillId="0" fontId="8" numFmtId="0" xfId="1">
      <alignment horizontal="center"/>
    </xf>
    <xf applyBorder="1" applyFill="1" applyFont="1" applyNumberFormat="1" borderId="0" fillId="0" fontId="5" numFmtId="0" xfId="0"/>
    <xf applyAlignment="1" applyBorder="1" applyFill="1" applyFont="1" applyNumberFormat="1" borderId="0" fillId="0" fontId="5" numFmtId="176" xfId="0">
      <alignment horizontal="right"/>
    </xf>
    <xf applyBorder="1" borderId="0" fillId="0" fontId="0" numFmtId="0" xfId="0"/>
    <xf applyBorder="1" applyFont="1" applyNumberFormat="1" borderId="0" fillId="0" fontId="5" numFmtId="0" xfId="0"/>
    <xf applyAlignment="1" applyBorder="1" applyFill="1" applyFont="1" applyNumberFormat="1" borderId="0" fillId="0" fontId="5" numFmtId="49" xfId="0">
      <alignment horizontal="center"/>
    </xf>
    <xf applyBorder="1" applyFill="1" applyFont="1" applyNumberFormat="1" borderId="0" fillId="0" fontId="5" numFmtId="177" xfId="0"/>
    <xf applyAlignment="1" applyBorder="1" applyFill="1" applyFont="1" applyNumberFormat="1" borderId="0" fillId="0" fontId="5" numFmtId="0" xfId="2">
      <alignment horizontal="center"/>
    </xf>
    <xf applyBorder="1" applyFill="1" applyFont="1" applyNumberFormat="1" borderId="0" fillId="0" fontId="5" numFmtId="179" xfId="0"/>
    <xf applyAlignment="1" applyFont="1" applyNumberFormat="1" borderId="0" fillId="0" fontId="2" numFmtId="0" xfId="3">
      <alignment vertical="center"/>
    </xf>
    <xf applyAlignment="1" applyFont="1" borderId="0" fillId="0" fontId="2" numFmtId="0" xfId="3">
      <alignment vertical="center"/>
    </xf>
    <xf applyAlignment="1" applyBorder="1" applyFont="1" borderId="0" fillId="0" fontId="2" numFmtId="0" xfId="3">
      <alignment vertical="center"/>
    </xf>
    <xf applyAlignment="1" applyFont="1" borderId="0" fillId="0" fontId="6" numFmtId="0" xfId="3">
      <alignment horizontal="center" vertical="center"/>
    </xf>
    <xf applyAlignment="1" applyBorder="1" applyFill="1" applyFont="1" applyNumberFormat="1" borderId="0" fillId="0" fontId="2" numFmtId="0" xfId="3">
      <alignment vertical="center"/>
    </xf>
    <xf applyAlignment="1" applyFont="1" applyNumberFormat="1" borderId="0" fillId="0" fontId="6" numFmtId="0" xfId="3">
      <alignment horizontal="center" vertical="center"/>
    </xf>
    <xf applyAlignment="1" applyFont="1" applyNumberFormat="1" borderId="0" fillId="0" fontId="2" numFmtId="0" xfId="3">
      <alignment horizontal="center" vertical="center"/>
    </xf>
    <xf applyFont="1" applyNumberFormat="1" borderId="0" fillId="0" fontId="5" numFmtId="0" xfId="4"/>
    <xf applyBorder="1" applyFill="1" applyFont="1" applyNumberFormat="1" borderId="0" fillId="0" fontId="5" numFmtId="0" xfId="4"/>
    <xf applyAlignment="1" applyBorder="1" applyFill="1" applyFont="1" applyNumberFormat="1" borderId="0" fillId="0" fontId="5" numFmtId="49" xfId="1">
      <alignment horizontal="center"/>
    </xf>
    <xf applyAlignment="1" applyBorder="1" applyFill="1" applyFont="1" applyNumberFormat="1" borderId="0" fillId="0" fontId="5" numFmtId="49" xfId="0">
      <alignment horizontal="left"/>
    </xf>
    <xf applyAlignment="1" applyBorder="1" applyFill="1" applyFont="1" applyNumberFormat="1" borderId="0" fillId="0" fontId="5" numFmtId="49" xfId="2">
      <alignment horizontal="center"/>
    </xf>
    <xf applyAlignment="1" applyBorder="1" applyFill="1" applyFont="1" applyNumberFormat="1" borderId="0" fillId="0" fontId="5" numFmtId="178" xfId="0">
      <alignment horizontal="right"/>
    </xf>
    <xf applyAlignment="1" applyBorder="1" applyFill="1" applyFont="1" applyNumberFormat="1" borderId="0" fillId="0" fontId="5" numFmtId="0" xfId="0">
      <alignment horizontal="left"/>
    </xf>
    <xf applyAlignment="1" applyBorder="1" applyFont="1" borderId="0" fillId="0" fontId="6" numFmtId="0" xfId="3">
      <alignment horizontal="center" vertical="center"/>
    </xf>
    <xf applyAlignment="1" applyBorder="1" applyFill="1" applyFont="1" applyNumberFormat="1" borderId="4" fillId="0" fontId="9" numFmtId="180" xfId="3">
      <alignment horizontal="center" vertical="center"/>
    </xf>
    <xf applyAlignment="1" applyBorder="1" applyFill="1" applyFont="1" applyNumberFormat="1" borderId="4" fillId="0" fontId="10" numFmtId="180" xfId="3">
      <alignment horizontal="center" vertical="center"/>
    </xf>
    <xf applyAlignment="1" applyBorder="1" applyFill="1" applyFont="1" applyNumberFormat="1" borderId="4" fillId="0" fontId="13" numFmtId="180" xfId="3">
      <alignment horizontal="center" vertical="center"/>
    </xf>
    <xf applyAlignment="1" applyBorder="1" applyFont="1" applyNumberFormat="1" borderId="2" fillId="0" fontId="5" numFmtId="176" xfId="0">
      <alignment horizontal="right"/>
    </xf>
    <xf applyAlignment="1" applyBorder="1" applyFill="1" applyFont="1" applyNumberFormat="1" borderId="2" fillId="2" fontId="5" numFmtId="176" xfId="0">
      <alignment horizontal="right"/>
    </xf>
    <xf applyAlignment="1" applyBorder="1" applyFont="1" applyNumberFormat="1" borderId="2" fillId="0" fontId="5" numFmtId="178" xfId="0">
      <alignment horizontal="right"/>
    </xf>
    <xf applyAlignment="1" applyBorder="1" applyFill="1" applyFont="1" applyNumberFormat="1" borderId="2" fillId="2" fontId="5" numFmtId="178" xfId="0">
      <alignment horizontal="right"/>
    </xf>
    <xf applyBorder="1" applyFont="1" applyNumberFormat="1" borderId="0" fillId="0" fontId="5" numFmtId="0" xfId="4"/>
    <xf applyBorder="1" applyFont="1" applyNumberFormat="1" borderId="1" fillId="0" fontId="5" numFmtId="0" xfId="4"/>
    <xf applyAlignment="1" applyBorder="1" applyFont="1" applyNumberFormat="1" borderId="2" fillId="0" fontId="5" numFmtId="176" xfId="4">
      <alignment horizontal="right"/>
    </xf>
    <xf applyAlignment="1" applyBorder="1" applyFill="1" applyFont="1" applyNumberFormat="1" borderId="2" fillId="7" fontId="5" numFmtId="0" xfId="5"/>
    <xf applyBorder="1" applyFont="1" applyNumberFormat="1" borderId="3" fillId="0" fontId="5" numFmtId="0" xfId="4"/>
    <xf applyAlignment="1" applyBorder="1" applyFill="1" applyFont="1" applyNumberFormat="1" borderId="5" fillId="2" fontId="5" numFmtId="49" xfId="1">
      <alignment horizontal="center"/>
    </xf>
    <xf applyAlignment="1" applyBorder="1" applyFill="1" applyFont="1" applyNumberFormat="1" borderId="6" fillId="2" fontId="5" numFmtId="0" xfId="1">
      <alignment horizontal="center"/>
    </xf>
    <xf applyAlignment="1" applyBorder="1" applyFill="1" applyFont="1" applyNumberFormat="1" borderId="6" fillId="2" fontId="8" numFmtId="0" xfId="1">
      <alignment horizontal="center"/>
    </xf>
    <xf applyAlignment="1" applyBorder="1" applyFill="1" applyFont="1" applyNumberFormat="1" borderId="7" fillId="2" fontId="8" numFmtId="0" xfId="1">
      <alignment horizontal="center"/>
    </xf>
    <xf applyAlignment="1" applyBorder="1" applyFont="1" applyNumberFormat="1" borderId="8" fillId="0" fontId="5" numFmtId="49" xfId="0">
      <alignment horizontal="center"/>
    </xf>
    <xf applyAlignment="1" applyBorder="1" applyFill="1" applyFont="1" applyNumberFormat="1" borderId="9" fillId="2" fontId="5" numFmtId="176" xfId="0">
      <alignment horizontal="right"/>
    </xf>
    <xf applyAlignment="1" applyBorder="1" applyFont="1" applyNumberFormat="1" borderId="10" fillId="0" fontId="5" numFmtId="49" xfId="0">
      <alignment horizontal="center"/>
    </xf>
    <xf applyAlignment="1" applyBorder="1" applyFont="1" applyNumberFormat="1" borderId="11" fillId="0" fontId="5" numFmtId="49" xfId="0">
      <alignment horizontal="center"/>
    </xf>
    <xf applyAlignment="1" applyBorder="1" applyFont="1" applyNumberFormat="1" borderId="12" fillId="0" fontId="5" numFmtId="176" xfId="0">
      <alignment horizontal="right"/>
    </xf>
    <xf applyAlignment="1" applyBorder="1" applyFill="1" applyFont="1" applyNumberFormat="1" borderId="12" fillId="2" fontId="5" numFmtId="176" xfId="0">
      <alignment horizontal="right"/>
    </xf>
    <xf applyAlignment="1" applyBorder="1" applyFill="1" applyFont="1" applyNumberFormat="1" borderId="13" fillId="2" fontId="5" numFmtId="176" xfId="0">
      <alignment horizontal="right"/>
    </xf>
    <xf applyAlignment="1" applyBorder="1" applyFill="1" applyFont="1" applyNumberFormat="1" borderId="5" fillId="2" fontId="5" numFmtId="0" xfId="2">
      <alignment horizontal="center"/>
    </xf>
    <xf applyAlignment="1" applyBorder="1" applyFill="1" applyFont="1" applyNumberFormat="1" borderId="7" fillId="2" fontId="5" numFmtId="0" xfId="2">
      <alignment horizontal="center"/>
    </xf>
    <xf applyAlignment="1" applyBorder="1" applyFill="1" applyFont="1" applyNumberFormat="1" borderId="8" fillId="2" fontId="5" numFmtId="49" xfId="0">
      <alignment horizontal="left"/>
    </xf>
    <xf applyAlignment="1" applyBorder="1" applyFill="1" applyFont="1" applyNumberFormat="1" borderId="14" fillId="2" fontId="5" numFmtId="49" xfId="0">
      <alignment horizontal="left"/>
    </xf>
    <xf applyAlignment="1" applyBorder="1" applyFill="1" applyFont="1" applyNumberFormat="1" borderId="5" fillId="2" fontId="5" numFmtId="49" xfId="2">
      <alignment horizontal="center"/>
    </xf>
    <xf applyAlignment="1" applyBorder="1" applyFill="1" applyFont="1" applyNumberFormat="1" borderId="6" fillId="2" fontId="5" numFmtId="0" xfId="2">
      <alignment horizontal="center"/>
    </xf>
    <xf applyAlignment="1" applyBorder="1" applyFill="1" applyFont="1" applyNumberFormat="1" borderId="6" fillId="2" fontId="8" numFmtId="0" xfId="2">
      <alignment horizontal="center"/>
    </xf>
    <xf applyAlignment="1" applyBorder="1" applyFill="1" applyFont="1" applyNumberFormat="1" borderId="7" fillId="2" fontId="8" numFmtId="0" xfId="2">
      <alignment horizontal="center"/>
    </xf>
    <xf applyAlignment="1" applyBorder="1" applyFill="1" applyFont="1" applyNumberFormat="1" borderId="9" fillId="2" fontId="5" numFmtId="178" xfId="0">
      <alignment horizontal="right"/>
    </xf>
    <xf applyAlignment="1" applyBorder="1" applyFont="1" applyNumberFormat="1" borderId="12" fillId="0" fontId="5" numFmtId="178" xfId="0">
      <alignment horizontal="right"/>
    </xf>
    <xf applyAlignment="1" applyBorder="1" applyFill="1" applyFont="1" applyNumberFormat="1" borderId="12" fillId="2" fontId="5" numFmtId="178" xfId="0">
      <alignment horizontal="right"/>
    </xf>
    <xf applyAlignment="1" applyBorder="1" applyFill="1" applyFont="1" applyNumberFormat="1" borderId="13" fillId="2" fontId="5" numFmtId="178" xfId="0">
      <alignment horizontal="right"/>
    </xf>
    <xf applyAlignment="1" applyBorder="1" applyFill="1" applyFont="1" applyNumberFormat="1" borderId="8" fillId="2" fontId="5" numFmtId="0" xfId="0">
      <alignment horizontal="left"/>
    </xf>
    <xf applyAlignment="1" applyBorder="1" applyFill="1" applyFont="1" applyNumberFormat="1" borderId="14" fillId="2" fontId="5" numFmtId="0" xfId="0">
      <alignment horizontal="left"/>
    </xf>
    <xf applyAlignment="1" applyBorder="1" applyFill="1" applyFont="1" applyNumberFormat="1" borderId="5" fillId="0" fontId="9" numFmtId="180" xfId="3">
      <alignment horizontal="center" vertical="center"/>
    </xf>
    <xf applyAlignment="1" applyBorder="1" applyFill="1" applyFont="1" applyNumberFormat="1" borderId="15" fillId="0" fontId="9" numFmtId="180" xfId="3">
      <alignment horizontal="center" vertical="center"/>
    </xf>
    <xf applyAlignment="1" applyBorder="1" applyFill="1" applyFont="1" applyNumberFormat="1" borderId="16" fillId="0" fontId="9" numFmtId="180" xfId="3">
      <alignment horizontal="center" vertical="center"/>
    </xf>
    <xf applyAlignment="1" applyBorder="1" applyFill="1" applyFont="1" applyNumberFormat="1" borderId="17" fillId="0" fontId="9" numFmtId="180" xfId="3">
      <alignment horizontal="center" vertical="center"/>
    </xf>
    <xf applyAlignment="1" applyBorder="1" applyFill="1" applyFont="1" applyNumberFormat="1" borderId="18" fillId="0" fontId="9" numFmtId="180" xfId="3">
      <alignment horizontal="center" vertical="center"/>
    </xf>
    <xf applyAlignment="1" applyBorder="1" applyFill="1" applyFont="1" applyNumberFormat="1" borderId="5" fillId="0" fontId="10" numFmtId="180" xfId="3">
      <alignment horizontal="center" vertical="center"/>
    </xf>
    <xf applyAlignment="1" applyBorder="1" applyFill="1" applyFont="1" applyNumberFormat="1" borderId="15" fillId="0" fontId="10" numFmtId="180" xfId="3">
      <alignment horizontal="center" vertical="center"/>
    </xf>
    <xf applyAlignment="1" applyBorder="1" applyFill="1" applyFont="1" applyNumberFormat="1" borderId="16" fillId="0" fontId="10" numFmtId="180" xfId="3">
      <alignment horizontal="center" vertical="center"/>
    </xf>
    <xf applyAlignment="1" applyBorder="1" applyFill="1" applyFont="1" applyNumberFormat="1" borderId="17" fillId="0" fontId="10" numFmtId="180" xfId="3">
      <alignment horizontal="center" vertical="center"/>
    </xf>
    <xf applyAlignment="1" applyBorder="1" applyFill="1" applyFont="1" applyNumberFormat="1" borderId="18" fillId="0" fontId="10" numFmtId="180" xfId="3">
      <alignment horizontal="center" vertical="center"/>
    </xf>
    <xf applyAlignment="1" applyBorder="1" applyFill="1" applyFont="1" applyNumberFormat="1" borderId="5" fillId="0" fontId="13" numFmtId="180" xfId="3">
      <alignment horizontal="center" vertical="center"/>
    </xf>
    <xf applyAlignment="1" applyBorder="1" applyFill="1" applyFont="1" applyNumberFormat="1" borderId="15" fillId="0" fontId="13" numFmtId="180" xfId="3">
      <alignment horizontal="center" vertical="center"/>
    </xf>
    <xf applyAlignment="1" applyBorder="1" applyFill="1" applyFont="1" applyNumberFormat="1" borderId="16" fillId="0" fontId="13" numFmtId="180" xfId="3">
      <alignment horizontal="center" vertical="center"/>
    </xf>
    <xf applyAlignment="1" applyBorder="1" applyFill="1" applyFont="1" applyNumberFormat="1" borderId="17" fillId="0" fontId="13" numFmtId="180" xfId="3">
      <alignment horizontal="center" vertical="center"/>
    </xf>
    <xf applyAlignment="1" applyBorder="1" applyFill="1" applyFont="1" applyNumberFormat="1" borderId="18" fillId="0" fontId="13" numFmtId="180" xfId="3">
      <alignment horizontal="center" vertical="center"/>
    </xf>
    <xf applyAlignment="1" applyBorder="1" applyFont="1" borderId="19" fillId="0" fontId="2" numFmtId="0" quotePrefix="1" xfId="3">
      <alignment vertical="center"/>
    </xf>
    <xf applyAlignment="1" applyBorder="1" applyFont="1" borderId="20" fillId="0" fontId="2" numFmtId="0" quotePrefix="1" xfId="3">
      <alignment vertical="center"/>
    </xf>
    <xf applyAlignment="1" applyBorder="1" applyFill="1" applyFont="1" applyNumberFormat="1" borderId="21" fillId="2" fontId="5" numFmtId="0" xfId="0">
      <alignment horizontal="center"/>
    </xf>
    <xf applyAlignment="1" applyBorder="1" applyFill="1" applyFont="1" applyNumberFormat="1" borderId="21" fillId="2" fontId="5" numFmtId="49" xfId="0">
      <alignment horizontal="center"/>
    </xf>
    <xf applyAlignment="1" applyBorder="1" applyFill="1" applyFont="1" applyNumberFormat="1" borderId="21" fillId="2" fontId="5" numFmtId="49" xfId="0">
      <alignment horizontal="left"/>
    </xf>
    <xf applyBorder="1" applyFill="1" applyFont="1" applyNumberFormat="1" borderId="21" fillId="2" fontId="5" numFmtId="177" xfId="0"/>
    <xf applyAlignment="1" applyBorder="1" applyFill="1" applyFont="1" applyNumberFormat="1" borderId="21" fillId="2" fontId="5" numFmtId="0" xfId="0">
      <alignment horizontal="left"/>
    </xf>
    <xf applyAlignment="1" applyBorder="1" applyFill="1" applyFont="1" applyNumberFormat="1" borderId="21" fillId="2" fontId="5" numFmtId="178" xfId="0">
      <alignment horizontal="right"/>
    </xf>
    <xf applyAlignment="1" applyBorder="1" applyFont="1" borderId="22" fillId="0" fontId="2" numFmtId="0" xfId="3">
      <alignment vertical="center"/>
    </xf>
    <xf applyAlignment="1" applyBorder="1" applyFill="1" applyFont="1" applyNumberFormat="1" borderId="23" fillId="0" fontId="9" numFmtId="180" xfId="3">
      <alignment horizontal="center" vertical="center"/>
    </xf>
    <xf applyAlignment="1" applyBorder="1" applyFill="1" applyFont="1" applyNumberFormat="1" borderId="24" fillId="0" fontId="9" numFmtId="180" xfId="3">
      <alignment horizontal="center" vertical="center"/>
    </xf>
    <xf applyAlignment="1" applyBorder="1" applyFill="1" applyFont="1" applyNumberFormat="1" borderId="25" fillId="0" fontId="9" numFmtId="180" xfId="3">
      <alignment horizontal="center" vertical="center"/>
    </xf>
    <xf applyAlignment="1" applyBorder="1" applyFill="1" applyFont="1" applyNumberFormat="1" borderId="26" fillId="0" fontId="9" numFmtId="180" xfId="3">
      <alignment horizontal="center" vertical="center"/>
    </xf>
    <xf applyAlignment="1" applyBorder="1" applyFill="1" applyFont="1" applyNumberFormat="1" borderId="27" fillId="0" fontId="9" numFmtId="180" xfId="3">
      <alignment horizontal="center" vertical="center"/>
    </xf>
    <xf applyAlignment="1" applyBorder="1" applyFill="1" applyFont="1" applyNumberFormat="1" borderId="28" fillId="0" fontId="9" numFmtId="180" xfId="3">
      <alignment horizontal="center" vertical="center"/>
    </xf>
    <xf applyAlignment="1" applyBorder="1" applyFill="1" applyFont="1" applyNumberFormat="1" borderId="23" fillId="0" fontId="10" numFmtId="180" xfId="3">
      <alignment horizontal="center" vertical="center"/>
    </xf>
    <xf applyAlignment="1" applyBorder="1" applyFill="1" applyFont="1" applyNumberFormat="1" borderId="24" fillId="0" fontId="10" numFmtId="180" xfId="3">
      <alignment horizontal="center" vertical="center"/>
    </xf>
    <xf applyAlignment="1" applyBorder="1" applyFill="1" applyFont="1" applyNumberFormat="1" borderId="25" fillId="0" fontId="10" numFmtId="180" xfId="3">
      <alignment horizontal="center" vertical="center"/>
    </xf>
    <xf applyAlignment="1" applyBorder="1" applyFill="1" applyFont="1" applyNumberFormat="1" borderId="26" fillId="0" fontId="10" numFmtId="180" xfId="3">
      <alignment horizontal="center" vertical="center"/>
    </xf>
    <xf applyAlignment="1" applyBorder="1" applyFill="1" applyFont="1" applyNumberFormat="1" borderId="27" fillId="0" fontId="10" numFmtId="180" xfId="3">
      <alignment horizontal="center" vertical="center"/>
    </xf>
    <xf applyAlignment="1" applyBorder="1" applyFill="1" applyFont="1" applyNumberFormat="1" borderId="28" fillId="0" fontId="10" numFmtId="180" xfId="3">
      <alignment horizontal="center" vertical="center"/>
    </xf>
    <xf applyAlignment="1" applyBorder="1" applyFill="1" applyFont="1" applyNumberFormat="1" borderId="23" fillId="0" fontId="13" numFmtId="180" xfId="3">
      <alignment horizontal="center" vertical="center"/>
    </xf>
    <xf applyAlignment="1" applyBorder="1" applyFill="1" applyFont="1" applyNumberFormat="1" borderId="24" fillId="0" fontId="13" numFmtId="180" xfId="3">
      <alignment horizontal="center" vertical="center"/>
    </xf>
    <xf applyAlignment="1" applyBorder="1" applyFill="1" applyFont="1" applyNumberFormat="1" borderId="25" fillId="0" fontId="13" numFmtId="180" xfId="3">
      <alignment horizontal="center" vertical="center"/>
    </xf>
    <xf applyAlignment="1" applyBorder="1" applyFill="1" applyFont="1" applyNumberFormat="1" borderId="26" fillId="0" fontId="13" numFmtId="180" xfId="3">
      <alignment horizontal="center" vertical="center"/>
    </xf>
    <xf applyAlignment="1" applyBorder="1" applyFill="1" applyFont="1" applyNumberFormat="1" borderId="27" fillId="0" fontId="13" numFmtId="180" xfId="3">
      <alignment horizontal="center" vertical="center"/>
    </xf>
    <xf applyAlignment="1" applyBorder="1" applyFill="1" applyFont="1" applyNumberFormat="1" borderId="28" fillId="0" fontId="13" numFmtId="180" xfId="3">
      <alignment horizontal="center" vertical="center"/>
    </xf>
    <xf applyAlignment="1" applyBorder="1" applyFont="1" borderId="21" fillId="0" fontId="2" numFmtId="0" xfId="3">
      <alignment vertical="center"/>
    </xf>
    <xf applyAlignment="1" applyBorder="1" applyFont="1" applyNumberFormat="1" borderId="8" fillId="0" fontId="5" numFmtId="49" xfId="4">
      <alignment horizontal="center"/>
    </xf>
    <xf applyAlignment="1" applyBorder="1" applyFont="1" applyNumberFormat="1" borderId="9" fillId="0" fontId="5" numFmtId="176" xfId="4">
      <alignment horizontal="right"/>
    </xf>
    <xf applyAlignment="1" applyBorder="1" applyFont="1" applyNumberFormat="1" borderId="10" fillId="0" fontId="5" numFmtId="49" xfId="4">
      <alignment horizontal="center"/>
    </xf>
    <xf applyAlignment="1" applyBorder="1" applyFont="1" applyNumberFormat="1" borderId="11" fillId="0" fontId="5" numFmtId="49" xfId="4">
      <alignment horizontal="center"/>
    </xf>
    <xf applyAlignment="1" applyBorder="1" applyFont="1" applyNumberFormat="1" borderId="12" fillId="0" fontId="5" numFmtId="176" xfId="4">
      <alignment horizontal="right"/>
    </xf>
    <xf applyAlignment="1" applyBorder="1" applyFont="1" applyNumberFormat="1" borderId="13" fillId="0" fontId="5" numFmtId="176" xfId="4">
      <alignment horizontal="right"/>
    </xf>
    <xf applyAlignment="1" applyFont="1" applyNumberFormat="1" borderId="0" fillId="0" fontId="14" numFmtId="0" xfId="3">
      <alignment vertical="center"/>
    </xf>
    <xf applyAlignment="1" applyFont="1" applyNumberFormat="1" borderId="0" fillId="0" fontId="15" numFmtId="0" xfId="3">
      <alignment vertical="center"/>
    </xf>
    <xf applyAlignment="1" applyFont="1" applyNumberFormat="1" borderId="0" fillId="0" fontId="14" numFmtId="0" xfId="3">
      <alignment horizontal="distributed" vertical="center"/>
    </xf>
    <xf applyAlignment="1" applyFont="1" applyNumberFormat="1" borderId="0" fillId="0" fontId="14" numFmtId="0" xfId="3">
      <alignment horizontal="centerContinuous" vertical="center"/>
    </xf>
    <xf applyFont="1" applyNumberFormat="1" borderId="0" fillId="0" fontId="14" numFmtId="0" xfId="3"/>
    <xf applyAlignment="1" applyFont="1" borderId="0" fillId="0" fontId="14" numFmtId="0" xfId="3">
      <alignment vertical="center"/>
    </xf>
    <xf applyAlignment="1" applyBorder="1" applyFont="1" borderId="0" fillId="0" fontId="14" numFmtId="0" xfId="3">
      <alignment vertical="center"/>
    </xf>
    <xf applyAlignment="1" applyBorder="1" applyFont="1" borderId="2" fillId="0" fontId="14" numFmtId="0" xfId="3">
      <alignment vertical="center"/>
    </xf>
    <xf applyAlignment="1" applyBorder="1" applyFont="1" borderId="2" fillId="0" fontId="14" numFmtId="0" xfId="3">
      <alignment horizontal="center" vertical="center"/>
    </xf>
    <xf applyAlignment="1" applyBorder="1" applyFont="1" borderId="1" fillId="0" fontId="14" numFmtId="0" xfId="3">
      <alignment horizontal="center" vertical="center"/>
    </xf>
    <xf applyAlignment="1" applyBorder="1" applyFont="1" borderId="3" fillId="0" fontId="14" numFmtId="0" xfId="3">
      <alignment vertical="center"/>
    </xf>
    <xf applyAlignment="1" applyBorder="1" applyFill="1" applyFont="1" applyNumberFormat="1" borderId="3" fillId="0" fontId="16" numFmtId="180" xfId="3">
      <alignment horizontal="center" vertical="center"/>
    </xf>
    <xf applyAlignment="1" applyBorder="1" applyFill="1" applyFont="1" applyNumberFormat="1" borderId="0" fillId="0" fontId="16" numFmtId="180" xfId="3">
      <alignment horizontal="center" vertical="center"/>
    </xf>
    <xf applyAlignment="1" applyFill="1" applyFont="1" borderId="0" fillId="4" fontId="14" numFmtId="0" xfId="3">
      <alignment vertical="center"/>
    </xf>
    <xf applyAlignment="1" applyFill="1" applyFont="1" borderId="0" fillId="5" fontId="14" numFmtId="0" xfId="3">
      <alignment vertical="center"/>
    </xf>
    <xf applyAlignment="1" applyFill="1" applyFont="1" borderId="0" fillId="6" fontId="14" numFmtId="0" xfId="3">
      <alignment vertical="center"/>
    </xf>
    <xf applyAlignment="1" applyBorder="1" applyFont="1" applyNumberFormat="1" borderId="0" fillId="0" fontId="14" numFmtId="17" quotePrefix="1" xfId="3">
      <alignment vertical="center"/>
    </xf>
    <xf applyAlignment="1" applyBorder="1" applyFont="1" applyNumberFormat="1" borderId="0" fillId="0" fontId="14" numFmtId="0" xfId="3">
      <alignment vertical="center"/>
    </xf>
    <xf applyAlignment="1" applyFont="1" borderId="0" fillId="0" fontId="16" numFmtId="0" xfId="3">
      <alignment horizontal="center" vertical="center"/>
    </xf>
    <xf applyAlignment="1" applyBorder="1" applyFont="1" borderId="0" fillId="0" fontId="16" numFmtId="0" xfId="3">
      <alignment horizontal="center" vertical="center"/>
    </xf>
    <xf applyAlignment="1" applyFont="1" applyNumberFormat="1" borderId="0" fillId="0" fontId="17" numFmtId="0" xfId="0">
      <alignment horizontal="centerContinuous" vertical="center"/>
    </xf>
    <xf applyAlignment="1" applyFont="1" applyNumberFormat="1" borderId="0" fillId="0" fontId="18" numFmtId="0" xfId="0">
      <alignment horizontal="centerContinuous"/>
    </xf>
    <xf applyFont="1" applyNumberFormat="1" borderId="0" fillId="0" fontId="17" numFmtId="0" xfId="0"/>
    <xf applyAlignment="1" applyFont="1" applyNumberFormat="1" borderId="0" fillId="0" fontId="14" numFmtId="0" xfId="0">
      <alignment horizontal="centerContinuous" vertical="center"/>
    </xf>
    <xf applyAlignment="1" applyFont="1" applyNumberFormat="1" borderId="0" fillId="0" fontId="17" numFmtId="0" xfId="0">
      <alignment vertical="center"/>
    </xf>
    <xf applyAlignment="1" applyFont="1" applyNumberFormat="1" borderId="0" fillId="0" fontId="17" numFmtId="0" xfId="0"/>
    <xf applyAlignment="1" applyFill="1" applyFont="1" applyNumberFormat="1" borderId="0" fillId="7" fontId="17" numFmtId="0" xfId="0"/>
    <xf applyAlignment="1" applyFont="1" applyNumberFormat="1" borderId="0" fillId="0" fontId="16" numFmtId="176" xfId="0"/>
    <xf applyFont="1" applyNumberFormat="1" borderId="0" fillId="0" fontId="14" numFmtId="0" xfId="0"/>
    <xf applyFont="1" borderId="0" fillId="0" fontId="18" numFmtId="0" xfId="0"/>
    <xf applyAlignment="1" applyFill="1" applyFont="1" applyNumberFormat="1" borderId="0" fillId="8" fontId="17" numFmtId="0" xfId="0"/>
    <xf applyFont="1" applyNumberFormat="1" borderId="0" fillId="0" fontId="19" numFmtId="0" xfId="0"/>
    <xf applyFill="1" applyFont="1" applyNumberFormat="1" borderId="0" fillId="9" fontId="17" numFmtId="0" xfId="0"/>
    <xf applyAlignment="1" applyFont="1" applyNumberFormat="1" borderId="0" fillId="0" fontId="16" numFmtId="178" xfId="0"/>
    <xf applyFont="1" applyNumberFormat="1" borderId="0" fillId="0" fontId="17" numFmtId="0" xfId="4"/>
    <xf applyAlignment="1" applyFont="1" applyNumberFormat="1" borderId="0" fillId="0" fontId="17" numFmtId="0" xfId="4"/>
    <xf applyAlignment="1" applyFill="1" applyFont="1" applyNumberFormat="1" borderId="0" fillId="0" fontId="17" numFmtId="0" xfId="4"/>
    <xf applyFont="1" borderId="0" fillId="0" fontId="18" numFmtId="0" xfId="4"/>
    <xf applyFill="1" applyFont="1" applyNumberFormat="1" borderId="0" fillId="0" fontId="17" numFmtId="0" xfId="4"/>
    <xf applyAlignment="1" applyFont="1" applyNumberFormat="1" borderId="0" fillId="0" fontId="17" numFmtId="0" xfId="4">
      <alignment horizontal="right"/>
    </xf>
    <xf applyBorder="1" applyFill="1" applyFont="1" applyNumberFormat="1" borderId="0" fillId="0" fontId="17" numFmtId="0" xfId="4"/>
    <xf applyBorder="1" applyFont="1" applyNumberFormat="1" borderId="0" fillId="0" fontId="17" numFmtId="0" xfId="4"/>
    <xf applyFont="1" applyNumberFormat="1" borderId="0" fillId="0" fontId="20" numFmtId="0" xfId="0"/>
    <xf applyAlignment="1" applyFont="1" applyNumberFormat="1" borderId="0" fillId="0" fontId="20" numFmtId="0" xfId="0">
      <alignment horizontal="right"/>
    </xf>
    <xf applyAlignment="1" applyBorder="1" applyFill="1" applyFont="1" borderId="0" fillId="0" fontId="14" numFmtId="0" xfId="3">
      <alignment horizontal="center" vertical="center" wrapText="1"/>
    </xf>
    <xf applyAlignment="1" applyBorder="1" applyFill="1" applyFont="1" borderId="0" fillId="0" fontId="14" numFmtId="0" xfId="3">
      <alignment horizontal="right" vertical="center"/>
    </xf>
    <xf applyAlignment="1" applyBorder="1" applyFill="1" applyFont="1" applyNumberFormat="1" borderId="0" fillId="0" fontId="16" numFmtId="180" xfId="3">
      <alignment horizontal="center" textRotation="255" vertical="center"/>
    </xf>
    <xf applyAlignment="1" applyBorder="1" applyFill="1" applyFont="1" borderId="0" fillId="3" fontId="14" numFmtId="0" xfId="3">
      <alignment horizontal="center" vertical="center" wrapText="1"/>
    </xf>
    <xf applyAlignment="1" applyBorder="1" applyFill="1" applyFont="1" borderId="0" fillId="3" fontId="14" numFmtId="0" xfId="3">
      <alignment horizontal="right" vertical="center"/>
    </xf>
    <xf applyAlignment="1" applyBorder="1" applyFill="1" applyFont="1" applyNumberFormat="1" borderId="0" fillId="2" fontId="16" numFmtId="180" xfId="3">
      <alignment horizontal="center" textRotation="255" vertical="center"/>
    </xf>
    <xf applyAlignment="1" applyBorder="1" applyFill="1" applyFont="1" borderId="0" fillId="2" fontId="14" numFmtId="0" xfId="3">
      <alignment horizontal="right" vertical="center"/>
    </xf>
    <xf applyAlignment="1" applyBorder="1" applyFill="1" applyFont="1" borderId="0" fillId="2" fontId="14" numFmtId="0" xfId="3">
      <alignment horizontal="center" vertical="center" wrapText="1"/>
    </xf>
    <xf applyAlignment="1" applyBorder="1" applyFill="1" applyFont="1" applyNumberFormat="1" borderId="0" fillId="3" fontId="16" numFmtId="180" xfId="3">
      <alignment horizontal="center" textRotation="255" vertical="center"/>
    </xf>
    <xf applyFont="1" borderId="0" fillId="0" fontId="22" numFmtId="0" xfId="6">
      <alignment vertical="center"/>
    </xf>
    <xf applyNumberFormat="1" borderId="0" fillId="0" fontId="1" numFmtId="49" xfId="6">
      <alignment vertical="center"/>
    </xf>
    <xf borderId="0" fillId="0" fontId="1" numFmtId="0" xfId="6">
      <alignment vertical="center"/>
    </xf>
    <xf applyFont="1" borderId="0" fillId="0" fontId="25" numFmtId="0" xfId="7"/>
    <xf applyFill="1" applyFont="1" borderId="0" fillId="10" fontId="25" numFmtId="0" xfId="7"/>
    <xf applyAlignment="1" borderId="0" fillId="0" fontId="1" numFmtId="0" xfId="6">
      <alignment horizontal="center" vertical="center"/>
    </xf>
    <xf applyAlignment="1" applyBorder="1" applyFill="1" applyFont="1" borderId="29" fillId="11" fontId="26" numFmtId="0" xfId="6">
      <alignment horizontal="center" vertical="center"/>
    </xf>
    <xf applyAlignment="1" borderId="0" fillId="0" fontId="1" numFmtId="0" xfId="6">
      <alignment vertical="center" wrapText="1"/>
    </xf>
    <xf applyAlignment="1" applyBorder="1" applyFill="1" applyFont="1" borderId="29" fillId="12" fontId="27" numFmtId="0" xfId="6">
      <alignment horizontal="center" vertical="center"/>
    </xf>
    <xf applyAlignment="1" applyBorder="1" applyFill="1" applyFont="1" borderId="29" fillId="13" fontId="27" numFmtId="0" xfId="6">
      <alignment horizontal="center" vertical="center"/>
    </xf>
    <xf applyAlignment="1" applyBorder="1" applyFill="1" applyFont="1" borderId="19" fillId="11" fontId="21" numFmtId="0" xfId="6">
      <alignment horizontal="center" vertical="center"/>
    </xf>
    <xf applyAlignment="1" applyBorder="1" applyFill="1" applyFont="1" borderId="19" fillId="11" fontId="21" numFmtId="0" xfId="6">
      <alignment horizontal="center" vertical="center" wrapText="1"/>
    </xf>
    <xf applyAlignment="1" applyBorder="1" applyFill="1" applyFont="1" borderId="19" fillId="11" fontId="28" numFmtId="0" xfId="6">
      <alignment horizontal="center" vertical="center" wrapText="1"/>
    </xf>
    <xf applyAlignment="1" applyBorder="1" applyFill="1" applyFont="1" borderId="19" fillId="11" fontId="28" numFmtId="0" xfId="6">
      <alignment horizontal="center" vertical="center"/>
    </xf>
    <xf applyAlignment="1" applyBorder="1" applyFill="1" applyFont="1" borderId="26" fillId="11" fontId="28" numFmtId="0" xfId="6">
      <alignment horizontal="center" vertical="center"/>
    </xf>
    <xf applyAlignment="1" applyBorder="1" applyFont="1" borderId="20" fillId="0" fontId="26" numFmtId="0" xfId="6">
      <alignment horizontal="center" vertical="center"/>
    </xf>
    <xf applyAlignment="1" applyBorder="1" applyFill="1" applyFont="1" borderId="19" fillId="11" fontId="26" numFmtId="0" xfId="6">
      <alignment horizontal="center" vertical="center"/>
    </xf>
    <xf applyAlignment="1" applyBorder="1" applyFill="1" applyFont="1" borderId="19" fillId="14" fontId="26" numFmtId="0" xfId="8">
      <alignment horizontal="center" vertical="center"/>
    </xf>
    <xf applyAlignment="1" applyBorder="1" applyFill="1" applyFont="1" borderId="21" fillId="14" fontId="26" numFmtId="0" xfId="8">
      <alignment horizontal="center" vertical="center"/>
    </xf>
    <xf applyAlignment="1" applyBorder="1" applyFill="1" applyFont="1" borderId="21" fillId="14" fontId="26" numFmtId="0" xfId="8">
      <alignment horizontal="center" vertical="center" wrapText="1"/>
    </xf>
    <xf applyAlignment="1" applyBorder="1" applyFill="1" applyFont="1" borderId="19" fillId="12" fontId="27" numFmtId="0" xfId="6">
      <alignment horizontal="center" vertical="center"/>
    </xf>
    <xf applyAlignment="1" applyBorder="1" applyFill="1" applyFont="1" borderId="5" fillId="12" fontId="27" numFmtId="0" xfId="6">
      <alignment horizontal="center" vertical="center"/>
    </xf>
    <xf applyAlignment="1" applyBorder="1" applyFill="1" applyFont="1" borderId="5" fillId="12" fontId="27" numFmtId="0" xfId="6">
      <alignment horizontal="center" vertical="center" wrapText="1"/>
    </xf>
    <xf applyAlignment="1" applyBorder="1" applyFill="1" applyFont="1" borderId="19" fillId="13" fontId="27" numFmtId="0" xfId="6">
      <alignment horizontal="center" vertical="center"/>
    </xf>
    <xf applyAlignment="1" applyBorder="1" applyFill="1" applyFont="1" borderId="5" fillId="13" fontId="27" numFmtId="0" xfId="6">
      <alignment horizontal="center" vertical="center"/>
    </xf>
    <xf applyAlignment="1" applyBorder="1" applyFill="1" applyFont="1" borderId="5" fillId="13" fontId="27" numFmtId="0" xfId="6">
      <alignment horizontal="center" vertical="center" wrapText="1"/>
    </xf>
    <xf applyAlignment="1" applyBorder="1" applyFont="1" borderId="21" fillId="0" fontId="30" numFmtId="0" xfId="6">
      <alignment horizontal="right" vertical="center"/>
    </xf>
    <xf applyBorder="1" applyFont="1" borderId="30" fillId="0" fontId="31" numFmtId="0" xfId="9">
      <alignment vertical="center"/>
    </xf>
    <xf applyBorder="1" applyFont="1" borderId="21" fillId="0" fontId="30" numFmtId="0" xfId="6">
      <alignment vertical="center"/>
    </xf>
    <xf applyBorder="1" applyFont="1" applyNumberFormat="1" borderId="21" fillId="0" fontId="30" numFmtId="14" xfId="6">
      <alignment vertical="center"/>
    </xf>
    <xf applyAlignment="1" applyBorder="1" applyFont="1" applyNumberFormat="1" borderId="21" fillId="0" fontId="30" numFmtId="14" xfId="6">
      <alignment horizontal="center" vertical="center"/>
    </xf>
    <xf applyAlignment="1" applyBorder="1" applyFont="1" applyNumberFormat="1" borderId="21" fillId="0" fontId="30" numFmtId="181" xfId="6">
      <alignment horizontal="left" vertical="center"/>
    </xf>
    <xf applyAlignment="1" applyBorder="1" applyFont="1" applyNumberFormat="1" borderId="21" fillId="0" fontId="30" numFmtId="0" xfId="6">
      <alignment horizontal="left" vertical="center"/>
    </xf>
    <xf applyAlignment="1" applyBorder="1" borderId="21" fillId="0" fontId="1" numFmtId="0" xfId="6">
      <alignment horizontal="right" vertical="center"/>
    </xf>
    <xf applyFont="1" applyNumberFormat="1" borderId="0" fillId="0" fontId="30" numFmtId="182" xfId="6">
      <alignment vertical="center"/>
    </xf>
    <xf applyAlignment="1" applyBorder="1" applyFill="1" applyFont="1" applyNumberFormat="1" borderId="21" fillId="10" fontId="30" numFmtId="182" xfId="6">
      <alignment horizontal="right" vertical="center"/>
    </xf>
    <xf applyAlignment="1" applyBorder="1" applyFont="1" applyNumberFormat="1" borderId="21" fillId="0" fontId="30" numFmtId="182" xfId="6">
      <alignment horizontal="right" vertical="center"/>
    </xf>
    <xf applyAlignment="1" applyBorder="1" applyFill="1" applyFont="1" applyNumberFormat="1" borderId="21" fillId="15" fontId="30" numFmtId="182" xfId="6">
      <alignment horizontal="right" vertical="center"/>
    </xf>
    <xf applyFont="1" borderId="0" fillId="0" fontId="30" numFmtId="0" xfId="6">
      <alignment vertical="center"/>
    </xf>
    <xf applyBorder="1" applyFill="1" applyFont="1" borderId="30" fillId="0" fontId="31" numFmtId="0" xfId="9">
      <alignment vertical="center"/>
    </xf>
    <xf applyBorder="1" applyFill="1" applyFont="1" borderId="21" fillId="0" fontId="30" numFmtId="0" xfId="6">
      <alignment vertical="center"/>
    </xf>
    <xf applyBorder="1" applyFill="1" applyFont="1" applyNumberFormat="1" borderId="21" fillId="0" fontId="30" numFmtId="14" xfId="6">
      <alignment vertical="center"/>
    </xf>
    <xf applyAlignment="1" applyBorder="1" applyFill="1" applyFont="1" applyNumberFormat="1" borderId="21" fillId="0" fontId="30" numFmtId="14" xfId="6">
      <alignment horizontal="center" vertical="center"/>
    </xf>
    <xf applyAlignment="1" applyBorder="1" applyFill="1" applyFont="1" applyNumberFormat="1" borderId="21" fillId="0" fontId="30" numFmtId="181" xfId="6">
      <alignment horizontal="left" vertical="center"/>
    </xf>
    <xf applyAlignment="1" applyBorder="1" applyFill="1" applyFont="1" applyNumberFormat="1" borderId="21" fillId="0" fontId="30" numFmtId="0" xfId="6">
      <alignment horizontal="left" vertical="center"/>
    </xf>
    <xf applyFill="1" applyFont="1" applyNumberFormat="1" borderId="0" fillId="0" fontId="30" numFmtId="182" xfId="6">
      <alignment vertical="center"/>
    </xf>
    <xf applyAlignment="1" applyBorder="1" applyFill="1" applyFont="1" applyNumberFormat="1" borderId="21" fillId="0" fontId="30" numFmtId="182" xfId="6">
      <alignment horizontal="right" vertical="center"/>
    </xf>
    <xf applyFill="1" applyFont="1" borderId="0" fillId="0" fontId="30" numFmtId="0" xfId="6">
      <alignment vertical="center"/>
    </xf>
    <xf applyBorder="1" applyFont="1" borderId="31" fillId="0" fontId="31" numFmtId="0" xfId="9">
      <alignment vertical="center"/>
    </xf>
    <xf applyBorder="1" borderId="21" fillId="0" fontId="1" numFmtId="0" xfId="6">
      <alignment vertical="center"/>
    </xf>
    <xf applyAlignment="1" applyBorder="1" applyFill="1" applyFont="1" borderId="21" fillId="0" fontId="30" numFmtId="0" xfId="6">
      <alignment horizontal="right" vertical="center"/>
    </xf>
    <xf applyBorder="1" applyFill="1" applyFont="1" borderId="31" fillId="0" fontId="31" numFmtId="0" xfId="9">
      <alignment vertical="center"/>
    </xf>
    <xf applyBorder="1" applyFill="1" borderId="21" fillId="0" fontId="1" numFmtId="0" xfId="6">
      <alignment vertical="center"/>
    </xf>
    <xf applyFill="1" applyFont="1" borderId="0" fillId="0" fontId="25" numFmtId="0" xfId="7"/>
    <xf applyAlignment="1" applyBorder="1" applyFill="1" applyFont="1" borderId="32" fillId="11" fontId="26" numFmtId="0" xfId="6">
      <alignment horizontal="center" vertical="center"/>
    </xf>
    <xf applyAlignment="1" applyBorder="1" applyFill="1" applyFont="1" borderId="22" fillId="11" fontId="26" numFmtId="0" xfId="6">
      <alignment horizontal="center" vertical="center"/>
    </xf>
    <xf applyAlignment="1" applyBorder="1" applyFill="1" applyFont="1" borderId="11" fillId="11" fontId="26" numFmtId="0" xfId="6">
      <alignment horizontal="center" vertical="center"/>
    </xf>
    <xf applyAlignment="1" applyBorder="1" applyFill="1" applyFont="1" borderId="32" fillId="12" fontId="27" numFmtId="0" xfId="6">
      <alignment horizontal="center" vertical="center"/>
    </xf>
    <xf applyAlignment="1" applyBorder="1" applyFill="1" applyFont="1" borderId="22" fillId="12" fontId="27" numFmtId="0" xfId="6">
      <alignment horizontal="center" vertical="center"/>
    </xf>
    <xf applyAlignment="1" applyBorder="1" applyFill="1" applyFont="1" borderId="11" fillId="12" fontId="27" numFmtId="0" xfId="6">
      <alignment horizontal="center" vertical="center"/>
    </xf>
    <xf applyAlignment="1" applyBorder="1" applyFill="1" applyFont="1" borderId="32" fillId="13" fontId="27" numFmtId="0" xfId="6">
      <alignment horizontal="center" vertical="center"/>
    </xf>
    <xf applyAlignment="1" applyBorder="1" applyFill="1" applyFont="1" borderId="22" fillId="13" fontId="27" numFmtId="0" xfId="6">
      <alignment horizontal="center" vertical="center"/>
    </xf>
    <xf applyAlignment="1" applyBorder="1" applyFill="1" applyFont="1" borderId="11" fillId="13" fontId="27" numFmtId="0" xfId="6">
      <alignment horizontal="center" vertical="center"/>
    </xf>
    <xf applyAlignment="1" applyBorder="1" applyFill="1" applyFont="1" borderId="19" fillId="11" fontId="26" numFmtId="0" xfId="6">
      <alignment vertical="center"/>
    </xf>
    <xf applyAlignment="1" applyBorder="1" applyFill="1" applyFont="1" borderId="21" fillId="11" fontId="26" numFmtId="0" xfId="6">
      <alignment horizontal="center" vertical="center"/>
    </xf>
    <xf applyAlignment="1" applyBorder="1" applyFill="1" applyFont="1" borderId="21" fillId="11" fontId="26" numFmtId="0" xfId="6">
      <alignment horizontal="center" vertical="center"/>
    </xf>
    <xf applyAlignment="1" applyBorder="1" applyFill="1" applyFont="1" borderId="19" fillId="12" fontId="27" numFmtId="0" xfId="6">
      <alignment vertical="center"/>
    </xf>
    <xf applyAlignment="1" applyBorder="1" applyFill="1" applyFont="1" borderId="21" fillId="12" fontId="27" numFmtId="0" xfId="6">
      <alignment horizontal="center" vertical="center"/>
    </xf>
    <xf applyAlignment="1" applyBorder="1" applyFill="1" applyFont="1" borderId="21" fillId="12" fontId="27" numFmtId="0" xfId="6">
      <alignment horizontal="center" vertical="center"/>
    </xf>
    <xf applyAlignment="1" applyBorder="1" applyFill="1" applyFont="1" borderId="19" fillId="13" fontId="27" numFmtId="0" xfId="6">
      <alignment vertical="center"/>
    </xf>
    <xf applyAlignment="1" applyBorder="1" applyFill="1" applyFont="1" borderId="21" fillId="13" fontId="27" numFmtId="0" xfId="6">
      <alignment horizontal="center" vertical="center"/>
    </xf>
    <xf applyAlignment="1" applyBorder="1" applyFill="1" applyFont="1" borderId="26" fillId="13" fontId="27" numFmtId="0" xfId="6">
      <alignment horizontal="center" vertical="center"/>
    </xf>
    <xf applyAlignment="1" applyBorder="1" applyFill="1" applyFont="1" borderId="33" fillId="13" fontId="27" numFmtId="0" xfId="6">
      <alignment horizontal="center" vertical="center"/>
    </xf>
    <xf applyAlignment="1" applyBorder="1" applyFill="1" applyFont="1" borderId="34" fillId="13" fontId="27" numFmtId="0" xfId="6">
      <alignment horizontal="center" vertical="center"/>
    </xf>
    <xf applyAlignment="1" applyBorder="1" applyFill="1" applyFont="1" borderId="22" fillId="11" fontId="26" numFmtId="0" xfId="6">
      <alignment horizontal="center" vertical="center"/>
    </xf>
    <xf applyAlignment="1" applyBorder="1" applyFill="1" applyFont="1" borderId="19" fillId="11" fontId="26" numFmtId="0" xfId="6">
      <alignment horizontal="center" vertical="center" wrapText="1"/>
    </xf>
    <xf applyAlignment="1" applyBorder="1" applyFill="1" applyFont="1" borderId="22" fillId="12" fontId="27" numFmtId="0" xfId="6">
      <alignment horizontal="center" vertical="center"/>
    </xf>
    <xf applyAlignment="1" applyBorder="1" applyFill="1" applyFont="1" borderId="19" fillId="12" fontId="27" numFmtId="0" xfId="6">
      <alignment horizontal="center" vertical="center" wrapText="1"/>
    </xf>
    <xf applyAlignment="1" applyBorder="1" applyFill="1" applyFont="1" borderId="21" fillId="12" fontId="27" numFmtId="0" xfId="6">
      <alignment horizontal="center" vertical="center" wrapText="1"/>
    </xf>
    <xf applyAlignment="1" applyBorder="1" applyFill="1" applyFont="1" borderId="22" fillId="13" fontId="27" numFmtId="0" xfId="6">
      <alignment horizontal="center" vertical="center"/>
    </xf>
    <xf applyAlignment="1" applyBorder="1" applyFill="1" applyFont="1" borderId="19" fillId="13" fontId="27" numFmtId="0" xfId="6">
      <alignment horizontal="center" vertical="center" wrapText="1"/>
    </xf>
    <xf applyAlignment="1" applyBorder="1" applyFill="1" applyFont="1" borderId="21" fillId="13" fontId="27" numFmtId="0" xfId="6">
      <alignment horizontal="center" vertical="center" wrapText="1"/>
    </xf>
    <xf applyAlignment="1" applyBorder="1" borderId="21" fillId="0" fontId="1" numFmtId="0" xfId="6"/>
    <xf applyAlignment="1" applyBorder="1" applyFont="1" applyNumberFormat="1" borderId="21" fillId="0" fontId="30" numFmtId="183" xfId="6">
      <alignment horizontal="center" vertical="center"/>
    </xf>
    <xf applyAlignment="1" applyBorder="1" applyFont="1" applyNumberFormat="1" borderId="21" fillId="0" fontId="30" numFmtId="184" xfId="6">
      <alignment horizontal="left" vertical="center"/>
    </xf>
    <xf applyAlignment="1" applyBorder="1" applyFont="1" borderId="21" fillId="0" fontId="30" numFmtId="0" xfId="6">
      <alignment horizontal="left" vertical="center"/>
    </xf>
    <xf applyBorder="1" applyFont="1" applyNumberFormat="1" borderId="20" fillId="0" fontId="30" numFmtId="182" xfId="6">
      <alignment vertical="center"/>
    </xf>
    <xf applyBorder="1" applyFill="1" applyFont="1" applyNumberFormat="1" borderId="21" fillId="0" fontId="30" numFmtId="182" xfId="6">
      <alignment vertical="center"/>
    </xf>
    <xf applyAlignment="1" applyBorder="1" applyFill="1" applyFont="1" applyNumberFormat="1" borderId="21" fillId="16" fontId="30" numFmtId="182" xfId="6">
      <alignment horizontal="right" vertical="center"/>
    </xf>
    <xf applyAlignment="1" applyBorder="1" applyFill="1" applyFont="1" applyNumberFormat="1" borderId="21" fillId="0" fontId="30" numFmtId="184" xfId="6">
      <alignment horizontal="left" vertical="center"/>
    </xf>
    <xf applyAlignment="1" applyBorder="1" applyFill="1" borderId="21" fillId="0" fontId="1" numFmtId="0" xfId="6"/>
    <xf applyAlignment="1" applyBorder="1" applyFill="1" applyFont="1" applyNumberFormat="1" borderId="21" fillId="0" fontId="30" numFmtId="183" xfId="6">
      <alignment horizontal="center" vertical="center"/>
    </xf>
    <xf applyAlignment="1" applyBorder="1" applyFill="1" applyFont="1" borderId="21" fillId="0" fontId="30" numFmtId="0" xfId="6">
      <alignment horizontal="left" vertical="center"/>
    </xf>
    <xf applyAlignment="1" applyBorder="1" applyFill="1" applyFont="1" borderId="21" fillId="0" fontId="30" numFmtId="0" xfId="6"/>
    <xf applyBorder="1" applyFont="1" applyNumberFormat="1" borderId="21" fillId="0" fontId="30" numFmtId="182" xfId="6">
      <alignment vertical="center"/>
    </xf>
    <xf applyBorder="1" applyFont="1" applyNumberFormat="1" borderId="10" fillId="0" fontId="30" numFmtId="182" xfId="6">
      <alignment vertical="center"/>
    </xf>
    <xf applyAlignment="1" applyBorder="1" applyNumberFormat="1" borderId="21" fillId="0" fontId="1" numFmtId="184" xfId="6">
      <alignment horizontal="left" vertical="center"/>
    </xf>
    <xf applyAlignment="1" applyBorder="1" applyNumberFormat="1" borderId="21" fillId="0" fontId="1" numFmtId="0" xfId="6">
      <alignment horizontal="left" vertical="center"/>
    </xf>
    <xf applyAlignment="1" applyBorder="1" borderId="21" fillId="0" fontId="1" numFmtId="0" xfId="6">
      <alignment horizontal="left" vertical="center"/>
    </xf>
    <xf applyBorder="1" applyFill="1" applyNumberFormat="1" borderId="21" fillId="0" fontId="1" numFmtId="182" xfId="6">
      <alignment vertical="center"/>
    </xf>
    <xf applyBorder="1" applyFill="1" applyNumberFormat="1" borderId="21" fillId="16" fontId="1" numFmtId="182" xfId="6">
      <alignment vertical="center"/>
    </xf>
    <xf applyFill="1" borderId="0" fillId="0" fontId="1" numFmtId="0" xfId="6">
      <alignment vertical="center"/>
    </xf>
    <xf applyBorder="1" borderId="0" fillId="0" fontId="1" numFmtId="0" xfId="6">
      <alignment vertical="center"/>
    </xf>
    <xf applyBorder="1" applyNumberFormat="1" borderId="21" fillId="0" fontId="1" numFmtId="182" xfId="6">
      <alignment vertical="center"/>
    </xf>
    <xf applyAlignment="1" applyBorder="1" applyFill="1" applyNumberFormat="1" borderId="21" fillId="0" fontId="1" numFmtId="184" xfId="6">
      <alignment horizontal="left" vertical="center"/>
    </xf>
    <xf borderId="0" fillId="0" fontId="24" numFmtId="0" xfId="7"/>
    <xf applyFont="1" borderId="0" fillId="0" fontId="34" numFmtId="0" xfId="6">
      <alignment vertical="center"/>
    </xf>
    <xf applyAlignment="1" applyFont="1" borderId="0" fillId="0" fontId="34" numFmtId="0" xfId="6">
      <alignment horizontal="left" vertical="center"/>
    </xf>
    <xf applyFont="1" borderId="0" fillId="0" fontId="35" numFmtId="0" xfId="6">
      <alignment vertical="center"/>
    </xf>
    <xf applyFont="1" applyNumberFormat="1" borderId="0" fillId="0" fontId="35" numFmtId="49" xfId="6">
      <alignment vertical="center"/>
    </xf>
    <xf applyAlignment="1" applyFont="1" borderId="0" fillId="0" fontId="36" numFmtId="0" xfId="7">
      <alignment horizontal="left" vertical="center"/>
    </xf>
    <xf applyAlignment="1" applyBorder="1" applyFill="1" applyFont="1" borderId="35" fillId="17" fontId="36" numFmtId="0" xfId="7">
      <alignment wrapText="1"/>
    </xf>
    <xf applyFont="1" borderId="0" fillId="0" fontId="36" numFmtId="0" xfId="7"/>
    <xf applyFont="1" borderId="0" fillId="0" fontId="38" numFmtId="0" xfId="7"/>
    <xf applyAlignment="1" applyFont="1" borderId="0" fillId="0" fontId="25" numFmtId="0" xfId="7">
      <alignment horizontal="center"/>
    </xf>
    <xf applyFill="1" applyFont="1" borderId="0" fillId="0" fontId="39" numFmtId="0" xfId="7"/>
    <xf applyBorder="1" applyFill="1" applyFont="1" borderId="21" fillId="18" fontId="25" numFmtId="0" xfId="7"/>
    <xf applyBorder="1" applyFill="1" applyFont="1" borderId="21" fillId="19" fontId="25" numFmtId="0" xfId="7"/>
    <xf applyBorder="1" applyFill="1" applyFont="1" applyNumberFormat="1" borderId="21" fillId="19" fontId="25" numFmtId="185" xfId="7"/>
    <xf applyFont="1" borderId="0" fillId="0" fontId="42" numFmtId="0" xfId="7"/>
    <xf applyAlignment="1" applyBorder="1" applyFill="1" applyFont="1" borderId="21" fillId="13" fontId="42" numFmtId="0" xfId="7">
      <alignment horizontal="left" vertical="center"/>
    </xf>
    <xf applyAlignment="1" applyBorder="1" applyFill="1" applyFont="1" borderId="21" fillId="13" fontId="25" numFmtId="0" xfId="7">
      <alignment horizontal="center" vertical="center"/>
    </xf>
    <xf applyAlignment="1" applyBorder="1" applyFill="1" applyFont="true" borderId="0" fillId="3" fontId="44" numFmtId="0" xfId="3">
      <alignment horizontal="center" vertical="center" wrapText="1"/>
    </xf>
    <xf applyAlignment="1" applyBorder="1" applyFill="1" applyFont="true" borderId="0" fillId="3" fontId="44" numFmtId="0" xfId="3">
      <alignment horizontal="center" vertical="center" wrapText="1"/>
    </xf>
    <xf applyAlignment="1" applyBorder="1" applyFill="1" applyFont="true" borderId="0" fillId="2" fontId="44" numFmtId="0" xfId="3">
      <alignment horizontal="center" vertical="center" wrapText="1"/>
    </xf>
  </cellXfs>
  <cellStyles count="10">
    <cellStyle name="Normal" xfId="8" xr:uid="{B83C2964-F79D-4C4C-BF58-41D519006529}"/>
    <cellStyle name="Normal 2" xfId="9" xr:uid="{8742A067-5240-47B0-9654-DBF1746A1A98}"/>
    <cellStyle builtinId="0" name="標準" xfId="0"/>
    <cellStyle name="標準 2" xfId="5" xr:uid="{00000000-0005-0000-0000-000001000000}"/>
    <cellStyle name="標準 2 2" xfId="6" xr:uid="{EFFBD3DF-7234-4F06-BAFD-C083648097DE}"/>
    <cellStyle name="標準 3" xfId="7" xr:uid="{E01AE07E-8FB9-41C7-8E9B-1170F0EFB6BE}"/>
    <cellStyle name="標準 7" xfId="4" xr:uid="{00000000-0005-0000-0000-000002000000}"/>
    <cellStyle name="標準_ｺﾋﾟｰ ～ template3" xfId="2" xr:uid="{00000000-0005-0000-0000-000003000000}"/>
    <cellStyle name="標準_ｺﾋﾟｰ ～ template3_rating-navi" xfId="1" xr:uid="{00000000-0005-0000-0000-000004000000}"/>
    <cellStyle name="標準_帳票案(ADK追加提示)_010802" xfId="3" xr:uid="{00000000-0005-0000-0000-000005000000}"/>
  </cellStyles>
  <dxfs count="504"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PivotStyle="PivotStyleLight16" defaultTableStyle="TableStyleMedium2"/>
  <colors>
    <mruColors>
      <color rgb="FF6666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2" Target="externalLinks/externalLink1.xml" Type="http://schemas.openxmlformats.org/officeDocument/2006/relationships/externalLink"/><Relationship Id="rId13" Target="externalLinks/externalLink2.xml" Type="http://schemas.openxmlformats.org/officeDocument/2006/relationships/externalLink"/><Relationship Id="rId14" Target="theme/theme1.xml" Type="http://schemas.openxmlformats.org/officeDocument/2006/relationships/theme"/><Relationship Id="rId15" Target="styles.xml" Type="http://schemas.openxmlformats.org/officeDocument/2006/relationships/styles"/><Relationship Id="rId16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4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558800</xdr:colOff>
      <xdr:row>16</xdr:row>
      <xdr:rowOff>10885</xdr:rowOff>
    </xdr:from>
    <xdr:to>
      <xdr:col>11</xdr:col>
      <xdr:colOff>609600</xdr:colOff>
      <xdr:row>26</xdr:row>
      <xdr:rowOff>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23AB3C2-11E2-4151-A3A5-32A46FCE32C2}"/>
            </a:ext>
          </a:extLst>
        </xdr:cNvPr>
        <xdr:cNvSpPr/>
      </xdr:nvSpPr>
      <xdr:spPr>
        <a:xfrm>
          <a:off x="558800" y="4233635"/>
          <a:ext cx="8045450" cy="227511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r>
            <a:rPr altLang="en-US" b="1" kumimoji="1" lang="ja-JP" sz="1800"/>
            <a:t>異常値時点が放送された番組の情報です。</a:t>
          </a:r>
          <a:endParaRPr altLang="ja-JP" b="1" kumimoji="1" lang="en-US" sz="1800"/>
        </a:p>
        <a:p>
          <a:pPr algn="l"/>
          <a:endParaRPr altLang="ja-JP" b="1" kumimoji="1" lang="en-US" sz="1800"/>
        </a:p>
        <a:p>
          <a:pPr algn="l"/>
          <a:r>
            <a:rPr altLang="en-US" b="1" kumimoji="1" lang="ja-JP" sz="1800"/>
            <a:t>異常値時点は</a:t>
          </a:r>
          <a:endParaRPr altLang="ja-JP" b="1" kumimoji="1" lang="en-US" sz="1800"/>
        </a:p>
        <a:p>
          <a:pPr algn="l"/>
          <a:r>
            <a:rPr altLang="ja-JP" b="1" kumimoji="1" lang="en-US" sz="1800"/>
            <a:t>【</a:t>
          </a:r>
          <a:r>
            <a:rPr altLang="en-US" b="1" kumimoji="1" lang="ja-JP" sz="1800"/>
            <a:t>番組本編＋</a:t>
          </a:r>
          <a:r>
            <a:rPr altLang="ja-JP" b="1" kumimoji="1" lang="en-US" sz="1800"/>
            <a:t>CM</a:t>
          </a:r>
          <a:r>
            <a:rPr altLang="en-US" b="1" kumimoji="1" lang="ja-JP" sz="1800"/>
            <a:t>枠</a:t>
          </a:r>
          <a:r>
            <a:rPr altLang="ja-JP" b="1" kumimoji="1" lang="en-US" sz="1800"/>
            <a:t>】597 </a:t>
          </a:r>
          <a:r>
            <a:rPr altLang="en-US" b="1" kumimoji="1" lang="ja-JP" sz="1800"/>
            <a:t>時点　</a:t>
          </a:r>
          <a:r>
            <a:rPr altLang="ja-JP" b="1" kumimoji="1" lang="en-US" sz="1800"/>
            <a:t>※</a:t>
          </a:r>
          <a:r>
            <a:rPr altLang="en-US" b="1" kumimoji="1" lang="ja-JP" sz="1800"/>
            <a:t>番組本編には</a:t>
          </a:r>
          <a:r>
            <a:rPr altLang="ja-JP" b="1" kumimoji="1" lang="en-US" sz="1800"/>
            <a:t>NHK/ETV</a:t>
          </a:r>
          <a:r>
            <a:rPr altLang="en-US" b="1" kumimoji="1" lang="ja-JP" sz="1800"/>
            <a:t>を含む</a:t>
          </a:r>
          <a:endParaRPr altLang="ja-JP" b="1" kumimoji="1" lang="en-US" sz="1800"/>
        </a:p>
        <a:p>
          <a:pPr algn="l"/>
          <a:r>
            <a:rPr altLang="ja-JP" b="1" kumimoji="1" lang="en-US" sz="1800"/>
            <a:t>【</a:t>
          </a:r>
          <a:r>
            <a:rPr altLang="en-US" b="1" kumimoji="1" lang="ja-JP" sz="1800"/>
            <a:t>そのうち</a:t>
          </a:r>
          <a:r>
            <a:rPr altLang="ja-JP" b="1" kumimoji="1" lang="en-US" sz="1800"/>
            <a:t>CM</a:t>
          </a:r>
          <a:r>
            <a:rPr altLang="en-US" b="1" kumimoji="1" lang="ja-JP" sz="1800"/>
            <a:t>枠</a:t>
          </a:r>
          <a:r>
            <a:rPr altLang="ja-JP" b="1" kumimoji="1" lang="en-US" sz="1800"/>
            <a:t>】212</a:t>
          </a:r>
          <a:r>
            <a:rPr altLang="en-US" b="1" kumimoji="1" lang="ja-JP" sz="1800"/>
            <a:t>時点</a:t>
          </a:r>
        </a:p>
      </xdr:txBody>
    </xdr:sp>
    <xdr:clientData/>
  </xdr:twoCellAnchor>
  <xdr:twoCellAnchor>
    <xdr:from>
      <xdr:col>0</xdr:col>
      <xdr:colOff>0</xdr:colOff>
      <xdr:row>14</xdr:row>
      <xdr:rowOff>42018</xdr:rowOff>
    </xdr:from>
    <xdr:to>
      <xdr:col>13</xdr:col>
      <xdr:colOff>673393</xdr:colOff>
      <xdr:row>15</xdr:row>
      <xdr:rowOff>65314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0D6C27B7-23C0-4326-8563-2DB8B2E5DABB}"/>
            </a:ext>
          </a:extLst>
        </xdr:cNvPr>
        <xdr:cNvSpPr/>
      </xdr:nvSpPr>
      <xdr:spPr>
        <a:xfrm flipV="1" rot="5400000">
          <a:off x="4652574" y="-845006"/>
          <a:ext cx="251896" cy="9557043"/>
        </a:xfrm>
        <a:prstGeom prst="rightBrace">
          <a:avLst>
            <a:gd fmla="val 8333" name="adj1"/>
            <a:gd fmla="val 51307" name="adj2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anchor="t" horzOverflow="clip" rtlCol="0" vertOverflow="clip"/>
        <a:lstStyle/>
        <a:p>
          <a:pPr algn="l"/>
          <a:endParaRPr altLang="en-US" kumimoji="1" lang="ja-JP" sz="1100"/>
        </a:p>
      </xdr:txBody>
    </xdr:sp>
    <xdr:clientData/>
  </xdr:twoCellAnchor>
  <xdr:twoCellAnchor>
    <xdr:from>
      <xdr:col>15</xdr:col>
      <xdr:colOff>12700</xdr:colOff>
      <xdr:row>16</xdr:row>
      <xdr:rowOff>79827</xdr:rowOff>
    </xdr:from>
    <xdr:to>
      <xdr:col>23</xdr:col>
      <xdr:colOff>254000</xdr:colOff>
      <xdr:row>26</xdr:row>
      <xdr:rowOff>63500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826A8C1F-571A-4FB9-B658-885B0BC9E547}"/>
            </a:ext>
          </a:extLst>
        </xdr:cNvPr>
        <xdr:cNvSpPr/>
      </xdr:nvSpPr>
      <xdr:spPr>
        <a:xfrm>
          <a:off x="10229850" y="4302577"/>
          <a:ext cx="5524500" cy="2269673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r>
            <a:rPr altLang="en-US" b="1" kumimoji="1" lang="ja-JP" sz="1800"/>
            <a:t>修正前の数値です。当週</a:t>
          </a:r>
          <a:r>
            <a:rPr altLang="ja-JP" b="1" kumimoji="1" lang="en-US" sz="1800"/>
            <a:t>/</a:t>
          </a:r>
          <a:r>
            <a:rPr altLang="en-US" b="1" kumimoji="1" lang="ja-JP" sz="1800"/>
            <a:t>前</a:t>
          </a:r>
          <a:r>
            <a:rPr altLang="ja-JP" b="1" kumimoji="1" lang="en-US" sz="1800"/>
            <a:t>4</a:t>
          </a:r>
          <a:r>
            <a:rPr altLang="en-US" b="1" kumimoji="1" lang="ja-JP" sz="1800"/>
            <a:t>週それぞれあります。</a:t>
          </a:r>
          <a:endParaRPr altLang="ja-JP" b="1" kumimoji="1" lang="en-US" sz="1800"/>
        </a:p>
        <a:p>
          <a:pPr algn="l"/>
          <a:r>
            <a:rPr altLang="ja-JP" b="1" kumimoji="1" lang="en-US" sz="1800"/>
            <a:t>CM</a:t>
          </a:r>
          <a:r>
            <a:rPr altLang="en-US" b="1" kumimoji="1" lang="ja-JP" sz="1800"/>
            <a:t>枠が無い番組は「</a:t>
          </a:r>
          <a:r>
            <a:rPr altLang="ja-JP" b="1" kumimoji="1" lang="en-US" sz="1800"/>
            <a:t>P+C7</a:t>
          </a:r>
          <a:r>
            <a:rPr altLang="en-US" b="1" kumimoji="1" lang="ja-JP" sz="1800"/>
            <a:t>」関連指標がグレー網掛けになっています。</a:t>
          </a:r>
        </a:p>
      </xdr:txBody>
    </xdr:sp>
    <xdr:clientData/>
  </xdr:twoCellAnchor>
  <xdr:twoCellAnchor>
    <xdr:from>
      <xdr:col>15</xdr:col>
      <xdr:colOff>43543</xdr:colOff>
      <xdr:row>14</xdr:row>
      <xdr:rowOff>194418</xdr:rowOff>
    </xdr:from>
    <xdr:to>
      <xdr:col>22</xdr:col>
      <xdr:colOff>587829</xdr:colOff>
      <xdr:row>15</xdr:row>
      <xdr:rowOff>108857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943BA139-98B2-4DB5-B02A-08A423D16AA8}"/>
            </a:ext>
          </a:extLst>
        </xdr:cNvPr>
        <xdr:cNvSpPr/>
      </xdr:nvSpPr>
      <xdr:spPr>
        <a:xfrm flipV="1" rot="5400000">
          <a:off x="12772716" y="1447945"/>
          <a:ext cx="143039" cy="5167086"/>
        </a:xfrm>
        <a:prstGeom prst="rightBrace">
          <a:avLst>
            <a:gd fmla="val 8333" name="adj1"/>
            <a:gd fmla="val 51307" name="adj2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anchor="t" horzOverflow="clip" rtlCol="0" vertOverflow="clip"/>
        <a:lstStyle/>
        <a:p>
          <a:pPr algn="l"/>
          <a:endParaRPr altLang="en-US" kumimoji="1" lang="ja-JP" sz="1100"/>
        </a:p>
      </xdr:txBody>
    </xdr:sp>
    <xdr:clientData/>
  </xdr:twoCellAnchor>
  <xdr:twoCellAnchor>
    <xdr:from>
      <xdr:col>24</xdr:col>
      <xdr:colOff>163285</xdr:colOff>
      <xdr:row>15</xdr:row>
      <xdr:rowOff>74675</xdr:rowOff>
    </xdr:from>
    <xdr:to>
      <xdr:col>32</xdr:col>
      <xdr:colOff>32657</xdr:colOff>
      <xdr:row>15</xdr:row>
      <xdr:rowOff>217714</xdr:rowOff>
    </xdr:to>
    <xdr:sp macro="" textlink="">
      <xdr:nvSpPr>
        <xdr:cNvPr id="6" name="右中かっこ 5">
          <a:extLst>
            <a:ext uri="{FF2B5EF4-FFF2-40B4-BE49-F238E27FC236}">
              <a16:creationId xmlns:a16="http://schemas.microsoft.com/office/drawing/2014/main" id="{7074D41E-519D-4295-97AA-0A5901F0922E}"/>
            </a:ext>
          </a:extLst>
        </xdr:cNvPr>
        <xdr:cNvSpPr/>
      </xdr:nvSpPr>
      <xdr:spPr>
        <a:xfrm flipV="1" rot="5400000">
          <a:off x="18828801" y="1564059"/>
          <a:ext cx="143039" cy="5152572"/>
        </a:xfrm>
        <a:prstGeom prst="rightBrace">
          <a:avLst>
            <a:gd fmla="val 8333" name="adj1"/>
            <a:gd fmla="val 51307" name="adj2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anchor="t" horzOverflow="clip" rtlCol="0" vertOverflow="clip"/>
        <a:lstStyle/>
        <a:p>
          <a:pPr algn="l"/>
          <a:endParaRPr altLang="en-US" kumimoji="1" lang="ja-JP" sz="1100"/>
        </a:p>
      </xdr:txBody>
    </xdr:sp>
    <xdr:clientData/>
  </xdr:twoCellAnchor>
  <xdr:twoCellAnchor>
    <xdr:from>
      <xdr:col>33</xdr:col>
      <xdr:colOff>76200</xdr:colOff>
      <xdr:row>15</xdr:row>
      <xdr:rowOff>107332</xdr:rowOff>
    </xdr:from>
    <xdr:to>
      <xdr:col>40</xdr:col>
      <xdr:colOff>620486</xdr:colOff>
      <xdr:row>16</xdr:row>
      <xdr:rowOff>21771</xdr:rowOff>
    </xdr:to>
    <xdr:sp macro="" textlink="">
      <xdr:nvSpPr>
        <xdr:cNvPr id="7" name="右中かっこ 6">
          <a:extLst>
            <a:ext uri="{FF2B5EF4-FFF2-40B4-BE49-F238E27FC236}">
              <a16:creationId xmlns:a16="http://schemas.microsoft.com/office/drawing/2014/main" id="{60978D91-6F57-4A25-874D-40966DFD990C}"/>
            </a:ext>
          </a:extLst>
        </xdr:cNvPr>
        <xdr:cNvSpPr/>
      </xdr:nvSpPr>
      <xdr:spPr>
        <a:xfrm flipV="1" rot="5400000">
          <a:off x="24692573" y="1589459"/>
          <a:ext cx="143039" cy="5167086"/>
        </a:xfrm>
        <a:prstGeom prst="rightBrace">
          <a:avLst>
            <a:gd fmla="val 8333" name="adj1"/>
            <a:gd fmla="val 51307" name="adj2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anchor="t" horzOverflow="clip" rtlCol="0" vertOverflow="clip"/>
        <a:lstStyle/>
        <a:p>
          <a:pPr algn="l"/>
          <a:endParaRPr altLang="en-US" kumimoji="1" lang="ja-JP" sz="1100"/>
        </a:p>
      </xdr:txBody>
    </xdr:sp>
    <xdr:clientData/>
  </xdr:twoCellAnchor>
  <xdr:twoCellAnchor>
    <xdr:from>
      <xdr:col>24</xdr:col>
      <xdr:colOff>127000</xdr:colOff>
      <xdr:row>16</xdr:row>
      <xdr:rowOff>168727</xdr:rowOff>
    </xdr:from>
    <xdr:to>
      <xdr:col>32</xdr:col>
      <xdr:colOff>88900</xdr:colOff>
      <xdr:row>26</xdr:row>
      <xdr:rowOff>114300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D4E83A93-D68F-4322-8EFB-40C65CBD61FF}"/>
            </a:ext>
          </a:extLst>
        </xdr:cNvPr>
        <xdr:cNvSpPr/>
      </xdr:nvSpPr>
      <xdr:spPr>
        <a:xfrm>
          <a:off x="16287750" y="4391477"/>
          <a:ext cx="5245100" cy="2231573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r>
            <a:rPr altLang="en-US" b="1" kumimoji="1" lang="ja-JP" sz="1800"/>
            <a:t>修正後の数値です。当週</a:t>
          </a:r>
          <a:r>
            <a:rPr altLang="ja-JP" b="1" kumimoji="1" lang="en-US" sz="1800"/>
            <a:t>/</a:t>
          </a:r>
          <a:r>
            <a:rPr altLang="en-US" b="1" kumimoji="1" lang="ja-JP" sz="1800"/>
            <a:t>前</a:t>
          </a:r>
          <a:r>
            <a:rPr altLang="ja-JP" b="1" kumimoji="1" lang="en-US" sz="1800"/>
            <a:t>4</a:t>
          </a:r>
          <a:r>
            <a:rPr altLang="en-US" b="1" kumimoji="1" lang="ja-JP" sz="1800"/>
            <a:t>週それぞれあります。</a:t>
          </a:r>
          <a:endParaRPr altLang="ja-JP" b="1" kumimoji="1" lang="en-US" sz="1800"/>
        </a:p>
        <a:p>
          <a:pPr algn="l"/>
          <a:r>
            <a:rPr altLang="ja-JP" b="1" kumimoji="1" lang="en-US" sz="1800"/>
            <a:t>CM</a:t>
          </a:r>
          <a:r>
            <a:rPr altLang="en-US" b="1" kumimoji="1" lang="ja-JP" sz="1800"/>
            <a:t>枠が無い番組は「</a:t>
          </a:r>
          <a:r>
            <a:rPr altLang="ja-JP" b="1" kumimoji="1" lang="en-US" sz="1800"/>
            <a:t>P+C7</a:t>
          </a:r>
          <a:r>
            <a:rPr altLang="en-US" b="1" kumimoji="1" lang="ja-JP" sz="1800"/>
            <a:t>」関連指標がグレー網掛けになっています。</a:t>
          </a:r>
        </a:p>
      </xdr:txBody>
    </xdr:sp>
    <xdr:clientData/>
  </xdr:twoCellAnchor>
  <xdr:twoCellAnchor>
    <xdr:from>
      <xdr:col>32</xdr:col>
      <xdr:colOff>635000</xdr:colOff>
      <xdr:row>16</xdr:row>
      <xdr:rowOff>206827</xdr:rowOff>
    </xdr:from>
    <xdr:to>
      <xdr:col>41</xdr:col>
      <xdr:colOff>88900</xdr:colOff>
      <xdr:row>26</xdr:row>
      <xdr:rowOff>38100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EB3EF66F-BEBD-4A5F-A46C-9A5106E84EE1}"/>
            </a:ext>
          </a:extLst>
        </xdr:cNvPr>
        <xdr:cNvSpPr/>
      </xdr:nvSpPr>
      <xdr:spPr>
        <a:xfrm>
          <a:off x="22078950" y="4429577"/>
          <a:ext cx="5397500" cy="2117273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r>
            <a:rPr altLang="en-US" b="1" kumimoji="1" lang="ja-JP" sz="1800"/>
            <a:t>修正後</a:t>
          </a:r>
          <a:r>
            <a:rPr altLang="ja-JP" b="1" kumimoji="1" lang="en-US" sz="1800"/>
            <a:t>/</a:t>
          </a:r>
          <a:r>
            <a:rPr altLang="en-US" b="1" kumimoji="1" lang="ja-JP" sz="1800"/>
            <a:t>修正前の差分です。</a:t>
          </a:r>
          <a:endParaRPr altLang="ja-JP" b="1" kumimoji="1" lang="en-US" sz="1800"/>
        </a:p>
        <a:p>
          <a:pPr algn="l"/>
          <a:r>
            <a:rPr altLang="en-US" b="1" kumimoji="1" lang="ja-JP" sz="1800"/>
            <a:t>（修正後ー修正前）</a:t>
          </a:r>
        </a:p>
      </xdr:txBody>
    </xdr:sp>
    <xdr:clientData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304800</xdr:colOff>
      <xdr:row>1</xdr:row>
      <xdr:rowOff>28575</xdr:rowOff>
    </xdr:from>
    <xdr:ext cx="2151230" cy="416974"/>
    <xdr:sp macro="" textlink="">
      <xdr:nvSpPr>
        <xdr:cNvPr id="2" name="Text Box 2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542925" y="171450"/>
          <a:ext cx="2151230" cy="416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a14:legacySpreadsheetColorIndex="9" mc:Ignorable="a14"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a14:legacySpreadsheetColorIndex="64" mc:Ignorable="a14" val="000000"/>
              </a:solidFill>
              <a:miter lim="800000"/>
              <a:headEnd/>
              <a:tailEnd/>
            </a14:hiddenLine>
          </a:ext>
        </a:extLst>
      </xdr:spPr>
      <xdr:txBody>
        <a:bodyPr anchor="t" bIns="0" lIns="45720" rIns="0" tIns="41148" upright="1" wrap="none">
          <a:spAutoFit/>
        </a:bodyPr>
        <a:lstStyle/>
        <a:p>
          <a:pPr algn="l" rtl="0">
            <a:defRPr sz="1000"/>
          </a:pPr>
          <a:r>
            <a:rPr altLang="ja-JP" b="0" baseline="0" i="0" lang="en-US" strike="noStrike" sz="2400" u="none">
              <a:solidFill>
                <a:srgbClr val="2B3F49"/>
              </a:solidFill>
              <a:latin typeface="Impact"/>
            </a:rPr>
            <a:t>ADK   Rating-Navi</a:t>
          </a:r>
        </a:p>
      </xdr:txBody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>
  <xdr:oneCellAnchor>
    <xdr:from>
      <xdr:col>0</xdr:col>
      <xdr:colOff>76200</xdr:colOff>
      <xdr:row>0</xdr:row>
      <xdr:rowOff>76200</xdr:rowOff>
    </xdr:from>
    <xdr:ext cx="2151230" cy="441659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76200" y="76200"/>
          <a:ext cx="2151230" cy="441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a14:legacySpreadsheetColorIndex="9" mc:Ignorable="a14"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a14:legacySpreadsheetColorIndex="64" mc:Ignorable="a14" val="000000"/>
              </a:solidFill>
              <a:miter lim="800000"/>
              <a:headEnd/>
              <a:tailEnd/>
            </a14:hiddenLine>
          </a:ext>
        </a:extLst>
      </xdr:spPr>
      <xdr:txBody>
        <a:bodyPr anchor="t" bIns="0" lIns="45720" rIns="0" tIns="41148" upright="1" wrap="none">
          <a:spAutoFit/>
        </a:bodyPr>
        <a:lstStyle/>
        <a:p>
          <a:pPr algn="l" rtl="0">
            <a:defRPr sz="1000"/>
          </a:pPr>
          <a:r>
            <a:rPr altLang="ja-JP" b="0" baseline="0" i="0" lang="en-US" strike="noStrike" sz="2400" u="none">
              <a:solidFill>
                <a:srgbClr val="2B3F49"/>
              </a:solidFill>
              <a:latin typeface="Impact"/>
            </a:rPr>
            <a:t>ADK   Rating-Navi</a:t>
          </a:r>
          <a:endParaRPr altLang="en-US" b="0" baseline="0" i="0" lang="ja-JP" strike="noStrike" sz="1000" u="none">
            <a:solidFill>
              <a:srgbClr val="2B3F49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35</xdr:col>
      <xdr:colOff>419100</xdr:colOff>
      <xdr:row>1</xdr:row>
      <xdr:rowOff>38100</xdr:rowOff>
    </xdr:from>
    <xdr:to>
      <xdr:col>37</xdr:col>
      <xdr:colOff>424154</xdr:colOff>
      <xdr:row>2</xdr:row>
      <xdr:rowOff>136425</xdr:rowOff>
    </xdr:to>
    <xdr:pic>
      <xdr:nvPicPr>
        <xdr:cNvPr descr="\\adkprj01\Mpd4_prj\メディアサイエンスチーム\MPSS関連（←ここに集約してください）\新VIテンプレート変更\MPSS\logo.jpg"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rrowheads="1" noChangeAspect="1"/>
        </xdr:cNvPicPr>
      </xdr:nvPicPr>
      <xdr:blipFill>
        <a:blip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9550" y="180975"/>
          <a:ext cx="982954" cy="24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oneCellAnchor>
    <xdr:from>
      <xdr:col>0</xdr:col>
      <xdr:colOff>76200</xdr:colOff>
      <xdr:row>0</xdr:row>
      <xdr:rowOff>76200</xdr:rowOff>
    </xdr:from>
    <xdr:ext cx="2151230" cy="441659"/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76200" y="76200"/>
          <a:ext cx="2151230" cy="441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a14:legacySpreadsheetColorIndex="9" mc:Ignorable="a14"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a14:legacySpreadsheetColorIndex="64" mc:Ignorable="a14" val="000000"/>
              </a:solidFill>
              <a:miter lim="800000"/>
              <a:headEnd/>
              <a:tailEnd/>
            </a14:hiddenLine>
          </a:ext>
        </a:extLst>
      </xdr:spPr>
      <xdr:txBody>
        <a:bodyPr anchor="t" bIns="0" lIns="45720" rIns="0" tIns="41148" upright="1" wrap="none">
          <a:spAutoFit/>
        </a:bodyPr>
        <a:lstStyle/>
        <a:p>
          <a:pPr algn="l" rtl="0">
            <a:defRPr sz="1000"/>
          </a:pPr>
          <a:r>
            <a:rPr altLang="ja-JP" b="0" baseline="0" i="0" lang="en-US" strike="noStrike" sz="2400" u="none">
              <a:solidFill>
                <a:srgbClr val="2B3F49"/>
              </a:solidFill>
              <a:latin typeface="Impact"/>
            </a:rPr>
            <a:t>ADK   Rating-Navi</a:t>
          </a:r>
          <a:endParaRPr altLang="en-US" b="0" baseline="0" i="0" lang="ja-JP" strike="noStrike" sz="1000" u="none">
            <a:solidFill>
              <a:srgbClr val="2B3F49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35</xdr:col>
      <xdr:colOff>400049</xdr:colOff>
      <xdr:row>1</xdr:row>
      <xdr:rowOff>19049</xdr:rowOff>
    </xdr:from>
    <xdr:to>
      <xdr:col>37</xdr:col>
      <xdr:colOff>424153</xdr:colOff>
      <xdr:row>2</xdr:row>
      <xdr:rowOff>117374</xdr:rowOff>
    </xdr:to>
    <xdr:pic>
      <xdr:nvPicPr>
        <xdr:cNvPr descr="\\adkprj01\Mpd4_prj\メディアサイエンスチーム\MPSS関連（←ここに集約してください）\新VIテンプレート変更\MPSS\logo.jpg"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rrowheads="1" noChangeAspect="1"/>
        </xdr:cNvPicPr>
      </xdr:nvPicPr>
      <xdr:blipFill>
        <a:blip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9549" y="158749"/>
          <a:ext cx="894054" cy="23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a="http://schemas.openxmlformats.org/drawingml/2006/main" xmlns:xdr="http://schemas.openxmlformats.org/drawingml/2006/spreadsheetDrawing">
  <xdr:oneCellAnchor>
    <xdr:from>
      <xdr:col>0</xdr:col>
      <xdr:colOff>76200</xdr:colOff>
      <xdr:row>0</xdr:row>
      <xdr:rowOff>76200</xdr:rowOff>
    </xdr:from>
    <xdr:ext cx="2151230" cy="441659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76200" y="76200"/>
          <a:ext cx="2151230" cy="441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a14:legacySpreadsheetColorIndex="9" mc:Ignorable="a14"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a14:legacySpreadsheetColorIndex="64" mc:Ignorable="a14" val="000000"/>
              </a:solidFill>
              <a:miter lim="800000"/>
              <a:headEnd/>
              <a:tailEnd/>
            </a14:hiddenLine>
          </a:ext>
        </a:extLst>
      </xdr:spPr>
      <xdr:txBody>
        <a:bodyPr anchor="t" bIns="0" lIns="45720" rIns="0" tIns="41148" upright="1" wrap="none">
          <a:spAutoFit/>
        </a:bodyPr>
        <a:lstStyle/>
        <a:p>
          <a:pPr algn="l" rtl="0">
            <a:defRPr sz="1000"/>
          </a:pPr>
          <a:r>
            <a:rPr altLang="ja-JP" b="0" baseline="0" i="0" lang="en-US" strike="noStrike" sz="2400" u="none">
              <a:solidFill>
                <a:srgbClr val="2B3F49"/>
              </a:solidFill>
              <a:latin typeface="Impact"/>
            </a:rPr>
            <a:t>ADK   Rating-Navi</a:t>
          </a:r>
          <a:endParaRPr altLang="en-US" b="0" baseline="0" i="0" lang="ja-JP" strike="noStrike" sz="1000" u="none">
            <a:solidFill>
              <a:srgbClr val="2B3F49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35</xdr:col>
      <xdr:colOff>400049</xdr:colOff>
      <xdr:row>1</xdr:row>
      <xdr:rowOff>28574</xdr:rowOff>
    </xdr:from>
    <xdr:to>
      <xdr:col>37</xdr:col>
      <xdr:colOff>424153</xdr:colOff>
      <xdr:row>2</xdr:row>
      <xdr:rowOff>126899</xdr:rowOff>
    </xdr:to>
    <xdr:pic>
      <xdr:nvPicPr>
        <xdr:cNvPr descr="\\adkprj01\Mpd4_prj\メディアサイエンスチーム\MPSS関連（←ここに集約してください）\新VIテンプレート変更\MPSS\logo.jpg"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rrowheads="1" noChangeAspect="1"/>
        </xdr:cNvPicPr>
      </xdr:nvPicPr>
      <xdr:blipFill>
        <a:blip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9549" y="168274"/>
          <a:ext cx="894054" cy="23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oana1a.vroa.videor.co.jp/Correspond/30%20&#22522;&#26412;&#35373;&#35336;/B2_&#35222;&#32884;&#29575;API/old_&#12505;&#12540;&#12473;&#12521;&#12452;&#12531;&#21270;&#30452;&#21069;/02_&#12496;&#12483;&#12481;&#35373;&#35336;/01_&#35222;&#32884;&#29575;API/02_&#12496;&#12483;&#12481;&#27231;&#33021;&#35373;&#35336;&#26360;/PYFD0202BAT10xxx_&#12496;&#12452;&#12490;&#12522;&#25351;&#27161;&#30331;&#37682;&#29366;&#27841;&#26356;&#26032;.xlsx" TargetMode="External" Type="http://schemas.openxmlformats.org/officeDocument/2006/relationships/externalLinkPath"/></Relationships>
</file>

<file path=xl/externalLinks/_rels/externalLink2.xml.rels><?xml version="1.0" encoding="UTF-8" standalone="yes"?><Relationships xmlns="http://schemas.openxmlformats.org/package/2006/relationships"><Relationship Id="rId1" Target="/Users/215677/Downloads/&#12460;&#12452;&#12489;_&#12304;&#24310;&#12409;TS&#30064;&#24120;&#20516;&#26178;&#28857;&#12305;&#27491;&#35492;&#34920;_(&#20491;&#20154;&#20840;&#20307;)%20(4)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設計時変更履歴"/>
      <sheetName val="変更履歴"/>
      <sheetName val="設計書"/>
      <sheetName val="入力規則"/>
    </sheetNames>
    <sheetDataSet>
      <sheetData sheetId="0"/>
      <sheetData refreshError="1" sheetId="1"/>
      <sheetData refreshError="1" sheetId="2"/>
      <sheetData sheetId="3"/>
      <sheetData sheetId="4">
        <row r="1">
          <cell r="A1" t="str">
            <v>○</v>
          </cell>
          <cell r="B1" t="str">
            <v>VR納品</v>
          </cell>
          <cell r="C1" t="str">
            <v>ネット</v>
          </cell>
          <cell r="D1" t="str">
            <v>新規</v>
          </cell>
        </row>
        <row r="2">
          <cell r="A2" t="str">
            <v>‐</v>
          </cell>
          <cell r="B2" t="str">
            <v>NDT納品</v>
          </cell>
          <cell r="C2" t="str">
            <v>ジョブ</v>
          </cell>
          <cell r="D2" t="str">
            <v>変更</v>
          </cell>
        </row>
        <row r="3">
          <cell r="B3" t="str">
            <v>DB</v>
          </cell>
          <cell r="D3" t="str">
            <v>削除</v>
          </cell>
        </row>
        <row r="4">
          <cell r="B4" t="str">
            <v>ﾛｰﾄﾞﾌｧｲﾙ</v>
          </cell>
        </row>
        <row r="5">
          <cell r="B5" t="str">
            <v>設定ﾌｧｲﾙ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S異常値データ更新について"/>
      <sheetName val="正誤表の見方"/>
      <sheetName val="正誤表（ALL当週）"/>
      <sheetName val="正誤表（ALL前4週）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://power.adk.jp/Lists/01bord/DispForm.aspx?ID=6382&amp;Source=http%3A%2F%2Fpower%2Eadk%2Ejp%2FLists%2F01bord%2FAllItems%2Easpx%23InplviewHashd0746374%2Dd581%2D46ed%2D8b79%2D18dff093bb20%3D&amp;ContentTypeId=0x0104002EFBAFC32291764B92B7774BCA04193B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0115-C886-44E0-8B05-2238C70810DC}">
  <sheetPr>
    <tabColor theme="7" tint="0.59999389629810485"/>
  </sheetPr>
  <dimension ref="A1:G26"/>
  <sheetViews>
    <sheetView workbookViewId="0" zoomScale="90" zoomScaleNormal="90"/>
  </sheetViews>
  <sheetFormatPr defaultColWidth="9.453125" defaultRowHeight="14" x14ac:dyDescent="0.2"/>
  <cols>
    <col min="1" max="1" style="170" width="9.453125" collapsed="false"/>
    <col min="2" max="2" customWidth="true" style="170" width="12.7265625" collapsed="false"/>
    <col min="3" max="3" bestFit="true" customWidth="true" style="170" width="18.7265625" collapsed="false"/>
    <col min="4" max="4" bestFit="true" customWidth="true" style="170" width="36.6328125" collapsed="false"/>
    <col min="5" max="5" customWidth="true" style="170" width="36.1796875" collapsed="false"/>
    <col min="6" max="6" customWidth="true" style="170" width="23.08984375" collapsed="false"/>
    <col min="7" max="16384" style="170" width="9.453125" collapsed="false"/>
  </cols>
  <sheetData>
    <row ht="28.5" r="1" spans="1:6" thickBot="1" x14ac:dyDescent="0.25">
      <c r="A1" s="277" t="s">
        <v>816</v>
      </c>
      <c r="E1" s="278" t="s">
        <v>817</v>
      </c>
    </row>
    <row r="2" spans="1:6" x14ac:dyDescent="0.2">
      <c r="A2" s="279"/>
    </row>
    <row r="3" spans="1:6" x14ac:dyDescent="0.2">
      <c r="A3" s="170" t="s">
        <v>818</v>
      </c>
      <c r="B3" s="280"/>
      <c r="E3" s="281"/>
      <c r="F3" s="282"/>
    </row>
    <row r="4" spans="1:6" x14ac:dyDescent="0.2">
      <c r="A4" s="280" t="s">
        <v>819</v>
      </c>
      <c r="B4" s="280"/>
      <c r="E4" s="281"/>
      <c r="F4" s="282"/>
    </row>
    <row r="5" spans="1:6" x14ac:dyDescent="0.2">
      <c r="A5" s="280"/>
      <c r="B5" s="280"/>
      <c r="E5" s="281"/>
      <c r="F5" s="282"/>
    </row>
    <row r="6" spans="1:6" x14ac:dyDescent="0.2">
      <c r="B6" s="170" t="s">
        <v>820</v>
      </c>
    </row>
    <row r="7" spans="1:6" x14ac:dyDescent="0.2">
      <c r="B7" s="170" t="s">
        <v>821</v>
      </c>
    </row>
    <row r="8" spans="1:6" x14ac:dyDescent="0.2">
      <c r="B8" s="170" t="s">
        <v>822</v>
      </c>
    </row>
    <row r="9" spans="1:6" x14ac:dyDescent="0.2">
      <c r="B9" s="283" t="s">
        <v>823</v>
      </c>
      <c r="C9" s="283" t="s">
        <v>824</v>
      </c>
      <c r="D9" s="283" t="s">
        <v>825</v>
      </c>
      <c r="E9" s="283" t="s">
        <v>826</v>
      </c>
    </row>
    <row r="10" spans="1:6" x14ac:dyDescent="0.2">
      <c r="B10" s="284" t="s">
        <v>827</v>
      </c>
      <c r="C10" s="285">
        <v>44832</v>
      </c>
      <c r="D10" s="284" t="s">
        <v>828</v>
      </c>
      <c r="E10" s="284" t="s">
        <v>829</v>
      </c>
    </row>
    <row r="11" spans="1:6" x14ac:dyDescent="0.2">
      <c r="B11" s="284" t="s">
        <v>830</v>
      </c>
      <c r="C11" s="285">
        <v>44936</v>
      </c>
      <c r="D11" s="284" t="s">
        <v>828</v>
      </c>
      <c r="E11" s="284" t="s">
        <v>831</v>
      </c>
    </row>
    <row r="12" spans="1:6" x14ac:dyDescent="0.2">
      <c r="B12" s="284" t="s">
        <v>832</v>
      </c>
      <c r="C12" s="285">
        <v>44977</v>
      </c>
      <c r="D12" s="284" t="s">
        <v>828</v>
      </c>
      <c r="E12" s="284" t="s">
        <v>833</v>
      </c>
    </row>
    <row r="13" spans="1:6" x14ac:dyDescent="0.2">
      <c r="B13" s="284" t="s">
        <v>834</v>
      </c>
      <c r="C13" s="285">
        <v>45027</v>
      </c>
      <c r="D13" s="284" t="s">
        <v>828</v>
      </c>
      <c r="E13" s="284" t="s">
        <v>835</v>
      </c>
    </row>
    <row r="14" spans="1:6" x14ac:dyDescent="0.2">
      <c r="B14" s="284" t="s">
        <v>836</v>
      </c>
      <c r="C14" s="285">
        <v>45348</v>
      </c>
      <c r="D14" s="284" t="s">
        <v>837</v>
      </c>
      <c r="E14" s="284" t="s">
        <v>838</v>
      </c>
    </row>
    <row r="16" spans="1:6" x14ac:dyDescent="0.2">
      <c r="B16" s="286" t="s">
        <v>839</v>
      </c>
    </row>
    <row r="17" spans="2:5" x14ac:dyDescent="0.2">
      <c r="B17" s="170" t="s">
        <v>840</v>
      </c>
    </row>
    <row r="18" spans="2:5" x14ac:dyDescent="0.2">
      <c r="B18" s="170" t="s">
        <v>841</v>
      </c>
    </row>
    <row r="19" spans="2:5" x14ac:dyDescent="0.2">
      <c r="B19" s="170" t="s">
        <v>842</v>
      </c>
    </row>
    <row r="20" spans="2:5" x14ac:dyDescent="0.2">
      <c r="B20" s="286" t="s">
        <v>843</v>
      </c>
      <c r="C20" s="286" t="s">
        <v>844</v>
      </c>
    </row>
    <row r="21" spans="2:5" x14ac:dyDescent="0.2">
      <c r="B21" s="287"/>
      <c r="C21" s="288" t="s">
        <v>845</v>
      </c>
      <c r="D21" s="288" t="s">
        <v>846</v>
      </c>
      <c r="E21" s="288" t="s">
        <v>847</v>
      </c>
    </row>
    <row r="22" spans="2:5" x14ac:dyDescent="0.2">
      <c r="B22" s="284">
        <v>1</v>
      </c>
      <c r="C22" s="285" t="s">
        <v>848</v>
      </c>
      <c r="D22" s="284" t="s">
        <v>849</v>
      </c>
      <c r="E22" s="284" t="s">
        <v>850</v>
      </c>
    </row>
    <row r="23" spans="2:5" x14ac:dyDescent="0.2">
      <c r="B23" s="284">
        <v>2</v>
      </c>
      <c r="C23" s="285" t="s">
        <v>851</v>
      </c>
      <c r="D23" s="284" t="s">
        <v>849</v>
      </c>
      <c r="E23" s="284" t="s">
        <v>831</v>
      </c>
    </row>
    <row r="24" spans="2:5" x14ac:dyDescent="0.2">
      <c r="B24" s="284">
        <v>3</v>
      </c>
      <c r="C24" s="285" t="s">
        <v>852</v>
      </c>
      <c r="D24" s="284" t="s">
        <v>849</v>
      </c>
      <c r="E24" s="284" t="s">
        <v>833</v>
      </c>
    </row>
    <row r="25" spans="2:5" x14ac:dyDescent="0.2">
      <c r="B25" s="284">
        <v>4</v>
      </c>
      <c r="C25" s="285" t="s">
        <v>853</v>
      </c>
      <c r="D25" s="284" t="s">
        <v>849</v>
      </c>
      <c r="E25" s="284" t="s">
        <v>854</v>
      </c>
    </row>
    <row r="26" spans="2:5" x14ac:dyDescent="0.2">
      <c r="B26" s="284">
        <v>5</v>
      </c>
      <c r="C26" s="285" t="s">
        <v>855</v>
      </c>
      <c r="D26" s="284" t="s">
        <v>856</v>
      </c>
      <c r="E26" s="284" t="s">
        <v>838</v>
      </c>
    </row>
  </sheetData>
  <phoneticPr fontId="3"/>
  <hyperlinks>
    <hyperlink display="掲示板資料" r:id="rId1" ref="E1" xr:uid="{F46DA50C-BBE5-4B5C-B61D-D03B0501A671}"/>
  </hyperlinks>
  <pageMargins bottom="0.75" footer="0.3" header="0.3" left="0.7" right="0.7" top="0.75"/>
  <pageSetup orientation="portrait" paperSize="9"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6A126-1436-4FF6-BFF4-E4B5ED757F9E}">
  <sheetPr>
    <tabColor theme="7" tint="0.59999389629810485"/>
  </sheetPr>
  <dimension ref="A1:AP14"/>
  <sheetViews>
    <sheetView workbookViewId="0" zoomScale="60" zoomScaleNormal="60"/>
  </sheetViews>
  <sheetFormatPr defaultRowHeight="13" x14ac:dyDescent="0.2"/>
  <cols>
    <col min="1" max="1" customWidth="true" style="272" width="16.81640625" collapsed="false"/>
    <col min="2" max="5" style="272" width="8.7265625" collapsed="false"/>
    <col min="6" max="6" bestFit="true" customWidth="true" style="272" width="12.54296875" collapsed="false"/>
    <col min="7" max="12" style="272" width="8.7265625" collapsed="false"/>
    <col min="13" max="13" bestFit="true" customWidth="true" style="272" width="3.453125" collapsed="false"/>
    <col min="14" max="16384" style="272" width="8.7265625" collapsed="false"/>
  </cols>
  <sheetData>
    <row ht="14" r="1" spans="1:41" x14ac:dyDescent="0.2">
      <c r="A1" s="170"/>
      <c r="B1" s="170"/>
      <c r="C1" s="170"/>
      <c r="D1" s="170"/>
      <c r="E1" s="170"/>
      <c r="F1" s="170"/>
      <c r="G1" s="170"/>
    </row>
    <row ht="14" r="2" spans="1:41" x14ac:dyDescent="0.2">
      <c r="A2" s="170"/>
      <c r="B2" s="170"/>
      <c r="C2" s="170"/>
      <c r="D2" s="170"/>
      <c r="E2" s="170"/>
      <c r="F2" s="170"/>
      <c r="G2" s="170"/>
      <c r="H2" s="172"/>
      <c r="J2" s="169"/>
      <c r="K2" s="169"/>
      <c r="L2" s="169"/>
      <c r="M2" s="169"/>
      <c r="N2" s="169"/>
      <c r="O2" s="169"/>
      <c r="P2" s="221" t="s">
        <v>523</v>
      </c>
      <c r="Q2" s="222"/>
      <c r="R2" s="222"/>
      <c r="S2" s="222"/>
      <c r="T2" s="222"/>
      <c r="U2" s="222"/>
      <c r="V2" s="222"/>
      <c r="W2" s="223"/>
      <c r="X2" s="174"/>
      <c r="Y2" s="224" t="s">
        <v>524</v>
      </c>
      <c r="Z2" s="225"/>
      <c r="AA2" s="225"/>
      <c r="AB2" s="225"/>
      <c r="AC2" s="225"/>
      <c r="AD2" s="225"/>
      <c r="AE2" s="225"/>
      <c r="AF2" s="226"/>
      <c r="AG2" s="174"/>
      <c r="AH2" s="227" t="s">
        <v>56</v>
      </c>
      <c r="AI2" s="228"/>
      <c r="AJ2" s="228"/>
      <c r="AK2" s="228"/>
      <c r="AL2" s="228"/>
      <c r="AM2" s="228"/>
      <c r="AN2" s="228"/>
      <c r="AO2" s="229"/>
    </row>
    <row ht="22.5" r="3" spans="1:41" x14ac:dyDescent="0.2">
      <c r="A3" s="273"/>
      <c r="B3" s="274"/>
      <c r="C3" s="275"/>
      <c r="D3" s="275"/>
      <c r="E3" s="275"/>
      <c r="F3" s="276"/>
      <c r="G3" s="275"/>
      <c r="H3" s="172"/>
      <c r="J3" s="169"/>
      <c r="K3" s="169"/>
      <c r="L3" s="169"/>
      <c r="M3" s="169"/>
      <c r="N3" s="169"/>
      <c r="O3" s="169"/>
      <c r="P3" s="230"/>
      <c r="Q3" s="231" t="s">
        <v>526</v>
      </c>
      <c r="R3" s="232" t="s">
        <v>527</v>
      </c>
      <c r="S3" s="232"/>
      <c r="T3" s="232"/>
      <c r="U3" s="232"/>
      <c r="V3" s="232"/>
      <c r="W3" s="232"/>
      <c r="X3" s="174"/>
      <c r="Y3" s="233"/>
      <c r="Z3" s="234" t="s">
        <v>526</v>
      </c>
      <c r="AA3" s="235" t="s">
        <v>527</v>
      </c>
      <c r="AB3" s="235"/>
      <c r="AC3" s="235"/>
      <c r="AD3" s="235"/>
      <c r="AE3" s="235"/>
      <c r="AF3" s="235"/>
      <c r="AG3" s="174"/>
      <c r="AH3" s="236"/>
      <c r="AI3" s="237" t="s">
        <v>526</v>
      </c>
      <c r="AJ3" s="238" t="s">
        <v>527</v>
      </c>
      <c r="AK3" s="239"/>
      <c r="AL3" s="239"/>
      <c r="AM3" s="239"/>
      <c r="AN3" s="239"/>
      <c r="AO3" s="240"/>
    </row>
    <row ht="39" r="4" spans="1:41" x14ac:dyDescent="0.2">
      <c r="A4" s="177" t="s">
        <v>57</v>
      </c>
      <c r="B4" s="178" t="s">
        <v>58</v>
      </c>
      <c r="C4" s="177" t="s">
        <v>59</v>
      </c>
      <c r="D4" s="179" t="s">
        <v>60</v>
      </c>
      <c r="E4" s="180" t="s">
        <v>61</v>
      </c>
      <c r="F4" s="180" t="s">
        <v>62</v>
      </c>
      <c r="G4" s="180" t="s">
        <v>63</v>
      </c>
      <c r="H4" s="181" t="s">
        <v>64</v>
      </c>
      <c r="I4" s="180" t="s">
        <v>65</v>
      </c>
      <c r="J4" s="179" t="s">
        <v>66</v>
      </c>
      <c r="K4" s="179" t="s">
        <v>67</v>
      </c>
      <c r="L4" s="179" t="s">
        <v>528</v>
      </c>
      <c r="M4" s="179" t="s">
        <v>529</v>
      </c>
      <c r="N4" s="179" t="s">
        <v>68</v>
      </c>
      <c r="O4" s="182"/>
      <c r="P4" s="241" t="s">
        <v>69</v>
      </c>
      <c r="Q4" s="242" t="s">
        <v>530</v>
      </c>
      <c r="R4" s="185" t="s">
        <v>70</v>
      </c>
      <c r="S4" s="185" t="s">
        <v>71</v>
      </c>
      <c r="T4" s="185" t="s">
        <v>72</v>
      </c>
      <c r="U4" s="186" t="s">
        <v>73</v>
      </c>
      <c r="V4" s="186" t="s">
        <v>74</v>
      </c>
      <c r="W4" s="186" t="s">
        <v>531</v>
      </c>
      <c r="X4" s="174"/>
      <c r="Y4" s="243" t="s">
        <v>64</v>
      </c>
      <c r="Z4" s="244" t="s">
        <v>532</v>
      </c>
      <c r="AA4" s="234" t="s">
        <v>70</v>
      </c>
      <c r="AB4" s="234" t="s">
        <v>71</v>
      </c>
      <c r="AC4" s="234" t="s">
        <v>72</v>
      </c>
      <c r="AD4" s="245" t="s">
        <v>76</v>
      </c>
      <c r="AE4" s="245" t="s">
        <v>77</v>
      </c>
      <c r="AF4" s="245" t="s">
        <v>78</v>
      </c>
      <c r="AG4" s="174"/>
      <c r="AH4" s="246" t="s">
        <v>64</v>
      </c>
      <c r="AI4" s="247" t="s">
        <v>532</v>
      </c>
      <c r="AJ4" s="237" t="s">
        <v>70</v>
      </c>
      <c r="AK4" s="237" t="s">
        <v>71</v>
      </c>
      <c r="AL4" s="237" t="s">
        <v>72</v>
      </c>
      <c r="AM4" s="248" t="s">
        <v>76</v>
      </c>
      <c r="AN4" s="248" t="s">
        <v>77</v>
      </c>
      <c r="AO4" s="248" t="s">
        <v>78</v>
      </c>
    </row>
    <row r="5" spans="1:41" x14ac:dyDescent="0.2">
      <c r="A5" s="249">
        <v>1</v>
      </c>
      <c r="B5" s="195">
        <v>1</v>
      </c>
      <c r="C5" s="195" t="s">
        <v>79</v>
      </c>
      <c r="D5" s="195">
        <v>1</v>
      </c>
      <c r="E5" s="195" t="s">
        <v>80</v>
      </c>
      <c r="F5" s="196">
        <v>43070</v>
      </c>
      <c r="G5" s="250" t="s">
        <v>8</v>
      </c>
      <c r="H5" s="251">
        <v>1749</v>
      </c>
      <c r="I5" s="196" t="s">
        <v>81</v>
      </c>
      <c r="J5" s="199">
        <v>2330</v>
      </c>
      <c r="K5" s="199">
        <v>2429</v>
      </c>
      <c r="L5" s="252">
        <v>2428</v>
      </c>
      <c r="M5" s="216">
        <v>1</v>
      </c>
      <c r="N5" s="200">
        <v>0</v>
      </c>
      <c r="O5" s="253"/>
      <c r="P5" s="251">
        <v>1749</v>
      </c>
      <c r="Q5" s="254">
        <v>4</v>
      </c>
      <c r="R5" s="254">
        <v>3.9</v>
      </c>
      <c r="S5" s="254">
        <v>3.7</v>
      </c>
      <c r="T5" s="254">
        <v>0.2</v>
      </c>
      <c r="U5" s="254">
        <v>2.2999999999999998</v>
      </c>
      <c r="V5" s="254">
        <v>2.2999999999999998</v>
      </c>
      <c r="W5" s="254">
        <v>0</v>
      </c>
      <c r="X5" s="214"/>
      <c r="Y5" s="251">
        <v>1749</v>
      </c>
      <c r="Z5" s="254">
        <v>0</v>
      </c>
      <c r="AA5" s="254">
        <v>3.7</v>
      </c>
      <c r="AB5" s="254">
        <v>3.7</v>
      </c>
      <c r="AC5" s="254">
        <v>0</v>
      </c>
      <c r="AD5" s="254">
        <v>2.2999999999999998</v>
      </c>
      <c r="AE5" s="254">
        <v>2.2999999999999998</v>
      </c>
      <c r="AF5" s="254">
        <v>0</v>
      </c>
      <c r="AG5" s="214"/>
      <c r="AH5" s="251">
        <v>1749</v>
      </c>
      <c r="AI5" s="254">
        <v>-4</v>
      </c>
      <c r="AJ5" s="254">
        <v>-0.19999999999999973</v>
      </c>
      <c r="AK5" s="254" t="s">
        <v>82</v>
      </c>
      <c r="AL5" s="254">
        <v>-0.2</v>
      </c>
      <c r="AM5" s="254" t="s">
        <v>82</v>
      </c>
      <c r="AN5" s="254" t="s">
        <v>82</v>
      </c>
      <c r="AO5" s="254" t="s">
        <v>82</v>
      </c>
    </row>
    <row r="6" spans="1:41" x14ac:dyDescent="0.2">
      <c r="A6" s="249">
        <v>2</v>
      </c>
      <c r="B6" s="195">
        <v>1</v>
      </c>
      <c r="C6" s="195" t="s">
        <v>79</v>
      </c>
      <c r="D6" s="195">
        <v>1</v>
      </c>
      <c r="E6" s="195" t="s">
        <v>80</v>
      </c>
      <c r="F6" s="196">
        <v>43131</v>
      </c>
      <c r="G6" s="250" t="s">
        <v>6</v>
      </c>
      <c r="H6" s="251">
        <v>1805</v>
      </c>
      <c r="I6" s="196" t="s">
        <v>81</v>
      </c>
      <c r="J6" s="199">
        <v>2300</v>
      </c>
      <c r="K6" s="199">
        <v>2358</v>
      </c>
      <c r="L6" s="252">
        <v>2357</v>
      </c>
      <c r="M6" s="249">
        <v>1</v>
      </c>
      <c r="N6" s="200">
        <v>0</v>
      </c>
      <c r="O6" s="253"/>
      <c r="P6" s="251">
        <v>1805</v>
      </c>
      <c r="Q6" s="254">
        <v>1.9</v>
      </c>
      <c r="R6" s="213">
        <v>3.3</v>
      </c>
      <c r="S6" s="213">
        <v>3.2</v>
      </c>
      <c r="T6" s="213">
        <v>0.1</v>
      </c>
      <c r="U6" s="213">
        <v>3</v>
      </c>
      <c r="V6" s="213">
        <v>3</v>
      </c>
      <c r="W6" s="213">
        <v>0</v>
      </c>
      <c r="X6" s="214"/>
      <c r="Y6" s="251">
        <v>1805</v>
      </c>
      <c r="Z6" s="213">
        <v>0</v>
      </c>
      <c r="AA6" s="213">
        <v>3.2</v>
      </c>
      <c r="AB6" s="213">
        <v>3.2</v>
      </c>
      <c r="AC6" s="213">
        <v>0</v>
      </c>
      <c r="AD6" s="213">
        <v>3</v>
      </c>
      <c r="AE6" s="213">
        <v>3</v>
      </c>
      <c r="AF6" s="213">
        <v>0</v>
      </c>
      <c r="AG6" s="214"/>
      <c r="AH6" s="251">
        <v>1805</v>
      </c>
      <c r="AI6" s="254">
        <v>-1.9</v>
      </c>
      <c r="AJ6" s="254">
        <v>-9.9999999999999645E-2</v>
      </c>
      <c r="AK6" s="254" t="s">
        <v>82</v>
      </c>
      <c r="AL6" s="254">
        <v>-0.1</v>
      </c>
      <c r="AM6" s="254" t="s">
        <v>82</v>
      </c>
      <c r="AN6" s="254" t="s">
        <v>82</v>
      </c>
      <c r="AO6" s="254" t="s">
        <v>82</v>
      </c>
    </row>
    <row r="7" spans="1:41" x14ac:dyDescent="0.2">
      <c r="A7" s="249">
        <v>3</v>
      </c>
      <c r="B7" s="195">
        <v>1</v>
      </c>
      <c r="C7" s="195" t="s">
        <v>79</v>
      </c>
      <c r="D7" s="195">
        <v>1</v>
      </c>
      <c r="E7" s="195" t="s">
        <v>80</v>
      </c>
      <c r="F7" s="196">
        <v>43142</v>
      </c>
      <c r="G7" s="250" t="s">
        <v>10</v>
      </c>
      <c r="H7" s="251">
        <v>1806</v>
      </c>
      <c r="I7" s="196" t="s">
        <v>85</v>
      </c>
      <c r="J7" s="199">
        <v>1800</v>
      </c>
      <c r="K7" s="199">
        <v>1854</v>
      </c>
      <c r="L7" s="252">
        <v>1842</v>
      </c>
      <c r="M7" s="249">
        <v>1</v>
      </c>
      <c r="N7" s="200">
        <v>0</v>
      </c>
      <c r="O7" s="253"/>
      <c r="P7" s="251">
        <v>1806</v>
      </c>
      <c r="Q7" s="254">
        <v>1.7</v>
      </c>
      <c r="R7" s="213">
        <v>7.3</v>
      </c>
      <c r="S7" s="213">
        <v>7.2</v>
      </c>
      <c r="T7" s="213">
        <v>0.1</v>
      </c>
      <c r="U7" s="213">
        <v>5.6</v>
      </c>
      <c r="V7" s="213">
        <v>5.6</v>
      </c>
      <c r="W7" s="213">
        <v>0</v>
      </c>
      <c r="X7" s="214"/>
      <c r="Y7" s="251">
        <v>1806</v>
      </c>
      <c r="Z7" s="213">
        <v>0</v>
      </c>
      <c r="AA7" s="213">
        <v>7.2</v>
      </c>
      <c r="AB7" s="213">
        <v>7.2</v>
      </c>
      <c r="AC7" s="213">
        <v>0</v>
      </c>
      <c r="AD7" s="213">
        <v>5.6</v>
      </c>
      <c r="AE7" s="213">
        <v>5.6</v>
      </c>
      <c r="AF7" s="213">
        <v>0</v>
      </c>
      <c r="AG7" s="214"/>
      <c r="AH7" s="251">
        <v>1806</v>
      </c>
      <c r="AI7" s="254">
        <v>-1.7</v>
      </c>
      <c r="AJ7" s="254">
        <v>-9.9999999999999645E-2</v>
      </c>
      <c r="AK7" s="254" t="s">
        <v>82</v>
      </c>
      <c r="AL7" s="254">
        <v>-0.1</v>
      </c>
      <c r="AM7" s="254" t="s">
        <v>82</v>
      </c>
      <c r="AN7" s="254" t="s">
        <v>82</v>
      </c>
      <c r="AO7" s="254" t="s">
        <v>82</v>
      </c>
    </row>
    <row r="8" spans="1:41" x14ac:dyDescent="0.2">
      <c r="A8" s="249">
        <v>4</v>
      </c>
      <c r="B8" s="195">
        <v>1</v>
      </c>
      <c r="C8" s="195" t="s">
        <v>79</v>
      </c>
      <c r="D8" s="195">
        <v>1</v>
      </c>
      <c r="E8" s="195" t="s">
        <v>80</v>
      </c>
      <c r="F8" s="196">
        <v>43621</v>
      </c>
      <c r="G8" s="250" t="s">
        <v>6</v>
      </c>
      <c r="H8" s="251">
        <v>1923</v>
      </c>
      <c r="I8" s="196" t="s">
        <v>86</v>
      </c>
      <c r="J8" s="199">
        <v>2359</v>
      </c>
      <c r="K8" s="199">
        <v>2453</v>
      </c>
      <c r="L8" s="252">
        <v>2453</v>
      </c>
      <c r="M8" s="249">
        <v>1</v>
      </c>
      <c r="N8" s="200">
        <v>1</v>
      </c>
      <c r="O8" s="253"/>
      <c r="P8" s="251">
        <v>1923</v>
      </c>
      <c r="Q8" s="254">
        <v>4.0999999999999996</v>
      </c>
      <c r="R8" s="213">
        <v>2.5</v>
      </c>
      <c r="S8" s="213">
        <v>2.1</v>
      </c>
      <c r="T8" s="213">
        <v>0.4</v>
      </c>
      <c r="U8" s="213">
        <v>5.5</v>
      </c>
      <c r="V8" s="213">
        <v>1.4</v>
      </c>
      <c r="W8" s="213">
        <v>4.0999999999999996</v>
      </c>
      <c r="X8" s="214"/>
      <c r="Y8" s="251">
        <v>1923</v>
      </c>
      <c r="Z8" s="213">
        <v>0</v>
      </c>
      <c r="AA8" s="213">
        <v>2.2000000000000002</v>
      </c>
      <c r="AB8" s="213">
        <v>2.1</v>
      </c>
      <c r="AC8" s="213">
        <v>0.1</v>
      </c>
      <c r="AD8" s="213">
        <v>1.4</v>
      </c>
      <c r="AE8" s="213">
        <v>1.4</v>
      </c>
      <c r="AF8" s="213">
        <v>0</v>
      </c>
      <c r="AG8" s="214"/>
      <c r="AH8" s="251">
        <v>1923</v>
      </c>
      <c r="AI8" s="254">
        <v>-4.0999999999999996</v>
      </c>
      <c r="AJ8" s="254">
        <v>-0.29999999999999982</v>
      </c>
      <c r="AK8" s="254" t="s">
        <v>82</v>
      </c>
      <c r="AL8" s="254">
        <v>-0.30000000000000004</v>
      </c>
      <c r="AM8" s="254">
        <v>-4.0999999999999996</v>
      </c>
      <c r="AN8" s="254" t="s">
        <v>82</v>
      </c>
      <c r="AO8" s="254">
        <v>-4.0999999999999996</v>
      </c>
    </row>
    <row r="9" spans="1:41" x14ac:dyDescent="0.2">
      <c r="A9" s="249">
        <v>5</v>
      </c>
      <c r="B9" s="195">
        <v>1</v>
      </c>
      <c r="C9" s="195" t="s">
        <v>79</v>
      </c>
      <c r="D9" s="195">
        <v>1</v>
      </c>
      <c r="E9" s="195" t="s">
        <v>80</v>
      </c>
      <c r="F9" s="196">
        <v>43771</v>
      </c>
      <c r="G9" s="250" t="s">
        <v>9</v>
      </c>
      <c r="H9" s="251">
        <v>1944</v>
      </c>
      <c r="I9" s="196" t="s">
        <v>533</v>
      </c>
      <c r="J9" s="199">
        <v>1745</v>
      </c>
      <c r="K9" s="199">
        <v>2030</v>
      </c>
      <c r="L9" s="252">
        <v>1900</v>
      </c>
      <c r="M9" s="249">
        <v>1</v>
      </c>
      <c r="N9" s="200">
        <v>0</v>
      </c>
      <c r="O9" s="253"/>
      <c r="P9" s="251">
        <v>1944</v>
      </c>
      <c r="Q9" s="254">
        <v>0.9</v>
      </c>
      <c r="R9" s="213">
        <v>13.5</v>
      </c>
      <c r="S9" s="213">
        <v>13.4</v>
      </c>
      <c r="T9" s="213">
        <v>0.1</v>
      </c>
      <c r="U9" s="213">
        <v>6.6</v>
      </c>
      <c r="V9" s="213">
        <v>6.6</v>
      </c>
      <c r="W9" s="213">
        <v>0</v>
      </c>
      <c r="X9" s="214"/>
      <c r="Y9" s="251">
        <v>1944</v>
      </c>
      <c r="Z9" s="213">
        <v>0</v>
      </c>
      <c r="AA9" s="213">
        <v>13.4</v>
      </c>
      <c r="AB9" s="213">
        <v>13.4</v>
      </c>
      <c r="AC9" s="213">
        <v>0</v>
      </c>
      <c r="AD9" s="213">
        <v>6.6</v>
      </c>
      <c r="AE9" s="213">
        <v>6.6</v>
      </c>
      <c r="AF9" s="213">
        <v>0</v>
      </c>
      <c r="AG9" s="214"/>
      <c r="AH9" s="251">
        <v>1944</v>
      </c>
      <c r="AI9" s="254">
        <v>-0.9</v>
      </c>
      <c r="AJ9" s="254">
        <v>-9.9999999999999645E-2</v>
      </c>
      <c r="AK9" s="254" t="s">
        <v>82</v>
      </c>
      <c r="AL9" s="254">
        <v>-0.1</v>
      </c>
      <c r="AM9" s="254" t="s">
        <v>82</v>
      </c>
      <c r="AN9" s="254" t="s">
        <v>82</v>
      </c>
      <c r="AO9" s="254" t="s">
        <v>82</v>
      </c>
    </row>
    <row r="10" spans="1:41" x14ac:dyDescent="0.2">
      <c r="A10" s="249">
        <v>6</v>
      </c>
      <c r="B10" s="195">
        <v>1</v>
      </c>
      <c r="C10" s="195" t="s">
        <v>79</v>
      </c>
      <c r="D10" s="195">
        <v>1</v>
      </c>
      <c r="E10" s="195" t="s">
        <v>80</v>
      </c>
      <c r="F10" s="196">
        <v>44030</v>
      </c>
      <c r="G10" s="250" t="s">
        <v>9</v>
      </c>
      <c r="H10" s="251">
        <v>2029</v>
      </c>
      <c r="I10" s="196" t="s">
        <v>90</v>
      </c>
      <c r="J10" s="199">
        <v>2254</v>
      </c>
      <c r="K10" s="199">
        <v>2259</v>
      </c>
      <c r="L10" s="252">
        <v>2258</v>
      </c>
      <c r="M10" s="249">
        <v>1</v>
      </c>
      <c r="N10" s="200">
        <v>0</v>
      </c>
      <c r="O10" s="253"/>
      <c r="P10" s="251">
        <v>2029</v>
      </c>
      <c r="Q10" s="254">
        <v>0.2</v>
      </c>
      <c r="R10" s="213">
        <v>2.1</v>
      </c>
      <c r="S10" s="213">
        <v>2.1</v>
      </c>
      <c r="T10" s="213">
        <v>0</v>
      </c>
      <c r="U10" s="213">
        <v>1.9</v>
      </c>
      <c r="V10" s="213">
        <v>1.9</v>
      </c>
      <c r="W10" s="213">
        <v>0</v>
      </c>
      <c r="X10" s="214"/>
      <c r="Y10" s="251">
        <v>2029</v>
      </c>
      <c r="Z10" s="213">
        <v>0</v>
      </c>
      <c r="AA10" s="213">
        <v>2.1</v>
      </c>
      <c r="AB10" s="213">
        <v>2.1</v>
      </c>
      <c r="AC10" s="213">
        <v>0</v>
      </c>
      <c r="AD10" s="213">
        <v>1.9</v>
      </c>
      <c r="AE10" s="213">
        <v>1.9</v>
      </c>
      <c r="AF10" s="213">
        <v>0</v>
      </c>
      <c r="AG10" s="214"/>
      <c r="AH10" s="251">
        <v>2029</v>
      </c>
      <c r="AI10" s="254">
        <v>-0.2</v>
      </c>
      <c r="AJ10" s="254" t="s">
        <v>82</v>
      </c>
      <c r="AK10" s="254" t="s">
        <v>82</v>
      </c>
      <c r="AL10" s="254" t="s">
        <v>82</v>
      </c>
      <c r="AM10" s="254" t="s">
        <v>82</v>
      </c>
      <c r="AN10" s="254" t="s">
        <v>82</v>
      </c>
      <c r="AO10" s="254" t="s">
        <v>82</v>
      </c>
    </row>
    <row r="11" spans="1:41" x14ac:dyDescent="0.2">
      <c r="A11" s="249">
        <v>7</v>
      </c>
      <c r="B11" s="195">
        <v>1</v>
      </c>
      <c r="C11" s="195" t="s">
        <v>79</v>
      </c>
      <c r="D11" s="195">
        <v>1</v>
      </c>
      <c r="E11" s="195" t="s">
        <v>80</v>
      </c>
      <c r="F11" s="196">
        <v>44475</v>
      </c>
      <c r="G11" s="250" t="s">
        <v>6</v>
      </c>
      <c r="H11" s="251">
        <v>2141</v>
      </c>
      <c r="I11" s="196" t="s">
        <v>91</v>
      </c>
      <c r="J11" s="199">
        <v>1650</v>
      </c>
      <c r="K11" s="199">
        <v>1752</v>
      </c>
      <c r="L11" s="252">
        <v>1721</v>
      </c>
      <c r="M11" s="249">
        <v>1</v>
      </c>
      <c r="N11" s="200">
        <v>0</v>
      </c>
      <c r="O11" s="253"/>
      <c r="P11" s="251">
        <v>2141</v>
      </c>
      <c r="Q11" s="254">
        <v>3.9</v>
      </c>
      <c r="R11" s="213">
        <v>4.2</v>
      </c>
      <c r="S11" s="213">
        <v>3.9</v>
      </c>
      <c r="T11" s="213">
        <v>0.3</v>
      </c>
      <c r="U11" s="213">
        <v>5.0999999999999996</v>
      </c>
      <c r="V11" s="213">
        <v>5.0999999999999996</v>
      </c>
      <c r="W11" s="213" t="s">
        <v>84</v>
      </c>
      <c r="X11" s="214"/>
      <c r="Y11" s="251">
        <v>2141</v>
      </c>
      <c r="Z11" s="213">
        <v>0</v>
      </c>
      <c r="AA11" s="213">
        <v>3.9</v>
      </c>
      <c r="AB11" s="213">
        <v>3.9</v>
      </c>
      <c r="AC11" s="213">
        <v>0</v>
      </c>
      <c r="AD11" s="213">
        <v>5.0999999999999996</v>
      </c>
      <c r="AE11" s="213">
        <v>5.0999999999999996</v>
      </c>
      <c r="AF11" s="213" t="s">
        <v>84</v>
      </c>
      <c r="AG11" s="214"/>
      <c r="AH11" s="251">
        <v>2141</v>
      </c>
      <c r="AI11" s="254">
        <v>-3.9</v>
      </c>
      <c r="AJ11" s="254">
        <v>-0.30000000000000027</v>
      </c>
      <c r="AK11" s="254" t="s">
        <v>82</v>
      </c>
      <c r="AL11" s="254">
        <v>-0.3</v>
      </c>
      <c r="AM11" s="254" t="s">
        <v>82</v>
      </c>
      <c r="AN11" s="254" t="s">
        <v>82</v>
      </c>
      <c r="AO11" s="254" t="s">
        <v>82</v>
      </c>
    </row>
    <row r="12" spans="1:41" x14ac:dyDescent="0.2">
      <c r="A12" s="249">
        <v>8</v>
      </c>
      <c r="B12" s="195">
        <v>1</v>
      </c>
      <c r="C12" s="195" t="s">
        <v>79</v>
      </c>
      <c r="D12" s="195">
        <v>1</v>
      </c>
      <c r="E12" s="195" t="s">
        <v>80</v>
      </c>
      <c r="F12" s="196">
        <v>44485</v>
      </c>
      <c r="G12" s="250" t="s">
        <v>9</v>
      </c>
      <c r="H12" s="251">
        <v>2142</v>
      </c>
      <c r="I12" s="196" t="s">
        <v>92</v>
      </c>
      <c r="J12" s="199">
        <v>2630</v>
      </c>
      <c r="K12" s="199">
        <v>2729</v>
      </c>
      <c r="L12" s="252">
        <v>2702</v>
      </c>
      <c r="M12" s="249">
        <v>1</v>
      </c>
      <c r="N12" s="200">
        <v>0</v>
      </c>
      <c r="O12" s="253"/>
      <c r="P12" s="251">
        <v>2142</v>
      </c>
      <c r="Q12" s="254">
        <v>0.3</v>
      </c>
      <c r="R12" s="213">
        <v>0.3</v>
      </c>
      <c r="S12" s="213">
        <v>0.3</v>
      </c>
      <c r="T12" s="213">
        <v>0</v>
      </c>
      <c r="U12" s="213">
        <v>0.2</v>
      </c>
      <c r="V12" s="213">
        <v>0.2</v>
      </c>
      <c r="W12" s="213">
        <v>0</v>
      </c>
      <c r="X12" s="214"/>
      <c r="Y12" s="251">
        <v>2142</v>
      </c>
      <c r="Z12" s="213">
        <v>0</v>
      </c>
      <c r="AA12" s="213">
        <v>0.3</v>
      </c>
      <c r="AB12" s="213">
        <v>0.3</v>
      </c>
      <c r="AC12" s="213">
        <v>0</v>
      </c>
      <c r="AD12" s="213">
        <v>0.2</v>
      </c>
      <c r="AE12" s="213">
        <v>0.2</v>
      </c>
      <c r="AF12" s="213">
        <v>0</v>
      </c>
      <c r="AG12" s="214"/>
      <c r="AH12" s="251">
        <v>2142</v>
      </c>
      <c r="AI12" s="254">
        <v>-0.3</v>
      </c>
      <c r="AJ12" s="254" t="s">
        <v>82</v>
      </c>
      <c r="AK12" s="254" t="s">
        <v>82</v>
      </c>
      <c r="AL12" s="254" t="s">
        <v>82</v>
      </c>
      <c r="AM12" s="254" t="s">
        <v>82</v>
      </c>
      <c r="AN12" s="254" t="s">
        <v>82</v>
      </c>
      <c r="AO12" s="254" t="s">
        <v>82</v>
      </c>
    </row>
    <row r="13" spans="1:41" x14ac:dyDescent="0.2">
      <c r="A13" s="249">
        <v>9</v>
      </c>
      <c r="B13" s="195">
        <v>1</v>
      </c>
      <c r="C13" s="195" t="s">
        <v>79</v>
      </c>
      <c r="D13" s="195">
        <v>1</v>
      </c>
      <c r="E13" s="195" t="s">
        <v>80</v>
      </c>
      <c r="F13" s="196">
        <v>44546</v>
      </c>
      <c r="G13" s="250" t="s">
        <v>7</v>
      </c>
      <c r="H13" s="251">
        <v>2151</v>
      </c>
      <c r="I13" s="196" t="s">
        <v>94</v>
      </c>
      <c r="J13" s="199">
        <v>1753</v>
      </c>
      <c r="K13" s="199">
        <v>1859</v>
      </c>
      <c r="L13" s="252">
        <v>1808</v>
      </c>
      <c r="M13" s="249">
        <v>1</v>
      </c>
      <c r="N13" s="200">
        <v>0</v>
      </c>
      <c r="O13" s="253"/>
      <c r="P13" s="251">
        <v>2151</v>
      </c>
      <c r="Q13" s="254">
        <v>1.3</v>
      </c>
      <c r="R13" s="213">
        <v>5.6</v>
      </c>
      <c r="S13" s="213">
        <v>5.5</v>
      </c>
      <c r="T13" s="213">
        <v>0.1</v>
      </c>
      <c r="U13" s="213">
        <v>5.6</v>
      </c>
      <c r="V13" s="213">
        <v>5.6</v>
      </c>
      <c r="W13" s="213" t="s">
        <v>84</v>
      </c>
      <c r="X13" s="214"/>
      <c r="Y13" s="251">
        <v>2151</v>
      </c>
      <c r="Z13" s="213">
        <v>0</v>
      </c>
      <c r="AA13" s="213">
        <v>5.5</v>
      </c>
      <c r="AB13" s="213">
        <v>5.5</v>
      </c>
      <c r="AC13" s="213">
        <v>0</v>
      </c>
      <c r="AD13" s="213">
        <v>5.6</v>
      </c>
      <c r="AE13" s="213">
        <v>5.6</v>
      </c>
      <c r="AF13" s="213" t="s">
        <v>84</v>
      </c>
      <c r="AG13" s="214"/>
      <c r="AH13" s="251">
        <v>2151</v>
      </c>
      <c r="AI13" s="254">
        <v>-1.3</v>
      </c>
      <c r="AJ13" s="254">
        <v>-9.9999999999999645E-2</v>
      </c>
      <c r="AK13" s="254" t="s">
        <v>82</v>
      </c>
      <c r="AL13" s="254">
        <v>-0.1</v>
      </c>
      <c r="AM13" s="254" t="s">
        <v>82</v>
      </c>
      <c r="AN13" s="254" t="s">
        <v>82</v>
      </c>
      <c r="AO13" s="254" t="s">
        <v>82</v>
      </c>
    </row>
    <row r="14" spans="1:41" x14ac:dyDescent="0.2">
      <c r="A14" s="249">
        <v>10</v>
      </c>
      <c r="B14" s="195">
        <v>1</v>
      </c>
      <c r="C14" s="195" t="s">
        <v>79</v>
      </c>
      <c r="D14" s="195">
        <v>1</v>
      </c>
      <c r="E14" s="195" t="s">
        <v>80</v>
      </c>
      <c r="F14" s="196">
        <v>44549</v>
      </c>
      <c r="G14" s="250" t="s">
        <v>10</v>
      </c>
      <c r="H14" s="251">
        <v>2151</v>
      </c>
      <c r="I14" s="196" t="s">
        <v>534</v>
      </c>
      <c r="J14" s="199">
        <v>2800</v>
      </c>
      <c r="K14" s="199">
        <v>2829</v>
      </c>
      <c r="L14" s="252">
        <v>2802</v>
      </c>
      <c r="M14" s="249">
        <v>0</v>
      </c>
      <c r="N14" s="200">
        <v>0</v>
      </c>
      <c r="O14" s="253"/>
      <c r="P14" s="251">
        <v>2151</v>
      </c>
      <c r="Q14" s="254">
        <v>1.4</v>
      </c>
      <c r="R14" s="255"/>
      <c r="S14" s="255"/>
      <c r="T14" s="255"/>
      <c r="U14" s="255"/>
      <c r="V14" s="255"/>
      <c r="W14" s="255"/>
      <c r="X14" s="214"/>
      <c r="Y14" s="251">
        <v>2151</v>
      </c>
      <c r="Z14" s="213">
        <v>0</v>
      </c>
      <c r="AA14" s="255"/>
      <c r="AB14" s="255"/>
      <c r="AC14" s="255"/>
      <c r="AD14" s="255"/>
      <c r="AE14" s="255"/>
      <c r="AF14" s="255"/>
      <c r="AG14" s="214"/>
      <c r="AH14" s="251">
        <v>2151</v>
      </c>
      <c r="AI14" s="254">
        <v>-1.4</v>
      </c>
      <c r="AJ14" s="254" t="s">
        <v>82</v>
      </c>
      <c r="AK14" s="254" t="s">
        <v>82</v>
      </c>
      <c r="AL14" s="254" t="s">
        <v>82</v>
      </c>
      <c r="AM14" s="254" t="s">
        <v>82</v>
      </c>
      <c r="AN14" s="254" t="s">
        <v>82</v>
      </c>
      <c r="AO14" s="254" t="s">
        <v>82</v>
      </c>
    </row>
  </sheetData>
  <mergeCells count="6">
    <mergeCell ref="P2:W2"/>
    <mergeCell ref="Y2:AF2"/>
    <mergeCell ref="AH2:AO2"/>
    <mergeCell ref="R3:W3"/>
    <mergeCell ref="AA3:AF3"/>
    <mergeCell ref="AJ3:AO3"/>
  </mergeCells>
  <phoneticPr fontId="3"/>
  <conditionalFormatting sqref="W5:AB8">
    <cfRule dxfId="6" operator="notEqual" priority="7" type="cellIs">
      <formula>#REF!</formula>
    </cfRule>
  </conditionalFormatting>
  <conditionalFormatting sqref="W9:AB14">
    <cfRule dxfId="5" operator="notEqual" priority="6" type="cellIs">
      <formula>#REF!</formula>
    </cfRule>
  </conditionalFormatting>
  <conditionalFormatting sqref="AE5:AJ8">
    <cfRule dxfId="4" operator="notEqual" priority="5" type="cellIs">
      <formula>#REF!</formula>
    </cfRule>
  </conditionalFormatting>
  <conditionalFormatting sqref="AE9:AE12">
    <cfRule dxfId="3" operator="notEqual" priority="4" type="cellIs">
      <formula>#REF!</formula>
    </cfRule>
  </conditionalFormatting>
  <conditionalFormatting sqref="AE13:AE14">
    <cfRule dxfId="2" operator="notEqual" priority="3" type="cellIs">
      <formula>#REF!</formula>
    </cfRule>
  </conditionalFormatting>
  <conditionalFormatting sqref="AF9:AJ12">
    <cfRule dxfId="1" operator="notEqual" priority="2" type="cellIs">
      <formula>#REF!</formula>
    </cfRule>
  </conditionalFormatting>
  <conditionalFormatting sqref="AF13:AJ14">
    <cfRule dxfId="0" operator="notEqual" priority="1" type="cellIs">
      <formula>#REF!</formula>
    </cfRule>
  </conditionalFormatting>
  <pageMargins bottom="0.75" footer="0.3" header="0.3" left="0.7" right="0.7" top="0.75"/>
  <pageSetup orientation="portrait" paperSize="9" r:id="rId1"/>
  <drawing r:id="rId2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7B80-1A4B-4CFA-A502-3AB86A848314}">
  <sheetPr>
    <tabColor theme="7" tint="0.59999389629810485"/>
  </sheetPr>
  <dimension ref="A1:AP601"/>
  <sheetViews>
    <sheetView workbookViewId="0" zoomScale="70" zoomScaleNormal="70">
      <pane activePane="bottomRight" state="frozen" topLeftCell="J5" xSplit="9" ySplit="4"/>
      <selection activeCell="F24" sqref="F24"/>
      <selection activeCell="F24" pane="topRight" sqref="F24"/>
      <selection activeCell="F24" pane="bottomLeft" sqref="F24"/>
      <selection pane="bottomRight"/>
    </sheetView>
  </sheetViews>
  <sheetFormatPr defaultColWidth="8.90625" defaultRowHeight="13" x14ac:dyDescent="0.2"/>
  <cols>
    <col min="1" max="1" customWidth="true" style="169" width="10.26953125" collapsed="false"/>
    <col min="2" max="2" customWidth="true" style="168" width="9.7265625" collapsed="false"/>
    <col min="3" max="3" bestFit="true" customWidth="true" style="168" width="11.54296875" collapsed="false"/>
    <col min="4" max="4" customWidth="true" style="169" width="8.90625" collapsed="false"/>
    <col min="5" max="5" customWidth="true" style="169" width="12.7265625" collapsed="false"/>
    <col min="6" max="6" bestFit="true" customWidth="true" style="168" width="12.7265625" collapsed="false"/>
    <col min="7" max="7" bestFit="true" customWidth="true" style="169" width="11.453125" collapsed="false"/>
    <col min="8" max="8" customWidth="true" style="172" width="9.1796875" collapsed="false"/>
    <col min="9" max="9" customWidth="true" style="169" width="46.54296875" collapsed="false"/>
    <col min="10" max="10" customWidth="true" style="169" width="10.453125" collapsed="false"/>
    <col min="11" max="11" customWidth="true" style="169" width="12.54296875" collapsed="false"/>
    <col min="12" max="12" bestFit="true" customWidth="true" style="169" width="10.26953125" collapsed="false"/>
    <col min="13" max="14" customWidth="true" style="169" width="10.26953125" collapsed="false"/>
    <col min="15" max="15" customWidth="true" style="169" width="3.453125" collapsed="false"/>
    <col min="16" max="16" bestFit="true" customWidth="true" style="169" width="10.26953125" collapsed="false"/>
    <col min="17" max="23" customWidth="true" style="169" width="10.26953125" collapsed="false"/>
    <col min="24" max="24" customWidth="true" style="169" width="3.90625" collapsed="false"/>
    <col min="25" max="27" bestFit="true" customWidth="true" style="169" width="10.26953125" collapsed="false"/>
    <col min="28" max="32" customWidth="true" style="169" width="10.26953125" collapsed="false"/>
    <col min="33" max="33" customWidth="true" style="169" width="3.90625" collapsed="false"/>
    <col min="34" max="36" bestFit="true" customWidth="true" style="169" width="10.26953125" collapsed="false"/>
    <col min="37" max="41" customWidth="true" style="169" width="10.26953125" collapsed="false"/>
    <col min="42" max="16384" style="169" width="8.90625" collapsed="false"/>
  </cols>
  <sheetData>
    <row ht="16.5" r="1" spans="1:41" x14ac:dyDescent="0.2">
      <c r="A1" s="167" t="s">
        <v>522</v>
      </c>
      <c r="C1" s="169"/>
      <c r="F1" s="170"/>
      <c r="G1" s="170"/>
      <c r="H1" s="170"/>
      <c r="I1" s="170"/>
      <c r="J1" s="220"/>
      <c r="K1" s="220"/>
      <c r="L1" s="220"/>
    </row>
    <row customHeight="1" ht="18.75" r="2" spans="1:41" x14ac:dyDescent="0.2">
      <c r="B2" s="169"/>
      <c r="C2" s="169"/>
      <c r="I2" s="169" t="s">
        <v>52</v>
      </c>
      <c r="P2" s="221" t="s">
        <v>523</v>
      </c>
      <c r="Q2" s="222"/>
      <c r="R2" s="222"/>
      <c r="S2" s="222"/>
      <c r="T2" s="222"/>
      <c r="U2" s="222"/>
      <c r="V2" s="222"/>
      <c r="W2" s="223"/>
      <c r="X2" s="174"/>
      <c r="Y2" s="224" t="s">
        <v>524</v>
      </c>
      <c r="Z2" s="225"/>
      <c r="AA2" s="225"/>
      <c r="AB2" s="225"/>
      <c r="AC2" s="225"/>
      <c r="AD2" s="225"/>
      <c r="AE2" s="225"/>
      <c r="AF2" s="226"/>
      <c r="AG2" s="174"/>
      <c r="AH2" s="227" t="s">
        <v>56</v>
      </c>
      <c r="AI2" s="228"/>
      <c r="AJ2" s="228"/>
      <c r="AK2" s="228"/>
      <c r="AL2" s="228"/>
      <c r="AM2" s="228"/>
      <c r="AN2" s="228"/>
      <c r="AO2" s="229"/>
    </row>
    <row customHeight="1" ht="18.75" r="3" spans="1:41" x14ac:dyDescent="0.2">
      <c r="B3" s="169"/>
      <c r="C3" s="169"/>
      <c r="I3" s="169" t="s">
        <v>525</v>
      </c>
      <c r="P3" s="230"/>
      <c r="Q3" s="231" t="s">
        <v>526</v>
      </c>
      <c r="R3" s="232" t="s">
        <v>527</v>
      </c>
      <c r="S3" s="232"/>
      <c r="T3" s="232"/>
      <c r="U3" s="232"/>
      <c r="V3" s="232"/>
      <c r="W3" s="232"/>
      <c r="X3" s="174"/>
      <c r="Y3" s="233"/>
      <c r="Z3" s="234" t="s">
        <v>526</v>
      </c>
      <c r="AA3" s="235" t="s">
        <v>527</v>
      </c>
      <c r="AB3" s="235"/>
      <c r="AC3" s="235"/>
      <c r="AD3" s="235"/>
      <c r="AE3" s="235"/>
      <c r="AF3" s="235"/>
      <c r="AG3" s="174"/>
      <c r="AH3" s="236"/>
      <c r="AI3" s="237" t="s">
        <v>526</v>
      </c>
      <c r="AJ3" s="238" t="s">
        <v>527</v>
      </c>
      <c r="AK3" s="239"/>
      <c r="AL3" s="239"/>
      <c r="AM3" s="239"/>
      <c r="AN3" s="239"/>
      <c r="AO3" s="240"/>
    </row>
    <row ht="26" r="4" spans="1:41" x14ac:dyDescent="0.2">
      <c r="A4" s="177" t="s">
        <v>57</v>
      </c>
      <c r="B4" s="178" t="s">
        <v>58</v>
      </c>
      <c r="C4" s="177" t="s">
        <v>59</v>
      </c>
      <c r="D4" s="179" t="s">
        <v>60</v>
      </c>
      <c r="E4" s="180" t="s">
        <v>61</v>
      </c>
      <c r="F4" s="180" t="s">
        <v>62</v>
      </c>
      <c r="G4" s="180" t="s">
        <v>63</v>
      </c>
      <c r="H4" s="181" t="s">
        <v>64</v>
      </c>
      <c r="I4" s="180" t="s">
        <v>65</v>
      </c>
      <c r="J4" s="179" t="s">
        <v>66</v>
      </c>
      <c r="K4" s="179" t="s">
        <v>67</v>
      </c>
      <c r="L4" s="179" t="s">
        <v>528</v>
      </c>
      <c r="M4" s="179" t="s">
        <v>529</v>
      </c>
      <c r="N4" s="179" t="s">
        <v>68</v>
      </c>
      <c r="O4" s="182"/>
      <c r="P4" s="241" t="s">
        <v>69</v>
      </c>
      <c r="Q4" s="242" t="s">
        <v>530</v>
      </c>
      <c r="R4" s="185" t="s">
        <v>70</v>
      </c>
      <c r="S4" s="185" t="s">
        <v>71</v>
      </c>
      <c r="T4" s="185" t="s">
        <v>72</v>
      </c>
      <c r="U4" s="186" t="s">
        <v>73</v>
      </c>
      <c r="V4" s="186" t="s">
        <v>74</v>
      </c>
      <c r="W4" s="186" t="s">
        <v>531</v>
      </c>
      <c r="X4" s="174"/>
      <c r="Y4" s="243" t="s">
        <v>64</v>
      </c>
      <c r="Z4" s="244" t="s">
        <v>532</v>
      </c>
      <c r="AA4" s="234" t="s">
        <v>70</v>
      </c>
      <c r="AB4" s="234" t="s">
        <v>71</v>
      </c>
      <c r="AC4" s="234" t="s">
        <v>72</v>
      </c>
      <c r="AD4" s="245" t="s">
        <v>76</v>
      </c>
      <c r="AE4" s="245" t="s">
        <v>77</v>
      </c>
      <c r="AF4" s="245" t="s">
        <v>78</v>
      </c>
      <c r="AG4" s="174"/>
      <c r="AH4" s="246" t="s">
        <v>64</v>
      </c>
      <c r="AI4" s="247" t="s">
        <v>532</v>
      </c>
      <c r="AJ4" s="237" t="s">
        <v>70</v>
      </c>
      <c r="AK4" s="237" t="s">
        <v>71</v>
      </c>
      <c r="AL4" s="237" t="s">
        <v>72</v>
      </c>
      <c r="AM4" s="248" t="s">
        <v>76</v>
      </c>
      <c r="AN4" s="248" t="s">
        <v>77</v>
      </c>
      <c r="AO4" s="248" t="s">
        <v>78</v>
      </c>
    </row>
    <row customFormat="1" r="5" s="205" spans="1:41" x14ac:dyDescent="0.2">
      <c r="A5" s="249">
        <v>1</v>
      </c>
      <c r="B5" s="195">
        <v>1</v>
      </c>
      <c r="C5" s="195" t="s">
        <v>79</v>
      </c>
      <c r="D5" s="195">
        <v>1</v>
      </c>
      <c r="E5" s="195" t="s">
        <v>80</v>
      </c>
      <c r="F5" s="196">
        <v>43070</v>
      </c>
      <c r="G5" s="250" t="s">
        <v>8</v>
      </c>
      <c r="H5" s="251">
        <v>1749</v>
      </c>
      <c r="I5" s="196" t="s">
        <v>81</v>
      </c>
      <c r="J5" s="199">
        <v>2330</v>
      </c>
      <c r="K5" s="199">
        <v>2429</v>
      </c>
      <c r="L5" s="252">
        <v>2428</v>
      </c>
      <c r="M5" s="216">
        <v>1</v>
      </c>
      <c r="N5" s="200">
        <v>0</v>
      </c>
      <c r="O5" s="253"/>
      <c r="P5" s="251">
        <v>1749</v>
      </c>
      <c r="Q5" s="254">
        <v>4</v>
      </c>
      <c r="R5" s="254">
        <v>3.9</v>
      </c>
      <c r="S5" s="254">
        <v>3.7</v>
      </c>
      <c r="T5" s="254">
        <v>0.2</v>
      </c>
      <c r="U5" s="254">
        <v>2.2999999999999998</v>
      </c>
      <c r="V5" s="254">
        <v>2.2999999999999998</v>
      </c>
      <c r="W5" s="254">
        <v>0</v>
      </c>
      <c r="X5" s="214"/>
      <c r="Y5" s="251">
        <v>1749</v>
      </c>
      <c r="Z5" s="254">
        <v>0</v>
      </c>
      <c r="AA5" s="254">
        <v>3.7</v>
      </c>
      <c r="AB5" s="254">
        <v>3.7</v>
      </c>
      <c r="AC5" s="254">
        <v>0</v>
      </c>
      <c r="AD5" s="254">
        <v>2.2999999999999998</v>
      </c>
      <c r="AE5" s="254">
        <v>2.2999999999999998</v>
      </c>
      <c r="AF5" s="254">
        <v>0</v>
      </c>
      <c r="AG5" s="214"/>
      <c r="AH5" s="251">
        <v>1749</v>
      </c>
      <c r="AI5" s="254">
        <v>-4</v>
      </c>
      <c r="AJ5" s="254">
        <v>-0.19999999999999973</v>
      </c>
      <c r="AK5" s="254" t="s">
        <v>82</v>
      </c>
      <c r="AL5" s="254">
        <v>-0.2</v>
      </c>
      <c r="AM5" s="254" t="s">
        <v>82</v>
      </c>
      <c r="AN5" s="254" t="s">
        <v>82</v>
      </c>
      <c r="AO5" s="254" t="s">
        <v>82</v>
      </c>
    </row>
    <row customFormat="1" r="6" s="205" spans="1:41" x14ac:dyDescent="0.2">
      <c r="A6" s="249">
        <v>2</v>
      </c>
      <c r="B6" s="195">
        <v>1</v>
      </c>
      <c r="C6" s="195" t="s">
        <v>79</v>
      </c>
      <c r="D6" s="195">
        <v>1</v>
      </c>
      <c r="E6" s="195" t="s">
        <v>80</v>
      </c>
      <c r="F6" s="196">
        <v>43131</v>
      </c>
      <c r="G6" s="250" t="s">
        <v>6</v>
      </c>
      <c r="H6" s="251">
        <v>1805</v>
      </c>
      <c r="I6" s="196" t="s">
        <v>81</v>
      </c>
      <c r="J6" s="199">
        <v>2300</v>
      </c>
      <c r="K6" s="199">
        <v>2358</v>
      </c>
      <c r="L6" s="252">
        <v>2357</v>
      </c>
      <c r="M6" s="249">
        <v>1</v>
      </c>
      <c r="N6" s="200">
        <v>0</v>
      </c>
      <c r="O6" s="253"/>
      <c r="P6" s="251">
        <v>1805</v>
      </c>
      <c r="Q6" s="254">
        <v>1.9</v>
      </c>
      <c r="R6" s="213">
        <v>3.3</v>
      </c>
      <c r="S6" s="213">
        <v>3.2</v>
      </c>
      <c r="T6" s="213">
        <v>0.1</v>
      </c>
      <c r="U6" s="213">
        <v>3</v>
      </c>
      <c r="V6" s="213">
        <v>3</v>
      </c>
      <c r="W6" s="213">
        <v>0</v>
      </c>
      <c r="X6" s="214"/>
      <c r="Y6" s="251">
        <v>1805</v>
      </c>
      <c r="Z6" s="213">
        <v>0</v>
      </c>
      <c r="AA6" s="213">
        <v>3.2</v>
      </c>
      <c r="AB6" s="213">
        <v>3.2</v>
      </c>
      <c r="AC6" s="213">
        <v>0</v>
      </c>
      <c r="AD6" s="213">
        <v>3</v>
      </c>
      <c r="AE6" s="213">
        <v>3</v>
      </c>
      <c r="AF6" s="213">
        <v>0</v>
      </c>
      <c r="AG6" s="214"/>
      <c r="AH6" s="251">
        <v>1805</v>
      </c>
      <c r="AI6" s="254">
        <v>-1.9</v>
      </c>
      <c r="AJ6" s="254">
        <v>-9.9999999999999645E-2</v>
      </c>
      <c r="AK6" s="254" t="s">
        <v>82</v>
      </c>
      <c r="AL6" s="254">
        <v>-0.1</v>
      </c>
      <c r="AM6" s="254" t="s">
        <v>82</v>
      </c>
      <c r="AN6" s="254" t="s">
        <v>82</v>
      </c>
      <c r="AO6" s="254" t="s">
        <v>82</v>
      </c>
    </row>
    <row customFormat="1" r="7" s="205" spans="1:41" x14ac:dyDescent="0.2">
      <c r="A7" s="249">
        <v>3</v>
      </c>
      <c r="B7" s="195">
        <v>1</v>
      </c>
      <c r="C7" s="195" t="s">
        <v>79</v>
      </c>
      <c r="D7" s="195">
        <v>1</v>
      </c>
      <c r="E7" s="195" t="s">
        <v>80</v>
      </c>
      <c r="F7" s="196">
        <v>43142</v>
      </c>
      <c r="G7" s="250" t="s">
        <v>10</v>
      </c>
      <c r="H7" s="251">
        <v>1806</v>
      </c>
      <c r="I7" s="196" t="s">
        <v>85</v>
      </c>
      <c r="J7" s="199">
        <v>1800</v>
      </c>
      <c r="K7" s="199">
        <v>1854</v>
      </c>
      <c r="L7" s="252">
        <v>1842</v>
      </c>
      <c r="M7" s="249">
        <v>1</v>
      </c>
      <c r="N7" s="200">
        <v>0</v>
      </c>
      <c r="O7" s="253"/>
      <c r="P7" s="251">
        <v>1806</v>
      </c>
      <c r="Q7" s="254">
        <v>1.7</v>
      </c>
      <c r="R7" s="213">
        <v>7.3</v>
      </c>
      <c r="S7" s="213">
        <v>7.2</v>
      </c>
      <c r="T7" s="213">
        <v>0.1</v>
      </c>
      <c r="U7" s="213">
        <v>5.6</v>
      </c>
      <c r="V7" s="213">
        <v>5.6</v>
      </c>
      <c r="W7" s="213">
        <v>0</v>
      </c>
      <c r="X7" s="214"/>
      <c r="Y7" s="251">
        <v>1806</v>
      </c>
      <c r="Z7" s="213">
        <v>0</v>
      </c>
      <c r="AA7" s="213">
        <v>7.2</v>
      </c>
      <c r="AB7" s="213">
        <v>7.2</v>
      </c>
      <c r="AC7" s="213">
        <v>0</v>
      </c>
      <c r="AD7" s="213">
        <v>5.6</v>
      </c>
      <c r="AE7" s="213">
        <v>5.6</v>
      </c>
      <c r="AF7" s="213">
        <v>0</v>
      </c>
      <c r="AG7" s="214"/>
      <c r="AH7" s="251">
        <v>1806</v>
      </c>
      <c r="AI7" s="254">
        <v>-1.7</v>
      </c>
      <c r="AJ7" s="254">
        <v>-9.9999999999999645E-2</v>
      </c>
      <c r="AK7" s="254" t="s">
        <v>82</v>
      </c>
      <c r="AL7" s="254">
        <v>-0.1</v>
      </c>
      <c r="AM7" s="254" t="s">
        <v>82</v>
      </c>
      <c r="AN7" s="254" t="s">
        <v>82</v>
      </c>
      <c r="AO7" s="254" t="s">
        <v>82</v>
      </c>
    </row>
    <row customFormat="1" r="8" s="205" spans="1:41" x14ac:dyDescent="0.2">
      <c r="A8" s="249">
        <v>4</v>
      </c>
      <c r="B8" s="195">
        <v>1</v>
      </c>
      <c r="C8" s="195" t="s">
        <v>79</v>
      </c>
      <c r="D8" s="195">
        <v>1</v>
      </c>
      <c r="E8" s="195" t="s">
        <v>80</v>
      </c>
      <c r="F8" s="196">
        <v>43621</v>
      </c>
      <c r="G8" s="250" t="s">
        <v>6</v>
      </c>
      <c r="H8" s="251">
        <v>1923</v>
      </c>
      <c r="I8" s="196" t="s">
        <v>86</v>
      </c>
      <c r="J8" s="199">
        <v>2359</v>
      </c>
      <c r="K8" s="199">
        <v>2453</v>
      </c>
      <c r="L8" s="252">
        <v>2453</v>
      </c>
      <c r="M8" s="249">
        <v>1</v>
      </c>
      <c r="N8" s="200">
        <v>1</v>
      </c>
      <c r="O8" s="253"/>
      <c r="P8" s="251">
        <v>1923</v>
      </c>
      <c r="Q8" s="254">
        <v>4.0999999999999996</v>
      </c>
      <c r="R8" s="213">
        <v>2.5</v>
      </c>
      <c r="S8" s="213">
        <v>2.1</v>
      </c>
      <c r="T8" s="213">
        <v>0.4</v>
      </c>
      <c r="U8" s="213">
        <v>5.5</v>
      </c>
      <c r="V8" s="213">
        <v>1.4</v>
      </c>
      <c r="W8" s="213">
        <v>4.0999999999999996</v>
      </c>
      <c r="X8" s="214"/>
      <c r="Y8" s="251">
        <v>1923</v>
      </c>
      <c r="Z8" s="213">
        <v>0</v>
      </c>
      <c r="AA8" s="213">
        <v>2.2000000000000002</v>
      </c>
      <c r="AB8" s="213">
        <v>2.1</v>
      </c>
      <c r="AC8" s="213">
        <v>0.1</v>
      </c>
      <c r="AD8" s="213">
        <v>1.4</v>
      </c>
      <c r="AE8" s="213">
        <v>1.4</v>
      </c>
      <c r="AF8" s="213">
        <v>0</v>
      </c>
      <c r="AG8" s="214"/>
      <c r="AH8" s="251">
        <v>1923</v>
      </c>
      <c r="AI8" s="254">
        <v>-4.0999999999999996</v>
      </c>
      <c r="AJ8" s="254">
        <v>-0.29999999999999982</v>
      </c>
      <c r="AK8" s="254" t="s">
        <v>82</v>
      </c>
      <c r="AL8" s="254">
        <v>-0.30000000000000004</v>
      </c>
      <c r="AM8" s="254">
        <v>-4.0999999999999996</v>
      </c>
      <c r="AN8" s="254" t="s">
        <v>82</v>
      </c>
      <c r="AO8" s="254">
        <v>-4.0999999999999996</v>
      </c>
    </row>
    <row customFormat="1" r="9" s="205" spans="1:41" x14ac:dyDescent="0.2">
      <c r="A9" s="249">
        <v>5</v>
      </c>
      <c r="B9" s="195">
        <v>1</v>
      </c>
      <c r="C9" s="195" t="s">
        <v>79</v>
      </c>
      <c r="D9" s="195">
        <v>1</v>
      </c>
      <c r="E9" s="195" t="s">
        <v>80</v>
      </c>
      <c r="F9" s="196">
        <v>43771</v>
      </c>
      <c r="G9" s="250" t="s">
        <v>9</v>
      </c>
      <c r="H9" s="251">
        <v>1944</v>
      </c>
      <c r="I9" s="196" t="s">
        <v>533</v>
      </c>
      <c r="J9" s="199">
        <v>1745</v>
      </c>
      <c r="K9" s="199">
        <v>2030</v>
      </c>
      <c r="L9" s="252">
        <v>1900</v>
      </c>
      <c r="M9" s="249">
        <v>1</v>
      </c>
      <c r="N9" s="200">
        <v>0</v>
      </c>
      <c r="O9" s="253"/>
      <c r="P9" s="251">
        <v>1944</v>
      </c>
      <c r="Q9" s="254">
        <v>0.9</v>
      </c>
      <c r="R9" s="213">
        <v>13.5</v>
      </c>
      <c r="S9" s="213">
        <v>13.4</v>
      </c>
      <c r="T9" s="213">
        <v>0.1</v>
      </c>
      <c r="U9" s="213">
        <v>6.6</v>
      </c>
      <c r="V9" s="213">
        <v>6.6</v>
      </c>
      <c r="W9" s="213">
        <v>0</v>
      </c>
      <c r="X9" s="214"/>
      <c r="Y9" s="251">
        <v>1944</v>
      </c>
      <c r="Z9" s="213">
        <v>0</v>
      </c>
      <c r="AA9" s="213">
        <v>13.4</v>
      </c>
      <c r="AB9" s="213">
        <v>13.4</v>
      </c>
      <c r="AC9" s="213">
        <v>0</v>
      </c>
      <c r="AD9" s="213">
        <v>6.6</v>
      </c>
      <c r="AE9" s="213">
        <v>6.6</v>
      </c>
      <c r="AF9" s="213">
        <v>0</v>
      </c>
      <c r="AG9" s="214"/>
      <c r="AH9" s="251">
        <v>1944</v>
      </c>
      <c r="AI9" s="254">
        <v>-0.9</v>
      </c>
      <c r="AJ9" s="254">
        <v>-9.9999999999999645E-2</v>
      </c>
      <c r="AK9" s="254" t="s">
        <v>82</v>
      </c>
      <c r="AL9" s="254">
        <v>-0.1</v>
      </c>
      <c r="AM9" s="254" t="s">
        <v>82</v>
      </c>
      <c r="AN9" s="254" t="s">
        <v>82</v>
      </c>
      <c r="AO9" s="254" t="s">
        <v>82</v>
      </c>
    </row>
    <row customFormat="1" r="10" s="205" spans="1:41" x14ac:dyDescent="0.2">
      <c r="A10" s="249">
        <v>6</v>
      </c>
      <c r="B10" s="195">
        <v>1</v>
      </c>
      <c r="C10" s="195" t="s">
        <v>79</v>
      </c>
      <c r="D10" s="195">
        <v>1</v>
      </c>
      <c r="E10" s="195" t="s">
        <v>80</v>
      </c>
      <c r="F10" s="196">
        <v>44030</v>
      </c>
      <c r="G10" s="250" t="s">
        <v>9</v>
      </c>
      <c r="H10" s="251">
        <v>2029</v>
      </c>
      <c r="I10" s="196" t="s">
        <v>90</v>
      </c>
      <c r="J10" s="199">
        <v>2254</v>
      </c>
      <c r="K10" s="199">
        <v>2259</v>
      </c>
      <c r="L10" s="252">
        <v>2258</v>
      </c>
      <c r="M10" s="249">
        <v>1</v>
      </c>
      <c r="N10" s="200">
        <v>0</v>
      </c>
      <c r="O10" s="253"/>
      <c r="P10" s="251">
        <v>2029</v>
      </c>
      <c r="Q10" s="254">
        <v>0.2</v>
      </c>
      <c r="R10" s="213">
        <v>2.1</v>
      </c>
      <c r="S10" s="213">
        <v>2.1</v>
      </c>
      <c r="T10" s="213">
        <v>0</v>
      </c>
      <c r="U10" s="213">
        <v>1.9</v>
      </c>
      <c r="V10" s="213">
        <v>1.9</v>
      </c>
      <c r="W10" s="213">
        <v>0</v>
      </c>
      <c r="X10" s="214"/>
      <c r="Y10" s="251">
        <v>2029</v>
      </c>
      <c r="Z10" s="213">
        <v>0</v>
      </c>
      <c r="AA10" s="213">
        <v>2.1</v>
      </c>
      <c r="AB10" s="213">
        <v>2.1</v>
      </c>
      <c r="AC10" s="213">
        <v>0</v>
      </c>
      <c r="AD10" s="213">
        <v>1.9</v>
      </c>
      <c r="AE10" s="213">
        <v>1.9</v>
      </c>
      <c r="AF10" s="213">
        <v>0</v>
      </c>
      <c r="AG10" s="214"/>
      <c r="AH10" s="251">
        <v>2029</v>
      </c>
      <c r="AI10" s="254">
        <v>-0.2</v>
      </c>
      <c r="AJ10" s="254" t="s">
        <v>82</v>
      </c>
      <c r="AK10" s="254" t="s">
        <v>82</v>
      </c>
      <c r="AL10" s="254" t="s">
        <v>82</v>
      </c>
      <c r="AM10" s="254" t="s">
        <v>82</v>
      </c>
      <c r="AN10" s="254" t="s">
        <v>82</v>
      </c>
      <c r="AO10" s="254" t="s">
        <v>82</v>
      </c>
    </row>
    <row customFormat="1" r="11" s="205" spans="1:41" x14ac:dyDescent="0.2">
      <c r="A11" s="249">
        <v>7</v>
      </c>
      <c r="B11" s="195">
        <v>1</v>
      </c>
      <c r="C11" s="195" t="s">
        <v>79</v>
      </c>
      <c r="D11" s="195">
        <v>1</v>
      </c>
      <c r="E11" s="195" t="s">
        <v>80</v>
      </c>
      <c r="F11" s="196">
        <v>44475</v>
      </c>
      <c r="G11" s="250" t="s">
        <v>6</v>
      </c>
      <c r="H11" s="251">
        <v>2141</v>
      </c>
      <c r="I11" s="196" t="s">
        <v>91</v>
      </c>
      <c r="J11" s="199">
        <v>1650</v>
      </c>
      <c r="K11" s="199">
        <v>1752</v>
      </c>
      <c r="L11" s="252">
        <v>1721</v>
      </c>
      <c r="M11" s="249">
        <v>1</v>
      </c>
      <c r="N11" s="200">
        <v>0</v>
      </c>
      <c r="O11" s="253"/>
      <c r="P11" s="251">
        <v>2141</v>
      </c>
      <c r="Q11" s="254">
        <v>3.9</v>
      </c>
      <c r="R11" s="213">
        <v>4.2</v>
      </c>
      <c r="S11" s="213">
        <v>3.9</v>
      </c>
      <c r="T11" s="213">
        <v>0.3</v>
      </c>
      <c r="U11" s="213">
        <v>5.0999999999999996</v>
      </c>
      <c r="V11" s="213">
        <v>5.0999999999999996</v>
      </c>
      <c r="W11" s="213" t="s">
        <v>84</v>
      </c>
      <c r="X11" s="214"/>
      <c r="Y11" s="251">
        <v>2141</v>
      </c>
      <c r="Z11" s="213">
        <v>0</v>
      </c>
      <c r="AA11" s="213">
        <v>3.9</v>
      </c>
      <c r="AB11" s="213">
        <v>3.9</v>
      </c>
      <c r="AC11" s="213">
        <v>0</v>
      </c>
      <c r="AD11" s="213">
        <v>5.0999999999999996</v>
      </c>
      <c r="AE11" s="213">
        <v>5.0999999999999996</v>
      </c>
      <c r="AF11" s="213" t="s">
        <v>84</v>
      </c>
      <c r="AG11" s="214"/>
      <c r="AH11" s="251">
        <v>2141</v>
      </c>
      <c r="AI11" s="254">
        <v>-3.9</v>
      </c>
      <c r="AJ11" s="254">
        <v>-0.30000000000000027</v>
      </c>
      <c r="AK11" s="254" t="s">
        <v>82</v>
      </c>
      <c r="AL11" s="254">
        <v>-0.3</v>
      </c>
      <c r="AM11" s="254" t="s">
        <v>82</v>
      </c>
      <c r="AN11" s="254" t="s">
        <v>82</v>
      </c>
      <c r="AO11" s="254" t="s">
        <v>82</v>
      </c>
    </row>
    <row customFormat="1" r="12" s="205" spans="1:41" x14ac:dyDescent="0.2">
      <c r="A12" s="249">
        <v>8</v>
      </c>
      <c r="B12" s="195">
        <v>1</v>
      </c>
      <c r="C12" s="195" t="s">
        <v>79</v>
      </c>
      <c r="D12" s="195">
        <v>1</v>
      </c>
      <c r="E12" s="195" t="s">
        <v>80</v>
      </c>
      <c r="F12" s="196">
        <v>44485</v>
      </c>
      <c r="G12" s="250" t="s">
        <v>9</v>
      </c>
      <c r="H12" s="251">
        <v>2142</v>
      </c>
      <c r="I12" s="196" t="s">
        <v>92</v>
      </c>
      <c r="J12" s="199">
        <v>2630</v>
      </c>
      <c r="K12" s="199">
        <v>2729</v>
      </c>
      <c r="L12" s="252">
        <v>2702</v>
      </c>
      <c r="M12" s="249">
        <v>1</v>
      </c>
      <c r="N12" s="200">
        <v>0</v>
      </c>
      <c r="O12" s="253"/>
      <c r="P12" s="251">
        <v>2142</v>
      </c>
      <c r="Q12" s="254">
        <v>0.3</v>
      </c>
      <c r="R12" s="213">
        <v>0.3</v>
      </c>
      <c r="S12" s="213">
        <v>0.3</v>
      </c>
      <c r="T12" s="213">
        <v>0</v>
      </c>
      <c r="U12" s="213">
        <v>0.2</v>
      </c>
      <c r="V12" s="213">
        <v>0.2</v>
      </c>
      <c r="W12" s="213">
        <v>0</v>
      </c>
      <c r="X12" s="214"/>
      <c r="Y12" s="251">
        <v>2142</v>
      </c>
      <c r="Z12" s="213">
        <v>0</v>
      </c>
      <c r="AA12" s="213">
        <v>0.3</v>
      </c>
      <c r="AB12" s="213">
        <v>0.3</v>
      </c>
      <c r="AC12" s="213">
        <v>0</v>
      </c>
      <c r="AD12" s="213">
        <v>0.2</v>
      </c>
      <c r="AE12" s="213">
        <v>0.2</v>
      </c>
      <c r="AF12" s="213">
        <v>0</v>
      </c>
      <c r="AG12" s="214"/>
      <c r="AH12" s="251">
        <v>2142</v>
      </c>
      <c r="AI12" s="254">
        <v>-0.3</v>
      </c>
      <c r="AJ12" s="254" t="s">
        <v>82</v>
      </c>
      <c r="AK12" s="254" t="s">
        <v>82</v>
      </c>
      <c r="AL12" s="254" t="s">
        <v>82</v>
      </c>
      <c r="AM12" s="254" t="s">
        <v>82</v>
      </c>
      <c r="AN12" s="254" t="s">
        <v>82</v>
      </c>
      <c r="AO12" s="254" t="s">
        <v>82</v>
      </c>
    </row>
    <row customFormat="1" r="13" s="205" spans="1:41" x14ac:dyDescent="0.2">
      <c r="A13" s="249">
        <v>9</v>
      </c>
      <c r="B13" s="195">
        <v>1</v>
      </c>
      <c r="C13" s="195" t="s">
        <v>79</v>
      </c>
      <c r="D13" s="195">
        <v>1</v>
      </c>
      <c r="E13" s="195" t="s">
        <v>80</v>
      </c>
      <c r="F13" s="196">
        <v>44546</v>
      </c>
      <c r="G13" s="250" t="s">
        <v>7</v>
      </c>
      <c r="H13" s="251">
        <v>2151</v>
      </c>
      <c r="I13" s="196" t="s">
        <v>94</v>
      </c>
      <c r="J13" s="199">
        <v>1753</v>
      </c>
      <c r="K13" s="199">
        <v>1859</v>
      </c>
      <c r="L13" s="252">
        <v>1808</v>
      </c>
      <c r="M13" s="249">
        <v>1</v>
      </c>
      <c r="N13" s="200">
        <v>0</v>
      </c>
      <c r="O13" s="253"/>
      <c r="P13" s="251">
        <v>2151</v>
      </c>
      <c r="Q13" s="254">
        <v>1.3</v>
      </c>
      <c r="R13" s="213">
        <v>5.6</v>
      </c>
      <c r="S13" s="213">
        <v>5.5</v>
      </c>
      <c r="T13" s="213">
        <v>0.1</v>
      </c>
      <c r="U13" s="213">
        <v>5.6</v>
      </c>
      <c r="V13" s="213">
        <v>5.6</v>
      </c>
      <c r="W13" s="213" t="s">
        <v>84</v>
      </c>
      <c r="X13" s="214"/>
      <c r="Y13" s="251">
        <v>2151</v>
      </c>
      <c r="Z13" s="213">
        <v>0</v>
      </c>
      <c r="AA13" s="213">
        <v>5.5</v>
      </c>
      <c r="AB13" s="213">
        <v>5.5</v>
      </c>
      <c r="AC13" s="213">
        <v>0</v>
      </c>
      <c r="AD13" s="213">
        <v>5.6</v>
      </c>
      <c r="AE13" s="213">
        <v>5.6</v>
      </c>
      <c r="AF13" s="213" t="s">
        <v>84</v>
      </c>
      <c r="AG13" s="214"/>
      <c r="AH13" s="251">
        <v>2151</v>
      </c>
      <c r="AI13" s="254">
        <v>-1.3</v>
      </c>
      <c r="AJ13" s="254">
        <v>-9.9999999999999645E-2</v>
      </c>
      <c r="AK13" s="254" t="s">
        <v>82</v>
      </c>
      <c r="AL13" s="254">
        <v>-0.1</v>
      </c>
      <c r="AM13" s="254" t="s">
        <v>82</v>
      </c>
      <c r="AN13" s="254" t="s">
        <v>82</v>
      </c>
      <c r="AO13" s="254" t="s">
        <v>82</v>
      </c>
    </row>
    <row customFormat="1" r="14" s="205" spans="1:41" x14ac:dyDescent="0.2">
      <c r="A14" s="249">
        <v>10</v>
      </c>
      <c r="B14" s="195">
        <v>1</v>
      </c>
      <c r="C14" s="195" t="s">
        <v>79</v>
      </c>
      <c r="D14" s="195">
        <v>1</v>
      </c>
      <c r="E14" s="195" t="s">
        <v>80</v>
      </c>
      <c r="F14" s="196">
        <v>44549</v>
      </c>
      <c r="G14" s="250" t="s">
        <v>10</v>
      </c>
      <c r="H14" s="251">
        <v>2151</v>
      </c>
      <c r="I14" s="196" t="s">
        <v>534</v>
      </c>
      <c r="J14" s="199">
        <v>2800</v>
      </c>
      <c r="K14" s="199">
        <v>2829</v>
      </c>
      <c r="L14" s="252">
        <v>2802</v>
      </c>
      <c r="M14" s="249">
        <v>0</v>
      </c>
      <c r="N14" s="200">
        <v>0</v>
      </c>
      <c r="O14" s="253"/>
      <c r="P14" s="251">
        <v>2151</v>
      </c>
      <c r="Q14" s="254">
        <v>1.4</v>
      </c>
      <c r="R14" s="255"/>
      <c r="S14" s="255"/>
      <c r="T14" s="255"/>
      <c r="U14" s="255"/>
      <c r="V14" s="255"/>
      <c r="W14" s="255"/>
      <c r="X14" s="214"/>
      <c r="Y14" s="251">
        <v>2151</v>
      </c>
      <c r="Z14" s="213">
        <v>0</v>
      </c>
      <c r="AA14" s="255"/>
      <c r="AB14" s="255"/>
      <c r="AC14" s="255"/>
      <c r="AD14" s="255"/>
      <c r="AE14" s="255"/>
      <c r="AF14" s="255"/>
      <c r="AG14" s="214"/>
      <c r="AH14" s="251">
        <v>2151</v>
      </c>
      <c r="AI14" s="254">
        <v>-1.4</v>
      </c>
      <c r="AJ14" s="254" t="s">
        <v>82</v>
      </c>
      <c r="AK14" s="254" t="s">
        <v>82</v>
      </c>
      <c r="AL14" s="254" t="s">
        <v>82</v>
      </c>
      <c r="AM14" s="254" t="s">
        <v>82</v>
      </c>
      <c r="AN14" s="254" t="s">
        <v>82</v>
      </c>
      <c r="AO14" s="254" t="s">
        <v>82</v>
      </c>
    </row>
    <row customFormat="1" r="15" s="205" spans="1:41" x14ac:dyDescent="0.2">
      <c r="A15" s="249">
        <v>11</v>
      </c>
      <c r="B15" s="195">
        <v>1</v>
      </c>
      <c r="C15" s="195" t="s">
        <v>79</v>
      </c>
      <c r="D15" s="195">
        <v>1</v>
      </c>
      <c r="E15" s="195" t="s">
        <v>80</v>
      </c>
      <c r="F15" s="196">
        <v>44564</v>
      </c>
      <c r="G15" s="250" t="s">
        <v>4</v>
      </c>
      <c r="H15" s="251">
        <v>2202</v>
      </c>
      <c r="I15" s="196" t="s">
        <v>535</v>
      </c>
      <c r="J15" s="199">
        <v>2200</v>
      </c>
      <c r="K15" s="199">
        <v>2329</v>
      </c>
      <c r="L15" s="252">
        <v>2240</v>
      </c>
      <c r="M15" s="249">
        <v>1</v>
      </c>
      <c r="N15" s="200">
        <v>0</v>
      </c>
      <c r="O15" s="253"/>
      <c r="P15" s="251">
        <v>2202</v>
      </c>
      <c r="Q15" s="254">
        <v>0.6</v>
      </c>
      <c r="R15" s="213">
        <v>4</v>
      </c>
      <c r="S15" s="213">
        <v>3.8</v>
      </c>
      <c r="T15" s="213">
        <v>0.2</v>
      </c>
      <c r="U15" s="213">
        <v>2.9</v>
      </c>
      <c r="V15" s="213">
        <v>2.8</v>
      </c>
      <c r="W15" s="213">
        <v>0.1</v>
      </c>
      <c r="X15" s="214"/>
      <c r="Y15" s="251">
        <v>2202</v>
      </c>
      <c r="Z15" s="213">
        <v>0.1</v>
      </c>
      <c r="AA15" s="213">
        <v>4</v>
      </c>
      <c r="AB15" s="213">
        <v>3.8</v>
      </c>
      <c r="AC15" s="213">
        <v>0.2</v>
      </c>
      <c r="AD15" s="213">
        <v>2.9</v>
      </c>
      <c r="AE15" s="213">
        <v>2.8</v>
      </c>
      <c r="AF15" s="213">
        <v>0.1</v>
      </c>
      <c r="AG15" s="214"/>
      <c r="AH15" s="251">
        <v>2202</v>
      </c>
      <c r="AI15" s="254">
        <v>-0.5</v>
      </c>
      <c r="AJ15" s="254" t="s">
        <v>82</v>
      </c>
      <c r="AK15" s="254" t="s">
        <v>82</v>
      </c>
      <c r="AL15" s="254" t="s">
        <v>82</v>
      </c>
      <c r="AM15" s="254" t="s">
        <v>82</v>
      </c>
      <c r="AN15" s="254" t="s">
        <v>82</v>
      </c>
      <c r="AO15" s="254" t="s">
        <v>82</v>
      </c>
    </row>
    <row customFormat="1" r="16" s="205" spans="1:41" x14ac:dyDescent="0.2">
      <c r="A16" s="249">
        <v>12</v>
      </c>
      <c r="B16" s="195">
        <v>1</v>
      </c>
      <c r="C16" s="195" t="s">
        <v>79</v>
      </c>
      <c r="D16" s="195">
        <v>1</v>
      </c>
      <c r="E16" s="195" t="s">
        <v>80</v>
      </c>
      <c r="F16" s="196">
        <v>44617</v>
      </c>
      <c r="G16" s="250" t="s">
        <v>8</v>
      </c>
      <c r="H16" s="251">
        <v>2209</v>
      </c>
      <c r="I16" s="196" t="s">
        <v>99</v>
      </c>
      <c r="J16" s="199">
        <v>550</v>
      </c>
      <c r="K16" s="199">
        <v>759</v>
      </c>
      <c r="L16" s="252">
        <v>739</v>
      </c>
      <c r="M16" s="249">
        <v>1</v>
      </c>
      <c r="N16" s="200">
        <v>0</v>
      </c>
      <c r="O16" s="253"/>
      <c r="P16" s="251">
        <v>2209</v>
      </c>
      <c r="Q16" s="254">
        <v>0.6</v>
      </c>
      <c r="R16" s="213">
        <v>3.7</v>
      </c>
      <c r="S16" s="213">
        <v>3.7</v>
      </c>
      <c r="T16" s="213">
        <v>0</v>
      </c>
      <c r="U16" s="213">
        <v>3.9</v>
      </c>
      <c r="V16" s="213">
        <v>3.9</v>
      </c>
      <c r="W16" s="213" t="s">
        <v>84</v>
      </c>
      <c r="X16" s="214"/>
      <c r="Y16" s="251">
        <v>2209</v>
      </c>
      <c r="Z16" s="213">
        <v>0</v>
      </c>
      <c r="AA16" s="213">
        <v>3.7</v>
      </c>
      <c r="AB16" s="213">
        <v>3.7</v>
      </c>
      <c r="AC16" s="213">
        <v>0</v>
      </c>
      <c r="AD16" s="213">
        <v>3.9</v>
      </c>
      <c r="AE16" s="213">
        <v>3.9</v>
      </c>
      <c r="AF16" s="213" t="s">
        <v>84</v>
      </c>
      <c r="AG16" s="214"/>
      <c r="AH16" s="251">
        <v>2209</v>
      </c>
      <c r="AI16" s="254">
        <v>-0.6</v>
      </c>
      <c r="AJ16" s="254" t="s">
        <v>82</v>
      </c>
      <c r="AK16" s="254" t="s">
        <v>82</v>
      </c>
      <c r="AL16" s="254" t="s">
        <v>82</v>
      </c>
      <c r="AM16" s="254" t="s">
        <v>82</v>
      </c>
      <c r="AN16" s="254" t="s">
        <v>82</v>
      </c>
      <c r="AO16" s="254" t="s">
        <v>82</v>
      </c>
    </row>
    <row customFormat="1" r="17" s="205" spans="1:41" x14ac:dyDescent="0.2">
      <c r="A17" s="249">
        <v>13</v>
      </c>
      <c r="B17" s="195">
        <v>1</v>
      </c>
      <c r="C17" s="195" t="s">
        <v>79</v>
      </c>
      <c r="D17" s="195">
        <v>2</v>
      </c>
      <c r="E17" s="195" t="s">
        <v>100</v>
      </c>
      <c r="F17" s="196">
        <v>44048</v>
      </c>
      <c r="G17" s="250" t="s">
        <v>6</v>
      </c>
      <c r="H17" s="251">
        <v>2032</v>
      </c>
      <c r="I17" s="196" t="s">
        <v>101</v>
      </c>
      <c r="J17" s="199">
        <v>2356</v>
      </c>
      <c r="K17" s="199">
        <v>2454</v>
      </c>
      <c r="L17" s="252">
        <v>2431</v>
      </c>
      <c r="M17" s="249">
        <v>1</v>
      </c>
      <c r="N17" s="200">
        <v>0</v>
      </c>
      <c r="O17" s="253"/>
      <c r="P17" s="251">
        <v>2032</v>
      </c>
      <c r="Q17" s="254">
        <v>1</v>
      </c>
      <c r="R17" s="213">
        <v>1.5</v>
      </c>
      <c r="S17" s="213">
        <v>1.3</v>
      </c>
      <c r="T17" s="213">
        <v>0.2</v>
      </c>
      <c r="U17" s="213">
        <v>1.1000000000000001</v>
      </c>
      <c r="V17" s="213">
        <v>1</v>
      </c>
      <c r="W17" s="213">
        <v>0.1</v>
      </c>
      <c r="X17" s="214"/>
      <c r="Y17" s="251">
        <v>2032</v>
      </c>
      <c r="Z17" s="213">
        <v>0.2</v>
      </c>
      <c r="AA17" s="213">
        <v>1.4</v>
      </c>
      <c r="AB17" s="213">
        <v>1.3</v>
      </c>
      <c r="AC17" s="213">
        <v>0.1</v>
      </c>
      <c r="AD17" s="213">
        <v>1.1000000000000001</v>
      </c>
      <c r="AE17" s="213">
        <v>1</v>
      </c>
      <c r="AF17" s="213">
        <v>0.1</v>
      </c>
      <c r="AG17" s="214"/>
      <c r="AH17" s="251">
        <v>2032</v>
      </c>
      <c r="AI17" s="254">
        <v>-0.8</v>
      </c>
      <c r="AJ17" s="254">
        <v>-0.10000000000000009</v>
      </c>
      <c r="AK17" s="254" t="s">
        <v>82</v>
      </c>
      <c r="AL17" s="254">
        <v>-0.1</v>
      </c>
      <c r="AM17" s="254" t="s">
        <v>82</v>
      </c>
      <c r="AN17" s="254" t="s">
        <v>82</v>
      </c>
      <c r="AO17" s="254" t="s">
        <v>82</v>
      </c>
    </row>
    <row customFormat="1" r="18" s="205" spans="1:41" x14ac:dyDescent="0.2">
      <c r="A18" s="249">
        <v>14</v>
      </c>
      <c r="B18" s="195">
        <v>1</v>
      </c>
      <c r="C18" s="195" t="s">
        <v>79</v>
      </c>
      <c r="D18" s="195">
        <v>2</v>
      </c>
      <c r="E18" s="195" t="s">
        <v>100</v>
      </c>
      <c r="F18" s="196">
        <v>44076</v>
      </c>
      <c r="G18" s="250" t="s">
        <v>6</v>
      </c>
      <c r="H18" s="251">
        <v>2036</v>
      </c>
      <c r="I18" s="196" t="s">
        <v>102</v>
      </c>
      <c r="J18" s="199">
        <v>800</v>
      </c>
      <c r="K18" s="199">
        <v>954</v>
      </c>
      <c r="L18" s="252">
        <v>950</v>
      </c>
      <c r="M18" s="249">
        <v>1</v>
      </c>
      <c r="N18" s="200">
        <v>0</v>
      </c>
      <c r="O18" s="253"/>
      <c r="P18" s="251">
        <v>2036</v>
      </c>
      <c r="Q18" s="254">
        <v>0.2</v>
      </c>
      <c r="R18" s="213">
        <v>1.6</v>
      </c>
      <c r="S18" s="213">
        <v>1.6</v>
      </c>
      <c r="T18" s="213">
        <v>0</v>
      </c>
      <c r="U18" s="213">
        <v>1.1000000000000001</v>
      </c>
      <c r="V18" s="213">
        <v>1.1000000000000001</v>
      </c>
      <c r="W18" s="213">
        <v>0</v>
      </c>
      <c r="X18" s="214"/>
      <c r="Y18" s="251">
        <v>2036</v>
      </c>
      <c r="Z18" s="213">
        <v>0</v>
      </c>
      <c r="AA18" s="213">
        <v>1.6</v>
      </c>
      <c r="AB18" s="213">
        <v>1.6</v>
      </c>
      <c r="AC18" s="213">
        <v>0</v>
      </c>
      <c r="AD18" s="213">
        <v>1.1000000000000001</v>
      </c>
      <c r="AE18" s="213">
        <v>1.1000000000000001</v>
      </c>
      <c r="AF18" s="213">
        <v>0</v>
      </c>
      <c r="AG18" s="214"/>
      <c r="AH18" s="251">
        <v>2036</v>
      </c>
      <c r="AI18" s="254">
        <v>-0.2</v>
      </c>
      <c r="AJ18" s="254" t="s">
        <v>82</v>
      </c>
      <c r="AK18" s="254" t="s">
        <v>82</v>
      </c>
      <c r="AL18" s="254" t="s">
        <v>82</v>
      </c>
      <c r="AM18" s="254" t="s">
        <v>82</v>
      </c>
      <c r="AN18" s="254" t="s">
        <v>82</v>
      </c>
      <c r="AO18" s="254" t="s">
        <v>82</v>
      </c>
    </row>
    <row customFormat="1" r="19" s="205" spans="1:41" x14ac:dyDescent="0.2">
      <c r="A19" s="249">
        <v>15</v>
      </c>
      <c r="B19" s="195">
        <v>1</v>
      </c>
      <c r="C19" s="195" t="s">
        <v>79</v>
      </c>
      <c r="D19" s="195">
        <v>2</v>
      </c>
      <c r="E19" s="195" t="s">
        <v>100</v>
      </c>
      <c r="F19" s="196">
        <v>44401</v>
      </c>
      <c r="G19" s="250" t="s">
        <v>9</v>
      </c>
      <c r="H19" s="251">
        <v>2130</v>
      </c>
      <c r="I19" s="196" t="s">
        <v>536</v>
      </c>
      <c r="J19" s="199">
        <v>530</v>
      </c>
      <c r="K19" s="199">
        <v>659</v>
      </c>
      <c r="L19" s="252">
        <v>634</v>
      </c>
      <c r="M19" s="249">
        <v>0</v>
      </c>
      <c r="N19" s="200">
        <v>0</v>
      </c>
      <c r="O19" s="253"/>
      <c r="P19" s="251">
        <v>2130</v>
      </c>
      <c r="Q19" s="254">
        <v>3</v>
      </c>
      <c r="R19" s="255"/>
      <c r="S19" s="255"/>
      <c r="T19" s="255"/>
      <c r="U19" s="255"/>
      <c r="V19" s="255"/>
      <c r="W19" s="255"/>
      <c r="X19" s="214"/>
      <c r="Y19" s="251">
        <v>2130</v>
      </c>
      <c r="Z19" s="213">
        <v>0</v>
      </c>
      <c r="AA19" s="255"/>
      <c r="AB19" s="255"/>
      <c r="AC19" s="255"/>
      <c r="AD19" s="255"/>
      <c r="AE19" s="255"/>
      <c r="AF19" s="255"/>
      <c r="AG19" s="214"/>
      <c r="AH19" s="251">
        <v>2130</v>
      </c>
      <c r="AI19" s="254">
        <v>-3</v>
      </c>
      <c r="AJ19" s="254" t="s">
        <v>82</v>
      </c>
      <c r="AK19" s="254" t="s">
        <v>82</v>
      </c>
      <c r="AL19" s="254" t="s">
        <v>82</v>
      </c>
      <c r="AM19" s="254" t="s">
        <v>82</v>
      </c>
      <c r="AN19" s="254" t="s">
        <v>82</v>
      </c>
      <c r="AO19" s="254" t="s">
        <v>82</v>
      </c>
    </row>
    <row customFormat="1" r="20" s="205" spans="1:41" x14ac:dyDescent="0.2">
      <c r="A20" s="249">
        <v>16</v>
      </c>
      <c r="B20" s="195">
        <v>1</v>
      </c>
      <c r="C20" s="195" t="s">
        <v>79</v>
      </c>
      <c r="D20" s="195">
        <v>2</v>
      </c>
      <c r="E20" s="195" t="s">
        <v>100</v>
      </c>
      <c r="F20" s="196">
        <v>44446</v>
      </c>
      <c r="G20" s="250" t="s">
        <v>5</v>
      </c>
      <c r="H20" s="251">
        <v>2137</v>
      </c>
      <c r="I20" s="196" t="s">
        <v>104</v>
      </c>
      <c r="J20" s="199">
        <v>955</v>
      </c>
      <c r="K20" s="199">
        <v>1024</v>
      </c>
      <c r="L20" s="252">
        <v>1009</v>
      </c>
      <c r="M20" s="249">
        <v>1</v>
      </c>
      <c r="N20" s="200">
        <v>0</v>
      </c>
      <c r="O20" s="253"/>
      <c r="P20" s="251">
        <v>2137</v>
      </c>
      <c r="Q20" s="254">
        <v>0.9</v>
      </c>
      <c r="R20" s="213">
        <v>0.8</v>
      </c>
      <c r="S20" s="213">
        <v>0.7</v>
      </c>
      <c r="T20" s="213">
        <v>0.1</v>
      </c>
      <c r="U20" s="213">
        <v>0.6</v>
      </c>
      <c r="V20" s="213">
        <v>0.6</v>
      </c>
      <c r="W20" s="213" t="s">
        <v>84</v>
      </c>
      <c r="X20" s="214"/>
      <c r="Y20" s="251">
        <v>2137</v>
      </c>
      <c r="Z20" s="213">
        <v>0</v>
      </c>
      <c r="AA20" s="213">
        <v>0.7</v>
      </c>
      <c r="AB20" s="213">
        <v>0.7</v>
      </c>
      <c r="AC20" s="213">
        <v>0</v>
      </c>
      <c r="AD20" s="213">
        <v>0.6</v>
      </c>
      <c r="AE20" s="213">
        <v>0.6</v>
      </c>
      <c r="AF20" s="213" t="s">
        <v>84</v>
      </c>
      <c r="AG20" s="214"/>
      <c r="AH20" s="251">
        <v>2137</v>
      </c>
      <c r="AI20" s="254">
        <v>-0.9</v>
      </c>
      <c r="AJ20" s="254">
        <v>-0.10000000000000009</v>
      </c>
      <c r="AK20" s="254" t="s">
        <v>82</v>
      </c>
      <c r="AL20" s="254">
        <v>-0.1</v>
      </c>
      <c r="AM20" s="254" t="s">
        <v>82</v>
      </c>
      <c r="AN20" s="254" t="s">
        <v>82</v>
      </c>
      <c r="AO20" s="254" t="s">
        <v>82</v>
      </c>
    </row>
    <row customFormat="1" r="21" s="205" spans="1:41" x14ac:dyDescent="0.2">
      <c r="A21" s="249">
        <v>17</v>
      </c>
      <c r="B21" s="195">
        <v>1</v>
      </c>
      <c r="C21" s="195" t="s">
        <v>79</v>
      </c>
      <c r="D21" s="195">
        <v>2</v>
      </c>
      <c r="E21" s="195" t="s">
        <v>100</v>
      </c>
      <c r="F21" s="196">
        <v>44456</v>
      </c>
      <c r="G21" s="250" t="s">
        <v>8</v>
      </c>
      <c r="H21" s="251">
        <v>2138</v>
      </c>
      <c r="I21" s="196" t="s">
        <v>105</v>
      </c>
      <c r="J21" s="199">
        <v>1750</v>
      </c>
      <c r="K21" s="199">
        <v>1859</v>
      </c>
      <c r="L21" s="252">
        <v>1801</v>
      </c>
      <c r="M21" s="249">
        <v>1</v>
      </c>
      <c r="N21" s="200">
        <v>0</v>
      </c>
      <c r="O21" s="253"/>
      <c r="P21" s="251">
        <v>2138</v>
      </c>
      <c r="Q21" s="254">
        <v>0.5</v>
      </c>
      <c r="R21" s="213">
        <v>3.9</v>
      </c>
      <c r="S21" s="213">
        <v>3.9</v>
      </c>
      <c r="T21" s="213">
        <v>0</v>
      </c>
      <c r="U21" s="213">
        <v>3.5</v>
      </c>
      <c r="V21" s="213">
        <v>3.5</v>
      </c>
      <c r="W21" s="213" t="s">
        <v>84</v>
      </c>
      <c r="X21" s="214"/>
      <c r="Y21" s="251">
        <v>2138</v>
      </c>
      <c r="Z21" s="213">
        <v>0</v>
      </c>
      <c r="AA21" s="213">
        <v>3.9</v>
      </c>
      <c r="AB21" s="213">
        <v>3.9</v>
      </c>
      <c r="AC21" s="213">
        <v>0</v>
      </c>
      <c r="AD21" s="213">
        <v>3.5</v>
      </c>
      <c r="AE21" s="213">
        <v>3.5</v>
      </c>
      <c r="AF21" s="213" t="s">
        <v>84</v>
      </c>
      <c r="AG21" s="214"/>
      <c r="AH21" s="251">
        <v>2138</v>
      </c>
      <c r="AI21" s="254">
        <v>-0.5</v>
      </c>
      <c r="AJ21" s="254" t="s">
        <v>82</v>
      </c>
      <c r="AK21" s="254" t="s">
        <v>82</v>
      </c>
      <c r="AL21" s="254" t="s">
        <v>82</v>
      </c>
      <c r="AM21" s="254" t="s">
        <v>82</v>
      </c>
      <c r="AN21" s="254" t="s">
        <v>82</v>
      </c>
      <c r="AO21" s="254" t="s">
        <v>82</v>
      </c>
    </row>
    <row customFormat="1" r="22" s="205" spans="1:41" x14ac:dyDescent="0.2">
      <c r="A22" s="249">
        <v>18</v>
      </c>
      <c r="B22" s="195">
        <v>1</v>
      </c>
      <c r="C22" s="195" t="s">
        <v>79</v>
      </c>
      <c r="D22" s="195">
        <v>2</v>
      </c>
      <c r="E22" s="195" t="s">
        <v>100</v>
      </c>
      <c r="F22" s="196">
        <v>44508</v>
      </c>
      <c r="G22" s="250" t="s">
        <v>4</v>
      </c>
      <c r="H22" s="251">
        <v>2146</v>
      </c>
      <c r="I22" s="196" t="s">
        <v>250</v>
      </c>
      <c r="J22" s="199">
        <v>1355</v>
      </c>
      <c r="K22" s="199">
        <v>1548</v>
      </c>
      <c r="L22" s="252">
        <v>1431</v>
      </c>
      <c r="M22" s="249">
        <v>0</v>
      </c>
      <c r="N22" s="200">
        <v>0</v>
      </c>
      <c r="O22" s="253"/>
      <c r="P22" s="251">
        <v>2146</v>
      </c>
      <c r="Q22" s="254">
        <v>0.2</v>
      </c>
      <c r="R22" s="255"/>
      <c r="S22" s="255"/>
      <c r="T22" s="255"/>
      <c r="U22" s="255"/>
      <c r="V22" s="255"/>
      <c r="W22" s="255"/>
      <c r="X22" s="214"/>
      <c r="Y22" s="251">
        <v>2146</v>
      </c>
      <c r="Z22" s="213">
        <v>0</v>
      </c>
      <c r="AA22" s="255"/>
      <c r="AB22" s="255"/>
      <c r="AC22" s="255"/>
      <c r="AD22" s="255"/>
      <c r="AE22" s="255"/>
      <c r="AF22" s="255"/>
      <c r="AG22" s="214"/>
      <c r="AH22" s="251">
        <v>2146</v>
      </c>
      <c r="AI22" s="254">
        <v>-0.2</v>
      </c>
      <c r="AJ22" s="254" t="s">
        <v>82</v>
      </c>
      <c r="AK22" s="254" t="s">
        <v>82</v>
      </c>
      <c r="AL22" s="254" t="s">
        <v>82</v>
      </c>
      <c r="AM22" s="254" t="s">
        <v>82</v>
      </c>
      <c r="AN22" s="254" t="s">
        <v>82</v>
      </c>
      <c r="AO22" s="254" t="s">
        <v>82</v>
      </c>
    </row>
    <row customFormat="1" r="23" s="205" spans="1:41" x14ac:dyDescent="0.2">
      <c r="A23" s="249">
        <v>19</v>
      </c>
      <c r="B23" s="195">
        <v>1</v>
      </c>
      <c r="C23" s="195" t="s">
        <v>79</v>
      </c>
      <c r="D23" s="195">
        <v>2</v>
      </c>
      <c r="E23" s="195" t="s">
        <v>100</v>
      </c>
      <c r="F23" s="196">
        <v>44554</v>
      </c>
      <c r="G23" s="250" t="s">
        <v>8</v>
      </c>
      <c r="H23" s="251">
        <v>2152</v>
      </c>
      <c r="I23" s="196" t="s">
        <v>108</v>
      </c>
      <c r="J23" s="199">
        <v>955</v>
      </c>
      <c r="K23" s="199">
        <v>1024</v>
      </c>
      <c r="L23" s="252">
        <v>1022</v>
      </c>
      <c r="M23" s="249">
        <v>1</v>
      </c>
      <c r="N23" s="200">
        <v>0</v>
      </c>
      <c r="O23" s="253"/>
      <c r="P23" s="251">
        <v>2152</v>
      </c>
      <c r="Q23" s="254">
        <v>6.5</v>
      </c>
      <c r="R23" s="213">
        <v>1.3</v>
      </c>
      <c r="S23" s="213">
        <v>0.6</v>
      </c>
      <c r="T23" s="213">
        <v>0.7</v>
      </c>
      <c r="U23" s="213">
        <v>0.6</v>
      </c>
      <c r="V23" s="213">
        <v>0.6</v>
      </c>
      <c r="W23" s="213" t="s">
        <v>84</v>
      </c>
      <c r="X23" s="214"/>
      <c r="Y23" s="251">
        <v>2152</v>
      </c>
      <c r="Z23" s="213">
        <v>0</v>
      </c>
      <c r="AA23" s="213">
        <v>0.6</v>
      </c>
      <c r="AB23" s="213">
        <v>0.6</v>
      </c>
      <c r="AC23" s="213">
        <v>0</v>
      </c>
      <c r="AD23" s="213">
        <v>0.6</v>
      </c>
      <c r="AE23" s="213">
        <v>0.6</v>
      </c>
      <c r="AF23" s="213" t="s">
        <v>84</v>
      </c>
      <c r="AG23" s="214"/>
      <c r="AH23" s="251">
        <v>2152</v>
      </c>
      <c r="AI23" s="254">
        <v>-6.5</v>
      </c>
      <c r="AJ23" s="254">
        <v>-0.70000000000000007</v>
      </c>
      <c r="AK23" s="254" t="s">
        <v>82</v>
      </c>
      <c r="AL23" s="254">
        <v>-0.7</v>
      </c>
      <c r="AM23" s="254" t="s">
        <v>82</v>
      </c>
      <c r="AN23" s="254" t="s">
        <v>82</v>
      </c>
      <c r="AO23" s="254" t="s">
        <v>82</v>
      </c>
    </row>
    <row customFormat="1" r="24" s="205" spans="1:41" x14ac:dyDescent="0.2">
      <c r="A24" s="249">
        <v>20</v>
      </c>
      <c r="B24" s="195">
        <v>1</v>
      </c>
      <c r="C24" s="195" t="s">
        <v>79</v>
      </c>
      <c r="D24" s="195">
        <v>2</v>
      </c>
      <c r="E24" s="195" t="s">
        <v>100</v>
      </c>
      <c r="F24" s="196">
        <v>44668</v>
      </c>
      <c r="G24" s="250" t="s">
        <v>10</v>
      </c>
      <c r="H24" s="251">
        <v>2216</v>
      </c>
      <c r="I24" s="196" t="s">
        <v>537</v>
      </c>
      <c r="J24" s="199">
        <v>1830</v>
      </c>
      <c r="K24" s="199">
        <v>1859</v>
      </c>
      <c r="L24" s="252">
        <v>1859</v>
      </c>
      <c r="M24" s="249">
        <v>0</v>
      </c>
      <c r="N24" s="200">
        <v>1</v>
      </c>
      <c r="O24" s="253"/>
      <c r="P24" s="251">
        <v>2216</v>
      </c>
      <c r="Q24" s="254">
        <v>0.6</v>
      </c>
      <c r="R24" s="255"/>
      <c r="S24" s="255"/>
      <c r="T24" s="255"/>
      <c r="U24" s="255"/>
      <c r="V24" s="255"/>
      <c r="W24" s="255"/>
      <c r="X24" s="214"/>
      <c r="Y24" s="251">
        <v>2216</v>
      </c>
      <c r="Z24" s="213">
        <v>0.3</v>
      </c>
      <c r="AA24" s="255"/>
      <c r="AB24" s="255"/>
      <c r="AC24" s="255"/>
      <c r="AD24" s="255"/>
      <c r="AE24" s="255"/>
      <c r="AF24" s="255"/>
      <c r="AG24" s="214"/>
      <c r="AH24" s="251">
        <v>2216</v>
      </c>
      <c r="AI24" s="254">
        <v>-0.3</v>
      </c>
      <c r="AJ24" s="254" t="s">
        <v>82</v>
      </c>
      <c r="AK24" s="254" t="s">
        <v>82</v>
      </c>
      <c r="AL24" s="254" t="s">
        <v>82</v>
      </c>
      <c r="AM24" s="254" t="s">
        <v>82</v>
      </c>
      <c r="AN24" s="254" t="s">
        <v>82</v>
      </c>
      <c r="AO24" s="254" t="s">
        <v>82</v>
      </c>
    </row>
    <row customFormat="1" r="25" s="205" spans="1:41" x14ac:dyDescent="0.2">
      <c r="A25" s="249">
        <v>21</v>
      </c>
      <c r="B25" s="195">
        <v>1</v>
      </c>
      <c r="C25" s="195" t="s">
        <v>79</v>
      </c>
      <c r="D25" s="195">
        <v>2</v>
      </c>
      <c r="E25" s="195" t="s">
        <v>100</v>
      </c>
      <c r="F25" s="196">
        <v>44672</v>
      </c>
      <c r="G25" s="250" t="s">
        <v>7</v>
      </c>
      <c r="H25" s="251">
        <v>2217</v>
      </c>
      <c r="I25" s="196" t="s">
        <v>109</v>
      </c>
      <c r="J25" s="199">
        <v>600</v>
      </c>
      <c r="K25" s="199">
        <v>659</v>
      </c>
      <c r="L25" s="252">
        <v>605</v>
      </c>
      <c r="M25" s="249">
        <v>1</v>
      </c>
      <c r="N25" s="200">
        <v>0</v>
      </c>
      <c r="O25" s="253"/>
      <c r="P25" s="251">
        <v>2217</v>
      </c>
      <c r="Q25" s="254">
        <v>0.4</v>
      </c>
      <c r="R25" s="213">
        <v>1.8</v>
      </c>
      <c r="S25" s="213">
        <v>1.8</v>
      </c>
      <c r="T25" s="213">
        <v>0</v>
      </c>
      <c r="U25" s="213">
        <v>2.2000000000000002</v>
      </c>
      <c r="V25" s="213">
        <v>2.2000000000000002</v>
      </c>
      <c r="W25" s="213" t="s">
        <v>84</v>
      </c>
      <c r="X25" s="214"/>
      <c r="Y25" s="251">
        <v>2217</v>
      </c>
      <c r="Z25" s="213">
        <v>0</v>
      </c>
      <c r="AA25" s="213">
        <v>1.8</v>
      </c>
      <c r="AB25" s="213">
        <v>1.8</v>
      </c>
      <c r="AC25" s="213">
        <v>0</v>
      </c>
      <c r="AD25" s="213">
        <v>2.2000000000000002</v>
      </c>
      <c r="AE25" s="213">
        <v>2.2000000000000002</v>
      </c>
      <c r="AF25" s="213" t="s">
        <v>84</v>
      </c>
      <c r="AG25" s="214"/>
      <c r="AH25" s="251">
        <v>2217</v>
      </c>
      <c r="AI25" s="254">
        <v>-0.4</v>
      </c>
      <c r="AJ25" s="254" t="s">
        <v>82</v>
      </c>
      <c r="AK25" s="254" t="s">
        <v>82</v>
      </c>
      <c r="AL25" s="254" t="s">
        <v>82</v>
      </c>
      <c r="AM25" s="254" t="s">
        <v>82</v>
      </c>
      <c r="AN25" s="254" t="s">
        <v>82</v>
      </c>
      <c r="AO25" s="254" t="s">
        <v>82</v>
      </c>
    </row>
    <row customFormat="1" r="26" s="205" spans="1:41" x14ac:dyDescent="0.2">
      <c r="A26" s="249">
        <v>22</v>
      </c>
      <c r="B26" s="195">
        <v>1</v>
      </c>
      <c r="C26" s="195" t="s">
        <v>79</v>
      </c>
      <c r="D26" s="195">
        <v>3</v>
      </c>
      <c r="E26" s="195" t="s">
        <v>110</v>
      </c>
      <c r="F26" s="196">
        <v>44051</v>
      </c>
      <c r="G26" s="250" t="s">
        <v>9</v>
      </c>
      <c r="H26" s="251">
        <v>2032</v>
      </c>
      <c r="I26" s="196" t="s">
        <v>111</v>
      </c>
      <c r="J26" s="199">
        <v>1105</v>
      </c>
      <c r="K26" s="199">
        <v>1149</v>
      </c>
      <c r="L26" s="252">
        <v>1126</v>
      </c>
      <c r="M26" s="249">
        <v>1</v>
      </c>
      <c r="N26" s="200">
        <v>0</v>
      </c>
      <c r="O26" s="253"/>
      <c r="P26" s="251">
        <v>2032</v>
      </c>
      <c r="Q26" s="254">
        <v>0.9</v>
      </c>
      <c r="R26" s="213">
        <v>2.1</v>
      </c>
      <c r="S26" s="213">
        <v>1.9</v>
      </c>
      <c r="T26" s="213">
        <v>0.2</v>
      </c>
      <c r="U26" s="213">
        <v>2.2000000000000002</v>
      </c>
      <c r="V26" s="213">
        <v>2.1</v>
      </c>
      <c r="W26" s="213">
        <v>0.1</v>
      </c>
      <c r="X26" s="214"/>
      <c r="Y26" s="251">
        <v>2032</v>
      </c>
      <c r="Z26" s="213">
        <v>0.1</v>
      </c>
      <c r="AA26" s="213">
        <v>2</v>
      </c>
      <c r="AB26" s="213">
        <v>1.9</v>
      </c>
      <c r="AC26" s="213">
        <v>0.1</v>
      </c>
      <c r="AD26" s="213">
        <v>2.2000000000000002</v>
      </c>
      <c r="AE26" s="213">
        <v>2.1</v>
      </c>
      <c r="AF26" s="213">
        <v>0.1</v>
      </c>
      <c r="AG26" s="214"/>
      <c r="AH26" s="251">
        <v>2032</v>
      </c>
      <c r="AI26" s="254">
        <v>-0.8</v>
      </c>
      <c r="AJ26" s="254">
        <v>-0.10000000000000009</v>
      </c>
      <c r="AK26" s="254" t="s">
        <v>82</v>
      </c>
      <c r="AL26" s="254">
        <v>-0.1</v>
      </c>
      <c r="AM26" s="254" t="s">
        <v>82</v>
      </c>
      <c r="AN26" s="254" t="s">
        <v>82</v>
      </c>
      <c r="AO26" s="254" t="s">
        <v>82</v>
      </c>
    </row>
    <row customFormat="1" r="27" s="205" spans="1:41" x14ac:dyDescent="0.2">
      <c r="A27" s="249">
        <v>23</v>
      </c>
      <c r="B27" s="195">
        <v>1</v>
      </c>
      <c r="C27" s="195" t="s">
        <v>79</v>
      </c>
      <c r="D27" s="195">
        <v>3</v>
      </c>
      <c r="E27" s="195" t="s">
        <v>110</v>
      </c>
      <c r="F27" s="196">
        <v>44052</v>
      </c>
      <c r="G27" s="250" t="s">
        <v>10</v>
      </c>
      <c r="H27" s="251">
        <v>2032</v>
      </c>
      <c r="I27" s="196" t="s">
        <v>112</v>
      </c>
      <c r="J27" s="199">
        <v>1115</v>
      </c>
      <c r="K27" s="199">
        <v>1144</v>
      </c>
      <c r="L27" s="252">
        <v>1144</v>
      </c>
      <c r="M27" s="249">
        <v>1</v>
      </c>
      <c r="N27" s="200">
        <v>1</v>
      </c>
      <c r="O27" s="253"/>
      <c r="P27" s="251">
        <v>2032</v>
      </c>
      <c r="Q27" s="254">
        <v>1.1000000000000001</v>
      </c>
      <c r="R27" s="213">
        <v>2.8</v>
      </c>
      <c r="S27" s="213">
        <v>2.6</v>
      </c>
      <c r="T27" s="213">
        <v>0.2</v>
      </c>
      <c r="U27" s="213">
        <v>3.4</v>
      </c>
      <c r="V27" s="213">
        <v>2.2999999999999998</v>
      </c>
      <c r="W27" s="213">
        <v>1.1000000000000001</v>
      </c>
      <c r="X27" s="214"/>
      <c r="Y27" s="251">
        <v>2032</v>
      </c>
      <c r="Z27" s="213">
        <v>0</v>
      </c>
      <c r="AA27" s="213">
        <v>2.6</v>
      </c>
      <c r="AB27" s="213">
        <v>2.6</v>
      </c>
      <c r="AC27" s="213">
        <v>0</v>
      </c>
      <c r="AD27" s="213">
        <v>2.2999999999999998</v>
      </c>
      <c r="AE27" s="213">
        <v>2.2999999999999998</v>
      </c>
      <c r="AF27" s="213">
        <v>0</v>
      </c>
      <c r="AG27" s="214"/>
      <c r="AH27" s="251">
        <v>2032</v>
      </c>
      <c r="AI27" s="254">
        <v>-1.1000000000000001</v>
      </c>
      <c r="AJ27" s="254">
        <v>-0.19999999999999973</v>
      </c>
      <c r="AK27" s="254" t="s">
        <v>82</v>
      </c>
      <c r="AL27" s="254">
        <v>-0.2</v>
      </c>
      <c r="AM27" s="254">
        <v>-1.1000000000000001</v>
      </c>
      <c r="AN27" s="254" t="s">
        <v>82</v>
      </c>
      <c r="AO27" s="254">
        <v>-1.1000000000000001</v>
      </c>
    </row>
    <row customFormat="1" r="28" s="205" spans="1:41" x14ac:dyDescent="0.2">
      <c r="A28" s="249">
        <v>24</v>
      </c>
      <c r="B28" s="195">
        <v>1</v>
      </c>
      <c r="C28" s="195" t="s">
        <v>79</v>
      </c>
      <c r="D28" s="195">
        <v>3</v>
      </c>
      <c r="E28" s="195" t="s">
        <v>110</v>
      </c>
      <c r="F28" s="196">
        <v>44188</v>
      </c>
      <c r="G28" s="250" t="s">
        <v>6</v>
      </c>
      <c r="H28" s="251">
        <v>2052</v>
      </c>
      <c r="I28" s="196" t="s">
        <v>538</v>
      </c>
      <c r="J28" s="199">
        <v>1900</v>
      </c>
      <c r="K28" s="199">
        <v>2247</v>
      </c>
      <c r="L28" s="252">
        <v>1928</v>
      </c>
      <c r="M28" s="249">
        <v>0</v>
      </c>
      <c r="N28" s="200">
        <v>0</v>
      </c>
      <c r="O28" s="253"/>
      <c r="P28" s="251">
        <v>2052</v>
      </c>
      <c r="Q28" s="254">
        <v>2.2999999999999998</v>
      </c>
      <c r="R28" s="255"/>
      <c r="S28" s="255"/>
      <c r="T28" s="255"/>
      <c r="U28" s="255"/>
      <c r="V28" s="255"/>
      <c r="W28" s="255"/>
      <c r="X28" s="214"/>
      <c r="Y28" s="251">
        <v>2052</v>
      </c>
      <c r="Z28" s="213">
        <v>0.8</v>
      </c>
      <c r="AA28" s="255"/>
      <c r="AB28" s="255"/>
      <c r="AC28" s="255"/>
      <c r="AD28" s="255"/>
      <c r="AE28" s="255"/>
      <c r="AF28" s="255"/>
      <c r="AG28" s="214"/>
      <c r="AH28" s="251">
        <v>2052</v>
      </c>
      <c r="AI28" s="254">
        <v>-1.4999999999999998</v>
      </c>
      <c r="AJ28" s="254" t="s">
        <v>82</v>
      </c>
      <c r="AK28" s="254" t="s">
        <v>82</v>
      </c>
      <c r="AL28" s="254" t="s">
        <v>82</v>
      </c>
      <c r="AM28" s="254" t="s">
        <v>82</v>
      </c>
      <c r="AN28" s="254" t="s">
        <v>82</v>
      </c>
      <c r="AO28" s="254" t="s">
        <v>82</v>
      </c>
    </row>
    <row customFormat="1" r="29" s="205" spans="1:41" x14ac:dyDescent="0.2">
      <c r="A29" s="249">
        <v>25</v>
      </c>
      <c r="B29" s="195">
        <v>1</v>
      </c>
      <c r="C29" s="195" t="s">
        <v>79</v>
      </c>
      <c r="D29" s="195">
        <v>3</v>
      </c>
      <c r="E29" s="195" t="s">
        <v>110</v>
      </c>
      <c r="F29" s="196">
        <v>44250</v>
      </c>
      <c r="G29" s="250" t="s">
        <v>5</v>
      </c>
      <c r="H29" s="251">
        <v>2109</v>
      </c>
      <c r="I29" s="196" t="s">
        <v>539</v>
      </c>
      <c r="J29" s="199">
        <v>1130</v>
      </c>
      <c r="K29" s="199">
        <v>1154</v>
      </c>
      <c r="L29" s="252">
        <v>1137</v>
      </c>
      <c r="M29" s="249">
        <v>0</v>
      </c>
      <c r="N29" s="200">
        <v>0</v>
      </c>
      <c r="O29" s="253"/>
      <c r="P29" s="251">
        <v>2109</v>
      </c>
      <c r="Q29" s="254">
        <v>0.5</v>
      </c>
      <c r="R29" s="255"/>
      <c r="S29" s="255"/>
      <c r="T29" s="255"/>
      <c r="U29" s="255"/>
      <c r="V29" s="255"/>
      <c r="W29" s="255"/>
      <c r="X29" s="214"/>
      <c r="Y29" s="251">
        <v>2109</v>
      </c>
      <c r="Z29" s="213">
        <v>0</v>
      </c>
      <c r="AA29" s="255"/>
      <c r="AB29" s="255"/>
      <c r="AC29" s="255"/>
      <c r="AD29" s="255"/>
      <c r="AE29" s="255"/>
      <c r="AF29" s="255"/>
      <c r="AG29" s="214"/>
      <c r="AH29" s="251">
        <v>2109</v>
      </c>
      <c r="AI29" s="254">
        <v>-0.5</v>
      </c>
      <c r="AJ29" s="254" t="s">
        <v>82</v>
      </c>
      <c r="AK29" s="254" t="s">
        <v>82</v>
      </c>
      <c r="AL29" s="254" t="s">
        <v>82</v>
      </c>
      <c r="AM29" s="254" t="s">
        <v>82</v>
      </c>
      <c r="AN29" s="254" t="s">
        <v>82</v>
      </c>
      <c r="AO29" s="254" t="s">
        <v>82</v>
      </c>
    </row>
    <row customFormat="1" r="30" s="205" spans="1:41" x14ac:dyDescent="0.2">
      <c r="A30" s="249">
        <v>26</v>
      </c>
      <c r="B30" s="195">
        <v>1</v>
      </c>
      <c r="C30" s="195" t="s">
        <v>79</v>
      </c>
      <c r="D30" s="195">
        <v>3</v>
      </c>
      <c r="E30" s="195" t="s">
        <v>110</v>
      </c>
      <c r="F30" s="196">
        <v>44373</v>
      </c>
      <c r="G30" s="250" t="s">
        <v>9</v>
      </c>
      <c r="H30" s="251">
        <v>2126</v>
      </c>
      <c r="I30" s="196" t="s">
        <v>113</v>
      </c>
      <c r="J30" s="199">
        <v>700</v>
      </c>
      <c r="K30" s="199">
        <v>829</v>
      </c>
      <c r="L30" s="252">
        <v>829</v>
      </c>
      <c r="M30" s="249">
        <v>1</v>
      </c>
      <c r="N30" s="200">
        <v>1</v>
      </c>
      <c r="O30" s="253"/>
      <c r="P30" s="251">
        <v>2126</v>
      </c>
      <c r="Q30" s="254">
        <v>0.3</v>
      </c>
      <c r="R30" s="213">
        <v>3.2</v>
      </c>
      <c r="S30" s="213">
        <v>3.2</v>
      </c>
      <c r="T30" s="213">
        <v>0</v>
      </c>
      <c r="U30" s="213">
        <v>3.1</v>
      </c>
      <c r="V30" s="213">
        <v>2.8</v>
      </c>
      <c r="W30" s="213">
        <v>0.3</v>
      </c>
      <c r="X30" s="214"/>
      <c r="Y30" s="251">
        <v>2126</v>
      </c>
      <c r="Z30" s="213">
        <v>0</v>
      </c>
      <c r="AA30" s="213">
        <v>3.2</v>
      </c>
      <c r="AB30" s="213">
        <v>3.2</v>
      </c>
      <c r="AC30" s="213">
        <v>0</v>
      </c>
      <c r="AD30" s="213">
        <v>2.8</v>
      </c>
      <c r="AE30" s="213">
        <v>2.8</v>
      </c>
      <c r="AF30" s="213">
        <v>0</v>
      </c>
      <c r="AG30" s="214"/>
      <c r="AH30" s="251">
        <v>2126</v>
      </c>
      <c r="AI30" s="254">
        <v>-0.3</v>
      </c>
      <c r="AJ30" s="254" t="s">
        <v>82</v>
      </c>
      <c r="AK30" s="254" t="s">
        <v>82</v>
      </c>
      <c r="AL30" s="254" t="s">
        <v>82</v>
      </c>
      <c r="AM30" s="254">
        <v>-0.30000000000000027</v>
      </c>
      <c r="AN30" s="254" t="s">
        <v>82</v>
      </c>
      <c r="AO30" s="254">
        <v>-0.3</v>
      </c>
    </row>
    <row customFormat="1" r="31" s="205" spans="1:41" x14ac:dyDescent="0.2">
      <c r="A31" s="249">
        <v>27</v>
      </c>
      <c r="B31" s="195">
        <v>1</v>
      </c>
      <c r="C31" s="195" t="s">
        <v>79</v>
      </c>
      <c r="D31" s="195">
        <v>3</v>
      </c>
      <c r="E31" s="195" t="s">
        <v>110</v>
      </c>
      <c r="F31" s="196">
        <v>44413</v>
      </c>
      <c r="G31" s="250" t="s">
        <v>7</v>
      </c>
      <c r="H31" s="251">
        <v>2132</v>
      </c>
      <c r="I31" s="196" t="s">
        <v>217</v>
      </c>
      <c r="J31" s="199">
        <v>800</v>
      </c>
      <c r="K31" s="199">
        <v>949</v>
      </c>
      <c r="L31" s="252">
        <v>924</v>
      </c>
      <c r="M31" s="249">
        <v>0</v>
      </c>
      <c r="N31" s="200">
        <v>0</v>
      </c>
      <c r="O31" s="253"/>
      <c r="P31" s="251">
        <v>2132</v>
      </c>
      <c r="Q31" s="254">
        <v>1.1000000000000001</v>
      </c>
      <c r="R31" s="255"/>
      <c r="S31" s="255"/>
      <c r="T31" s="255"/>
      <c r="U31" s="255"/>
      <c r="V31" s="255"/>
      <c r="W31" s="255"/>
      <c r="X31" s="214"/>
      <c r="Y31" s="251">
        <v>2132</v>
      </c>
      <c r="Z31" s="213">
        <v>0</v>
      </c>
      <c r="AA31" s="255"/>
      <c r="AB31" s="255"/>
      <c r="AC31" s="255"/>
      <c r="AD31" s="255"/>
      <c r="AE31" s="255"/>
      <c r="AF31" s="255"/>
      <c r="AG31" s="214"/>
      <c r="AH31" s="251">
        <v>2132</v>
      </c>
      <c r="AI31" s="254">
        <v>-1.1000000000000001</v>
      </c>
      <c r="AJ31" s="254" t="s">
        <v>82</v>
      </c>
      <c r="AK31" s="254" t="s">
        <v>82</v>
      </c>
      <c r="AL31" s="254" t="s">
        <v>82</v>
      </c>
      <c r="AM31" s="254" t="s">
        <v>82</v>
      </c>
      <c r="AN31" s="254" t="s">
        <v>82</v>
      </c>
      <c r="AO31" s="254" t="s">
        <v>82</v>
      </c>
    </row>
    <row customFormat="1" r="32" s="205" spans="1:41" x14ac:dyDescent="0.2">
      <c r="A32" s="249">
        <v>28</v>
      </c>
      <c r="B32" s="195">
        <v>1</v>
      </c>
      <c r="C32" s="195" t="s">
        <v>79</v>
      </c>
      <c r="D32" s="195">
        <v>3</v>
      </c>
      <c r="E32" s="195" t="s">
        <v>110</v>
      </c>
      <c r="F32" s="196">
        <v>44413</v>
      </c>
      <c r="G32" s="250" t="s">
        <v>7</v>
      </c>
      <c r="H32" s="251">
        <v>2132</v>
      </c>
      <c r="I32" s="196" t="s">
        <v>114</v>
      </c>
      <c r="J32" s="199">
        <v>2300</v>
      </c>
      <c r="K32" s="199">
        <v>2339</v>
      </c>
      <c r="L32" s="252">
        <v>2339</v>
      </c>
      <c r="M32" s="249">
        <v>1</v>
      </c>
      <c r="N32" s="200">
        <v>1</v>
      </c>
      <c r="O32" s="253"/>
      <c r="P32" s="251">
        <v>2132</v>
      </c>
      <c r="Q32" s="254">
        <v>76.599999999999994</v>
      </c>
      <c r="R32" s="213">
        <v>8.9</v>
      </c>
      <c r="S32" s="213">
        <v>2.1</v>
      </c>
      <c r="T32" s="213">
        <v>6.8</v>
      </c>
      <c r="U32" s="213">
        <v>78.2</v>
      </c>
      <c r="V32" s="213">
        <v>1.6</v>
      </c>
      <c r="W32" s="213">
        <v>76.599999999999994</v>
      </c>
      <c r="X32" s="214"/>
      <c r="Y32" s="251">
        <v>2132</v>
      </c>
      <c r="Z32" s="213">
        <v>0</v>
      </c>
      <c r="AA32" s="213">
        <v>2.5</v>
      </c>
      <c r="AB32" s="213">
        <v>2.1</v>
      </c>
      <c r="AC32" s="213">
        <v>0.4</v>
      </c>
      <c r="AD32" s="213">
        <v>1.6</v>
      </c>
      <c r="AE32" s="213">
        <v>1.6</v>
      </c>
      <c r="AF32" s="213">
        <v>0</v>
      </c>
      <c r="AG32" s="214"/>
      <c r="AH32" s="251">
        <v>2132</v>
      </c>
      <c r="AI32" s="254">
        <v>-76.599999999999994</v>
      </c>
      <c r="AJ32" s="254">
        <v>-6.4</v>
      </c>
      <c r="AK32" s="254" t="s">
        <v>82</v>
      </c>
      <c r="AL32" s="254">
        <v>-6.3999999999999995</v>
      </c>
      <c r="AM32" s="254">
        <v>-76.600000000000009</v>
      </c>
      <c r="AN32" s="254" t="s">
        <v>82</v>
      </c>
      <c r="AO32" s="254">
        <v>-76.599999999999994</v>
      </c>
    </row>
    <row customFormat="1" r="33" s="205" spans="1:41" x14ac:dyDescent="0.2">
      <c r="A33" s="249">
        <v>29</v>
      </c>
      <c r="B33" s="195">
        <v>1</v>
      </c>
      <c r="C33" s="195" t="s">
        <v>79</v>
      </c>
      <c r="D33" s="195">
        <v>3</v>
      </c>
      <c r="E33" s="195" t="s">
        <v>110</v>
      </c>
      <c r="F33" s="196">
        <v>44448</v>
      </c>
      <c r="G33" s="250" t="s">
        <v>7</v>
      </c>
      <c r="H33" s="251">
        <v>2137</v>
      </c>
      <c r="I33" s="196" t="s">
        <v>540</v>
      </c>
      <c r="J33" s="199">
        <v>1445</v>
      </c>
      <c r="K33" s="199">
        <v>1544</v>
      </c>
      <c r="L33" s="252">
        <v>1511</v>
      </c>
      <c r="M33" s="249">
        <v>1</v>
      </c>
      <c r="N33" s="200">
        <v>0</v>
      </c>
      <c r="O33" s="253"/>
      <c r="P33" s="251">
        <v>2137</v>
      </c>
      <c r="Q33" s="254">
        <v>4.5999999999999996</v>
      </c>
      <c r="R33" s="213">
        <v>2.6</v>
      </c>
      <c r="S33" s="213">
        <v>1.9</v>
      </c>
      <c r="T33" s="213">
        <v>0.7</v>
      </c>
      <c r="U33" s="213">
        <v>2.5</v>
      </c>
      <c r="V33" s="213">
        <v>2.5</v>
      </c>
      <c r="W33" s="213" t="s">
        <v>84</v>
      </c>
      <c r="X33" s="214"/>
      <c r="Y33" s="251">
        <v>2137</v>
      </c>
      <c r="Z33" s="213">
        <v>0.2</v>
      </c>
      <c r="AA33" s="213">
        <v>2.2999999999999998</v>
      </c>
      <c r="AB33" s="213">
        <v>1.9</v>
      </c>
      <c r="AC33" s="213">
        <v>0.4</v>
      </c>
      <c r="AD33" s="213">
        <v>2.5</v>
      </c>
      <c r="AE33" s="213">
        <v>2.5</v>
      </c>
      <c r="AF33" s="213" t="s">
        <v>84</v>
      </c>
      <c r="AG33" s="214"/>
      <c r="AH33" s="251">
        <v>2137</v>
      </c>
      <c r="AI33" s="254">
        <v>-4.3999999999999995</v>
      </c>
      <c r="AJ33" s="254">
        <v>-0.30000000000000027</v>
      </c>
      <c r="AK33" s="254" t="s">
        <v>82</v>
      </c>
      <c r="AL33" s="254">
        <v>-0.29999999999999993</v>
      </c>
      <c r="AM33" s="254" t="s">
        <v>82</v>
      </c>
      <c r="AN33" s="254" t="s">
        <v>82</v>
      </c>
      <c r="AO33" s="254" t="s">
        <v>82</v>
      </c>
    </row>
    <row customFormat="1" r="34" s="205" spans="1:41" x14ac:dyDescent="0.2">
      <c r="A34" s="249">
        <v>30</v>
      </c>
      <c r="B34" s="195">
        <v>1</v>
      </c>
      <c r="C34" s="195" t="s">
        <v>79</v>
      </c>
      <c r="D34" s="195">
        <v>3</v>
      </c>
      <c r="E34" s="195" t="s">
        <v>110</v>
      </c>
      <c r="F34" s="196">
        <v>44468</v>
      </c>
      <c r="G34" s="250" t="s">
        <v>6</v>
      </c>
      <c r="H34" s="251">
        <v>2140</v>
      </c>
      <c r="I34" s="196" t="s">
        <v>330</v>
      </c>
      <c r="J34" s="199">
        <v>1155</v>
      </c>
      <c r="K34" s="199">
        <v>1444</v>
      </c>
      <c r="L34" s="252">
        <v>1250</v>
      </c>
      <c r="M34" s="249">
        <v>0</v>
      </c>
      <c r="N34" s="200">
        <v>0</v>
      </c>
      <c r="O34" s="253"/>
      <c r="P34" s="251">
        <v>2140</v>
      </c>
      <c r="Q34" s="254">
        <v>0.2</v>
      </c>
      <c r="R34" s="255"/>
      <c r="S34" s="255"/>
      <c r="T34" s="255"/>
      <c r="U34" s="255"/>
      <c r="V34" s="255"/>
      <c r="W34" s="255"/>
      <c r="X34" s="214"/>
      <c r="Y34" s="251">
        <v>2140</v>
      </c>
      <c r="Z34" s="213">
        <v>0</v>
      </c>
      <c r="AA34" s="255"/>
      <c r="AB34" s="255"/>
      <c r="AC34" s="255"/>
      <c r="AD34" s="255"/>
      <c r="AE34" s="255"/>
      <c r="AF34" s="255"/>
      <c r="AG34" s="214"/>
      <c r="AH34" s="251">
        <v>2140</v>
      </c>
      <c r="AI34" s="254">
        <v>-0.2</v>
      </c>
      <c r="AJ34" s="254" t="s">
        <v>82</v>
      </c>
      <c r="AK34" s="254" t="s">
        <v>82</v>
      </c>
      <c r="AL34" s="254" t="s">
        <v>82</v>
      </c>
      <c r="AM34" s="254" t="s">
        <v>82</v>
      </c>
      <c r="AN34" s="254" t="s">
        <v>82</v>
      </c>
      <c r="AO34" s="254" t="s">
        <v>82</v>
      </c>
    </row>
    <row customFormat="1" r="35" s="205" spans="1:41" x14ac:dyDescent="0.2">
      <c r="A35" s="249">
        <v>31</v>
      </c>
      <c r="B35" s="195">
        <v>1</v>
      </c>
      <c r="C35" s="195" t="s">
        <v>79</v>
      </c>
      <c r="D35" s="195">
        <v>3</v>
      </c>
      <c r="E35" s="195" t="s">
        <v>110</v>
      </c>
      <c r="F35" s="196">
        <v>44481</v>
      </c>
      <c r="G35" s="250" t="s">
        <v>5</v>
      </c>
      <c r="H35" s="251">
        <v>2142</v>
      </c>
      <c r="I35" s="196" t="s">
        <v>117</v>
      </c>
      <c r="J35" s="199">
        <v>1445</v>
      </c>
      <c r="K35" s="199">
        <v>1544</v>
      </c>
      <c r="L35" s="252">
        <v>1508</v>
      </c>
      <c r="M35" s="249">
        <v>1</v>
      </c>
      <c r="N35" s="200">
        <v>0</v>
      </c>
      <c r="O35" s="253"/>
      <c r="P35" s="251">
        <v>2142</v>
      </c>
      <c r="Q35" s="254">
        <v>1.1000000000000001</v>
      </c>
      <c r="R35" s="213">
        <v>0.8</v>
      </c>
      <c r="S35" s="213">
        <v>0.7</v>
      </c>
      <c r="T35" s="213">
        <v>0.1</v>
      </c>
      <c r="U35" s="213">
        <v>0.7</v>
      </c>
      <c r="V35" s="213">
        <v>0.7</v>
      </c>
      <c r="W35" s="213" t="s">
        <v>84</v>
      </c>
      <c r="X35" s="214"/>
      <c r="Y35" s="251">
        <v>2142</v>
      </c>
      <c r="Z35" s="213">
        <v>0</v>
      </c>
      <c r="AA35" s="213">
        <v>0.7</v>
      </c>
      <c r="AB35" s="213">
        <v>0.7</v>
      </c>
      <c r="AC35" s="213">
        <v>0</v>
      </c>
      <c r="AD35" s="213">
        <v>0.7</v>
      </c>
      <c r="AE35" s="213">
        <v>0.7</v>
      </c>
      <c r="AF35" s="213" t="s">
        <v>84</v>
      </c>
      <c r="AG35" s="214"/>
      <c r="AH35" s="251">
        <v>2142</v>
      </c>
      <c r="AI35" s="254">
        <v>-1.1000000000000001</v>
      </c>
      <c r="AJ35" s="254">
        <v>-0.10000000000000009</v>
      </c>
      <c r="AK35" s="254" t="s">
        <v>82</v>
      </c>
      <c r="AL35" s="254">
        <v>-0.1</v>
      </c>
      <c r="AM35" s="254" t="s">
        <v>82</v>
      </c>
      <c r="AN35" s="254" t="s">
        <v>82</v>
      </c>
      <c r="AO35" s="254" t="s">
        <v>82</v>
      </c>
    </row>
    <row customFormat="1" r="36" s="205" spans="1:41" x14ac:dyDescent="0.2">
      <c r="A36" s="249">
        <v>32</v>
      </c>
      <c r="B36" s="195">
        <v>1</v>
      </c>
      <c r="C36" s="195" t="s">
        <v>79</v>
      </c>
      <c r="D36" s="195">
        <v>3</v>
      </c>
      <c r="E36" s="195" t="s">
        <v>110</v>
      </c>
      <c r="F36" s="196">
        <v>44494</v>
      </c>
      <c r="G36" s="250" t="s">
        <v>4</v>
      </c>
      <c r="H36" s="251">
        <v>2144</v>
      </c>
      <c r="I36" s="196" t="s">
        <v>120</v>
      </c>
      <c r="J36" s="199">
        <v>1545</v>
      </c>
      <c r="K36" s="199">
        <v>1649</v>
      </c>
      <c r="L36" s="252">
        <v>1548</v>
      </c>
      <c r="M36" s="249">
        <v>1</v>
      </c>
      <c r="N36" s="200">
        <v>0</v>
      </c>
      <c r="O36" s="253"/>
      <c r="P36" s="251">
        <v>2144</v>
      </c>
      <c r="Q36" s="254">
        <v>1.7</v>
      </c>
      <c r="R36" s="213">
        <v>1.3</v>
      </c>
      <c r="S36" s="213">
        <v>1.2</v>
      </c>
      <c r="T36" s="213">
        <v>0.1</v>
      </c>
      <c r="U36" s="213">
        <v>1.6</v>
      </c>
      <c r="V36" s="213">
        <v>1.6</v>
      </c>
      <c r="W36" s="213" t="s">
        <v>84</v>
      </c>
      <c r="X36" s="214"/>
      <c r="Y36" s="251">
        <v>2144</v>
      </c>
      <c r="Z36" s="213">
        <v>0</v>
      </c>
      <c r="AA36" s="213">
        <v>1.2</v>
      </c>
      <c r="AB36" s="213">
        <v>1.2</v>
      </c>
      <c r="AC36" s="213">
        <v>0</v>
      </c>
      <c r="AD36" s="213">
        <v>1.6</v>
      </c>
      <c r="AE36" s="213">
        <v>1.6</v>
      </c>
      <c r="AF36" s="213" t="s">
        <v>84</v>
      </c>
      <c r="AG36" s="214"/>
      <c r="AH36" s="251">
        <v>2144</v>
      </c>
      <c r="AI36" s="254">
        <v>-1.7</v>
      </c>
      <c r="AJ36" s="254">
        <v>-0.10000000000000009</v>
      </c>
      <c r="AK36" s="254" t="s">
        <v>82</v>
      </c>
      <c r="AL36" s="254">
        <v>-0.1</v>
      </c>
      <c r="AM36" s="254" t="s">
        <v>82</v>
      </c>
      <c r="AN36" s="254" t="s">
        <v>82</v>
      </c>
      <c r="AO36" s="254" t="s">
        <v>82</v>
      </c>
    </row>
    <row customFormat="1" r="37" s="205" spans="1:41" x14ac:dyDescent="0.2">
      <c r="A37" s="249">
        <v>33</v>
      </c>
      <c r="B37" s="195">
        <v>1</v>
      </c>
      <c r="C37" s="195" t="s">
        <v>79</v>
      </c>
      <c r="D37" s="195">
        <v>3</v>
      </c>
      <c r="E37" s="195" t="s">
        <v>110</v>
      </c>
      <c r="F37" s="196">
        <v>44521</v>
      </c>
      <c r="G37" s="250" t="s">
        <v>10</v>
      </c>
      <c r="H37" s="251">
        <v>2147</v>
      </c>
      <c r="I37" s="196" t="s">
        <v>541</v>
      </c>
      <c r="J37" s="199">
        <v>615</v>
      </c>
      <c r="K37" s="199">
        <v>629</v>
      </c>
      <c r="L37" s="252">
        <v>616</v>
      </c>
      <c r="M37" s="249">
        <v>0</v>
      </c>
      <c r="N37" s="200">
        <v>0</v>
      </c>
      <c r="O37" s="253"/>
      <c r="P37" s="251">
        <v>2147</v>
      </c>
      <c r="Q37" s="254">
        <v>0.9</v>
      </c>
      <c r="R37" s="255"/>
      <c r="S37" s="255"/>
      <c r="T37" s="255"/>
      <c r="U37" s="255"/>
      <c r="V37" s="255"/>
      <c r="W37" s="255"/>
      <c r="X37" s="214"/>
      <c r="Y37" s="251">
        <v>2147</v>
      </c>
      <c r="Z37" s="213">
        <v>0</v>
      </c>
      <c r="AA37" s="255"/>
      <c r="AB37" s="255"/>
      <c r="AC37" s="255"/>
      <c r="AD37" s="255"/>
      <c r="AE37" s="255"/>
      <c r="AF37" s="255"/>
      <c r="AG37" s="214"/>
      <c r="AH37" s="251">
        <v>2147</v>
      </c>
      <c r="AI37" s="254">
        <v>-0.9</v>
      </c>
      <c r="AJ37" s="254" t="s">
        <v>82</v>
      </c>
      <c r="AK37" s="254" t="s">
        <v>82</v>
      </c>
      <c r="AL37" s="254" t="s">
        <v>82</v>
      </c>
      <c r="AM37" s="254" t="s">
        <v>82</v>
      </c>
      <c r="AN37" s="254" t="s">
        <v>82</v>
      </c>
      <c r="AO37" s="254" t="s">
        <v>82</v>
      </c>
    </row>
    <row customFormat="1" r="38" s="205" spans="1:41" x14ac:dyDescent="0.2">
      <c r="A38" s="249">
        <v>34</v>
      </c>
      <c r="B38" s="195">
        <v>1</v>
      </c>
      <c r="C38" s="195" t="s">
        <v>79</v>
      </c>
      <c r="D38" s="195">
        <v>3</v>
      </c>
      <c r="E38" s="195" t="s">
        <v>110</v>
      </c>
      <c r="F38" s="196">
        <v>44547</v>
      </c>
      <c r="G38" s="250" t="s">
        <v>8</v>
      </c>
      <c r="H38" s="251">
        <v>2151</v>
      </c>
      <c r="I38" s="196" t="s">
        <v>122</v>
      </c>
      <c r="J38" s="199">
        <v>1445</v>
      </c>
      <c r="K38" s="199">
        <v>1544</v>
      </c>
      <c r="L38" s="252">
        <v>1516</v>
      </c>
      <c r="M38" s="249">
        <v>1</v>
      </c>
      <c r="N38" s="200">
        <v>0</v>
      </c>
      <c r="O38" s="253"/>
      <c r="P38" s="251">
        <v>2151</v>
      </c>
      <c r="Q38" s="254">
        <v>0.3</v>
      </c>
      <c r="R38" s="213">
        <v>1.5</v>
      </c>
      <c r="S38" s="213">
        <v>1.3</v>
      </c>
      <c r="T38" s="213">
        <v>0.2</v>
      </c>
      <c r="U38" s="213">
        <v>1.5</v>
      </c>
      <c r="V38" s="213">
        <v>1.5</v>
      </c>
      <c r="W38" s="213" t="s">
        <v>84</v>
      </c>
      <c r="X38" s="214"/>
      <c r="Y38" s="251">
        <v>2151</v>
      </c>
      <c r="Z38" s="213">
        <v>0.1</v>
      </c>
      <c r="AA38" s="213">
        <v>1.5</v>
      </c>
      <c r="AB38" s="213">
        <v>1.3</v>
      </c>
      <c r="AC38" s="213">
        <v>0.2</v>
      </c>
      <c r="AD38" s="213">
        <v>1.5</v>
      </c>
      <c r="AE38" s="213">
        <v>1.5</v>
      </c>
      <c r="AF38" s="213" t="s">
        <v>84</v>
      </c>
      <c r="AG38" s="214"/>
      <c r="AH38" s="251">
        <v>2151</v>
      </c>
      <c r="AI38" s="254">
        <v>-0.19999999999999998</v>
      </c>
      <c r="AJ38" s="254" t="s">
        <v>82</v>
      </c>
      <c r="AK38" s="254" t="s">
        <v>82</v>
      </c>
      <c r="AL38" s="254" t="s">
        <v>82</v>
      </c>
      <c r="AM38" s="254" t="s">
        <v>82</v>
      </c>
      <c r="AN38" s="254" t="s">
        <v>82</v>
      </c>
      <c r="AO38" s="254" t="s">
        <v>82</v>
      </c>
    </row>
    <row customFormat="1" r="39" s="205" spans="1:41" x14ac:dyDescent="0.2">
      <c r="A39" s="249">
        <v>35</v>
      </c>
      <c r="B39" s="195">
        <v>1</v>
      </c>
      <c r="C39" s="195" t="s">
        <v>79</v>
      </c>
      <c r="D39" s="195">
        <v>3</v>
      </c>
      <c r="E39" s="195" t="s">
        <v>110</v>
      </c>
      <c r="F39" s="196">
        <v>44572</v>
      </c>
      <c r="G39" s="250" t="s">
        <v>5</v>
      </c>
      <c r="H39" s="251">
        <v>2203</v>
      </c>
      <c r="I39" s="196" t="s">
        <v>125</v>
      </c>
      <c r="J39" s="199">
        <v>610</v>
      </c>
      <c r="K39" s="199">
        <v>759</v>
      </c>
      <c r="L39" s="252">
        <v>752</v>
      </c>
      <c r="M39" s="249">
        <v>1</v>
      </c>
      <c r="N39" s="200">
        <v>0</v>
      </c>
      <c r="O39" s="253"/>
      <c r="P39" s="251">
        <v>2203</v>
      </c>
      <c r="Q39" s="254">
        <v>0.2</v>
      </c>
      <c r="R39" s="213">
        <v>4.7</v>
      </c>
      <c r="S39" s="213">
        <v>4.7</v>
      </c>
      <c r="T39" s="213">
        <v>0</v>
      </c>
      <c r="U39" s="213">
        <v>4.5</v>
      </c>
      <c r="V39" s="213">
        <v>4.5</v>
      </c>
      <c r="W39" s="213" t="s">
        <v>84</v>
      </c>
      <c r="X39" s="214"/>
      <c r="Y39" s="251">
        <v>2203</v>
      </c>
      <c r="Z39" s="213">
        <v>0</v>
      </c>
      <c r="AA39" s="213">
        <v>4.7</v>
      </c>
      <c r="AB39" s="213">
        <v>4.7</v>
      </c>
      <c r="AC39" s="213">
        <v>0</v>
      </c>
      <c r="AD39" s="213">
        <v>4.5</v>
      </c>
      <c r="AE39" s="213">
        <v>4.5</v>
      </c>
      <c r="AF39" s="213" t="s">
        <v>84</v>
      </c>
      <c r="AG39" s="214"/>
      <c r="AH39" s="251">
        <v>2203</v>
      </c>
      <c r="AI39" s="254">
        <v>-0.2</v>
      </c>
      <c r="AJ39" s="254" t="s">
        <v>82</v>
      </c>
      <c r="AK39" s="254" t="s">
        <v>82</v>
      </c>
      <c r="AL39" s="254" t="s">
        <v>82</v>
      </c>
      <c r="AM39" s="254" t="s">
        <v>82</v>
      </c>
      <c r="AN39" s="254" t="s">
        <v>82</v>
      </c>
      <c r="AO39" s="254" t="s">
        <v>82</v>
      </c>
    </row>
    <row customFormat="1" r="40" s="205" spans="1:41" x14ac:dyDescent="0.2">
      <c r="A40" s="249">
        <v>36</v>
      </c>
      <c r="B40" s="195">
        <v>1</v>
      </c>
      <c r="C40" s="195" t="s">
        <v>79</v>
      </c>
      <c r="D40" s="195">
        <v>4</v>
      </c>
      <c r="E40" s="195" t="s">
        <v>126</v>
      </c>
      <c r="F40" s="196">
        <v>42949</v>
      </c>
      <c r="G40" s="250" t="s">
        <v>6</v>
      </c>
      <c r="H40" s="251">
        <v>1732</v>
      </c>
      <c r="I40" s="196" t="s">
        <v>128</v>
      </c>
      <c r="J40" s="199">
        <v>2315</v>
      </c>
      <c r="K40" s="199">
        <v>2414</v>
      </c>
      <c r="L40" s="252">
        <v>2317</v>
      </c>
      <c r="M40" s="249">
        <v>1</v>
      </c>
      <c r="N40" s="200">
        <v>0</v>
      </c>
      <c r="O40" s="253"/>
      <c r="P40" s="251">
        <v>1732</v>
      </c>
      <c r="Q40" s="254">
        <v>1.8</v>
      </c>
      <c r="R40" s="213">
        <v>4</v>
      </c>
      <c r="S40" s="213">
        <v>3.6</v>
      </c>
      <c r="T40" s="213">
        <v>0.4</v>
      </c>
      <c r="U40" s="213">
        <v>2.7</v>
      </c>
      <c r="V40" s="213">
        <v>2.6</v>
      </c>
      <c r="W40" s="213">
        <v>0.1</v>
      </c>
      <c r="X40" s="214"/>
      <c r="Y40" s="251">
        <v>1732</v>
      </c>
      <c r="Z40" s="213">
        <v>0.5</v>
      </c>
      <c r="AA40" s="213">
        <v>3.9</v>
      </c>
      <c r="AB40" s="213">
        <v>3.6</v>
      </c>
      <c r="AC40" s="213">
        <v>0.3</v>
      </c>
      <c r="AD40" s="213">
        <v>2.7</v>
      </c>
      <c r="AE40" s="213">
        <v>2.6</v>
      </c>
      <c r="AF40" s="213">
        <v>0.1</v>
      </c>
      <c r="AG40" s="214"/>
      <c r="AH40" s="251">
        <v>1732</v>
      </c>
      <c r="AI40" s="254">
        <v>-1.3</v>
      </c>
      <c r="AJ40" s="254">
        <v>-0.10000000000000009</v>
      </c>
      <c r="AK40" s="254" t="s">
        <v>82</v>
      </c>
      <c r="AL40" s="254">
        <v>-0.10000000000000003</v>
      </c>
      <c r="AM40" s="254" t="s">
        <v>82</v>
      </c>
      <c r="AN40" s="254" t="s">
        <v>82</v>
      </c>
      <c r="AO40" s="254" t="s">
        <v>82</v>
      </c>
    </row>
    <row customFormat="1" r="41" s="205" spans="1:41" x14ac:dyDescent="0.2">
      <c r="A41" s="249">
        <v>37</v>
      </c>
      <c r="B41" s="195">
        <v>1</v>
      </c>
      <c r="C41" s="195" t="s">
        <v>79</v>
      </c>
      <c r="D41" s="195">
        <v>4</v>
      </c>
      <c r="E41" s="195" t="s">
        <v>126</v>
      </c>
      <c r="F41" s="196">
        <v>43621</v>
      </c>
      <c r="G41" s="250" t="s">
        <v>6</v>
      </c>
      <c r="H41" s="251">
        <v>1923</v>
      </c>
      <c r="I41" s="196" t="s">
        <v>129</v>
      </c>
      <c r="J41" s="199">
        <v>600</v>
      </c>
      <c r="K41" s="199">
        <v>659</v>
      </c>
      <c r="L41" s="252">
        <v>602</v>
      </c>
      <c r="M41" s="249">
        <v>1</v>
      </c>
      <c r="N41" s="200">
        <v>0</v>
      </c>
      <c r="O41" s="253"/>
      <c r="P41" s="251">
        <v>1923</v>
      </c>
      <c r="Q41" s="254">
        <v>0.6</v>
      </c>
      <c r="R41" s="213">
        <v>4.0999999999999996</v>
      </c>
      <c r="S41" s="213">
        <v>4.0999999999999996</v>
      </c>
      <c r="T41" s="213">
        <v>0</v>
      </c>
      <c r="U41" s="213">
        <v>4.8</v>
      </c>
      <c r="V41" s="213">
        <v>4.8</v>
      </c>
      <c r="W41" s="213" t="s">
        <v>84</v>
      </c>
      <c r="X41" s="214"/>
      <c r="Y41" s="251">
        <v>1923</v>
      </c>
      <c r="Z41" s="213">
        <v>0</v>
      </c>
      <c r="AA41" s="213">
        <v>4.0999999999999996</v>
      </c>
      <c r="AB41" s="213">
        <v>4.0999999999999996</v>
      </c>
      <c r="AC41" s="213">
        <v>0</v>
      </c>
      <c r="AD41" s="213">
        <v>4.8</v>
      </c>
      <c r="AE41" s="213">
        <v>4.8</v>
      </c>
      <c r="AF41" s="213" t="s">
        <v>84</v>
      </c>
      <c r="AG41" s="214"/>
      <c r="AH41" s="251">
        <v>1923</v>
      </c>
      <c r="AI41" s="254">
        <v>-0.6</v>
      </c>
      <c r="AJ41" s="254" t="s">
        <v>82</v>
      </c>
      <c r="AK41" s="254" t="s">
        <v>82</v>
      </c>
      <c r="AL41" s="254" t="s">
        <v>82</v>
      </c>
      <c r="AM41" s="254" t="s">
        <v>82</v>
      </c>
      <c r="AN41" s="254" t="s">
        <v>82</v>
      </c>
      <c r="AO41" s="254" t="s">
        <v>82</v>
      </c>
    </row>
    <row customFormat="1" r="42" s="205" spans="1:41" x14ac:dyDescent="0.2">
      <c r="A42" s="249">
        <v>38</v>
      </c>
      <c r="B42" s="195">
        <v>1</v>
      </c>
      <c r="C42" s="195" t="s">
        <v>79</v>
      </c>
      <c r="D42" s="195">
        <v>4</v>
      </c>
      <c r="E42" s="195" t="s">
        <v>126</v>
      </c>
      <c r="F42" s="196">
        <v>43849</v>
      </c>
      <c r="G42" s="250" t="s">
        <v>10</v>
      </c>
      <c r="H42" s="251">
        <v>2003</v>
      </c>
      <c r="I42" s="196" t="s">
        <v>542</v>
      </c>
      <c r="J42" s="199">
        <v>2100</v>
      </c>
      <c r="K42" s="199">
        <v>2304</v>
      </c>
      <c r="L42" s="252">
        <v>2241</v>
      </c>
      <c r="M42" s="249">
        <v>1</v>
      </c>
      <c r="N42" s="200">
        <v>0</v>
      </c>
      <c r="O42" s="253"/>
      <c r="P42" s="251">
        <v>2003</v>
      </c>
      <c r="Q42" s="254">
        <v>2</v>
      </c>
      <c r="R42" s="213">
        <v>8.4</v>
      </c>
      <c r="S42" s="213">
        <v>7.1</v>
      </c>
      <c r="T42" s="213">
        <v>1.3</v>
      </c>
      <c r="U42" s="213">
        <v>3.6</v>
      </c>
      <c r="V42" s="213">
        <v>3.3</v>
      </c>
      <c r="W42" s="213">
        <v>0.3</v>
      </c>
      <c r="X42" s="214"/>
      <c r="Y42" s="251">
        <v>2003</v>
      </c>
      <c r="Z42" s="213">
        <v>0.8</v>
      </c>
      <c r="AA42" s="213">
        <v>8.4</v>
      </c>
      <c r="AB42" s="213">
        <v>7.1</v>
      </c>
      <c r="AC42" s="213">
        <v>1.3</v>
      </c>
      <c r="AD42" s="213">
        <v>3.6</v>
      </c>
      <c r="AE42" s="213">
        <v>3.3</v>
      </c>
      <c r="AF42" s="213">
        <v>0.3</v>
      </c>
      <c r="AG42" s="214"/>
      <c r="AH42" s="251">
        <v>2003</v>
      </c>
      <c r="AI42" s="254">
        <v>-1.2</v>
      </c>
      <c r="AJ42" s="254" t="s">
        <v>82</v>
      </c>
      <c r="AK42" s="254" t="s">
        <v>82</v>
      </c>
      <c r="AL42" s="254" t="s">
        <v>82</v>
      </c>
      <c r="AM42" s="254" t="s">
        <v>82</v>
      </c>
      <c r="AN42" s="254" t="s">
        <v>82</v>
      </c>
      <c r="AO42" s="254" t="s">
        <v>82</v>
      </c>
    </row>
    <row customFormat="1" r="43" s="205" spans="1:41" x14ac:dyDescent="0.2">
      <c r="A43" s="249">
        <v>39</v>
      </c>
      <c r="B43" s="195">
        <v>1</v>
      </c>
      <c r="C43" s="195" t="s">
        <v>79</v>
      </c>
      <c r="D43" s="195">
        <v>4</v>
      </c>
      <c r="E43" s="195" t="s">
        <v>126</v>
      </c>
      <c r="F43" s="196">
        <v>44060</v>
      </c>
      <c r="G43" s="250" t="s">
        <v>4</v>
      </c>
      <c r="H43" s="251">
        <v>2034</v>
      </c>
      <c r="I43" s="196" t="s">
        <v>134</v>
      </c>
      <c r="J43" s="199">
        <v>1900</v>
      </c>
      <c r="K43" s="199">
        <v>2029</v>
      </c>
      <c r="L43" s="252">
        <v>2016</v>
      </c>
      <c r="M43" s="249">
        <v>1</v>
      </c>
      <c r="N43" s="200">
        <v>0</v>
      </c>
      <c r="O43" s="253"/>
      <c r="P43" s="251">
        <v>2034</v>
      </c>
      <c r="Q43" s="254">
        <v>0.7</v>
      </c>
      <c r="R43" s="213">
        <v>7</v>
      </c>
      <c r="S43" s="213">
        <v>6.8</v>
      </c>
      <c r="T43" s="213">
        <v>0.2</v>
      </c>
      <c r="U43" s="213">
        <v>8.9</v>
      </c>
      <c r="V43" s="213">
        <v>8.9</v>
      </c>
      <c r="W43" s="213" t="s">
        <v>84</v>
      </c>
      <c r="X43" s="214"/>
      <c r="Y43" s="251">
        <v>2034</v>
      </c>
      <c r="Z43" s="213">
        <v>0.1</v>
      </c>
      <c r="AA43" s="213">
        <v>7</v>
      </c>
      <c r="AB43" s="213">
        <v>6.8</v>
      </c>
      <c r="AC43" s="213">
        <v>0.2</v>
      </c>
      <c r="AD43" s="213">
        <v>8.9</v>
      </c>
      <c r="AE43" s="213">
        <v>8.9</v>
      </c>
      <c r="AF43" s="213" t="s">
        <v>84</v>
      </c>
      <c r="AG43" s="214"/>
      <c r="AH43" s="251">
        <v>2034</v>
      </c>
      <c r="AI43" s="254">
        <v>-0.6</v>
      </c>
      <c r="AJ43" s="254" t="s">
        <v>82</v>
      </c>
      <c r="AK43" s="254" t="s">
        <v>82</v>
      </c>
      <c r="AL43" s="254" t="s">
        <v>82</v>
      </c>
      <c r="AM43" s="254" t="s">
        <v>82</v>
      </c>
      <c r="AN43" s="254" t="s">
        <v>82</v>
      </c>
      <c r="AO43" s="254" t="s">
        <v>82</v>
      </c>
    </row>
    <row customFormat="1" r="44" s="205" spans="1:41" x14ac:dyDescent="0.2">
      <c r="A44" s="249">
        <v>40</v>
      </c>
      <c r="B44" s="195">
        <v>1</v>
      </c>
      <c r="C44" s="195" t="s">
        <v>79</v>
      </c>
      <c r="D44" s="195">
        <v>4</v>
      </c>
      <c r="E44" s="195" t="s">
        <v>126</v>
      </c>
      <c r="F44" s="196">
        <v>44064</v>
      </c>
      <c r="G44" s="250" t="s">
        <v>8</v>
      </c>
      <c r="H44" s="251">
        <v>2034</v>
      </c>
      <c r="I44" s="196" t="s">
        <v>135</v>
      </c>
      <c r="J44" s="199">
        <v>700</v>
      </c>
      <c r="K44" s="199">
        <v>759</v>
      </c>
      <c r="L44" s="252">
        <v>748</v>
      </c>
      <c r="M44" s="249">
        <v>1</v>
      </c>
      <c r="N44" s="200">
        <v>0</v>
      </c>
      <c r="O44" s="253"/>
      <c r="P44" s="251">
        <v>2034</v>
      </c>
      <c r="Q44" s="254">
        <v>0.3</v>
      </c>
      <c r="R44" s="213">
        <v>4.8</v>
      </c>
      <c r="S44" s="213">
        <v>4.8</v>
      </c>
      <c r="T44" s="213">
        <v>0</v>
      </c>
      <c r="U44" s="213">
        <v>5.5</v>
      </c>
      <c r="V44" s="213">
        <v>5.5</v>
      </c>
      <c r="W44" s="213" t="s">
        <v>84</v>
      </c>
      <c r="X44" s="214"/>
      <c r="Y44" s="251">
        <v>2034</v>
      </c>
      <c r="Z44" s="213">
        <v>0</v>
      </c>
      <c r="AA44" s="213">
        <v>4.8</v>
      </c>
      <c r="AB44" s="213">
        <v>4.8</v>
      </c>
      <c r="AC44" s="213">
        <v>0</v>
      </c>
      <c r="AD44" s="213">
        <v>5.5</v>
      </c>
      <c r="AE44" s="213">
        <v>5.5</v>
      </c>
      <c r="AF44" s="213" t="s">
        <v>84</v>
      </c>
      <c r="AG44" s="214"/>
      <c r="AH44" s="251">
        <v>2034</v>
      </c>
      <c r="AI44" s="254">
        <v>-0.3</v>
      </c>
      <c r="AJ44" s="254" t="s">
        <v>82</v>
      </c>
      <c r="AK44" s="254" t="s">
        <v>82</v>
      </c>
      <c r="AL44" s="254" t="s">
        <v>82</v>
      </c>
      <c r="AM44" s="254" t="s">
        <v>82</v>
      </c>
      <c r="AN44" s="254" t="s">
        <v>82</v>
      </c>
      <c r="AO44" s="254" t="s">
        <v>82</v>
      </c>
    </row>
    <row customFormat="1" r="45" s="205" spans="1:41" x14ac:dyDescent="0.2">
      <c r="A45" s="249">
        <v>41</v>
      </c>
      <c r="B45" s="195">
        <v>1</v>
      </c>
      <c r="C45" s="195" t="s">
        <v>79</v>
      </c>
      <c r="D45" s="195">
        <v>4</v>
      </c>
      <c r="E45" s="195" t="s">
        <v>126</v>
      </c>
      <c r="F45" s="196">
        <v>44445</v>
      </c>
      <c r="G45" s="250" t="s">
        <v>4</v>
      </c>
      <c r="H45" s="251">
        <v>2137</v>
      </c>
      <c r="I45" s="196" t="s">
        <v>137</v>
      </c>
      <c r="J45" s="199">
        <v>500</v>
      </c>
      <c r="K45" s="199">
        <v>559</v>
      </c>
      <c r="L45" s="252">
        <v>529</v>
      </c>
      <c r="M45" s="249">
        <v>1</v>
      </c>
      <c r="N45" s="200">
        <v>0</v>
      </c>
      <c r="O45" s="253"/>
      <c r="P45" s="251">
        <v>2137</v>
      </c>
      <c r="Q45" s="254">
        <v>0.6</v>
      </c>
      <c r="R45" s="213">
        <v>1.4</v>
      </c>
      <c r="S45" s="213">
        <v>1.3</v>
      </c>
      <c r="T45" s="213">
        <v>0.1</v>
      </c>
      <c r="U45" s="213">
        <v>1.9</v>
      </c>
      <c r="V45" s="213">
        <v>1.9</v>
      </c>
      <c r="W45" s="213" t="s">
        <v>84</v>
      </c>
      <c r="X45" s="214"/>
      <c r="Y45" s="251">
        <v>2137</v>
      </c>
      <c r="Z45" s="213">
        <v>0</v>
      </c>
      <c r="AA45" s="213">
        <v>1.3</v>
      </c>
      <c r="AB45" s="213">
        <v>1.3</v>
      </c>
      <c r="AC45" s="213">
        <v>0</v>
      </c>
      <c r="AD45" s="213">
        <v>1.9</v>
      </c>
      <c r="AE45" s="213">
        <v>1.9</v>
      </c>
      <c r="AF45" s="213" t="s">
        <v>84</v>
      </c>
      <c r="AG45" s="214"/>
      <c r="AH45" s="251">
        <v>2137</v>
      </c>
      <c r="AI45" s="254">
        <v>-0.6</v>
      </c>
      <c r="AJ45" s="254">
        <v>-9.9999999999999867E-2</v>
      </c>
      <c r="AK45" s="254" t="s">
        <v>82</v>
      </c>
      <c r="AL45" s="254">
        <v>-0.1</v>
      </c>
      <c r="AM45" s="254" t="s">
        <v>82</v>
      </c>
      <c r="AN45" s="254" t="s">
        <v>82</v>
      </c>
      <c r="AO45" s="254" t="s">
        <v>82</v>
      </c>
    </row>
    <row customFormat="1" r="46" s="205" spans="1:41" x14ac:dyDescent="0.2">
      <c r="A46" s="249">
        <v>42</v>
      </c>
      <c r="B46" s="195">
        <v>1</v>
      </c>
      <c r="C46" s="195" t="s">
        <v>79</v>
      </c>
      <c r="D46" s="195">
        <v>4</v>
      </c>
      <c r="E46" s="195" t="s">
        <v>126</v>
      </c>
      <c r="F46" s="196">
        <v>44520</v>
      </c>
      <c r="G46" s="250" t="s">
        <v>9</v>
      </c>
      <c r="H46" s="251">
        <v>2147</v>
      </c>
      <c r="I46" s="196" t="s">
        <v>543</v>
      </c>
      <c r="J46" s="199">
        <v>1000</v>
      </c>
      <c r="K46" s="199">
        <v>1029</v>
      </c>
      <c r="L46" s="252">
        <v>1010</v>
      </c>
      <c r="M46" s="249">
        <v>0</v>
      </c>
      <c r="N46" s="200">
        <v>0</v>
      </c>
      <c r="O46" s="253"/>
      <c r="P46" s="251">
        <v>2147</v>
      </c>
      <c r="Q46" s="254">
        <v>4.5</v>
      </c>
      <c r="R46" s="255"/>
      <c r="S46" s="255"/>
      <c r="T46" s="255"/>
      <c r="U46" s="255"/>
      <c r="V46" s="255"/>
      <c r="W46" s="255"/>
      <c r="X46" s="214"/>
      <c r="Y46" s="251">
        <v>2147</v>
      </c>
      <c r="Z46" s="213">
        <v>0.2</v>
      </c>
      <c r="AA46" s="255"/>
      <c r="AB46" s="255"/>
      <c r="AC46" s="255"/>
      <c r="AD46" s="255"/>
      <c r="AE46" s="255"/>
      <c r="AF46" s="255"/>
      <c r="AG46" s="214"/>
      <c r="AH46" s="251">
        <v>2147</v>
      </c>
      <c r="AI46" s="254">
        <v>-4.3</v>
      </c>
      <c r="AJ46" s="254" t="s">
        <v>82</v>
      </c>
      <c r="AK46" s="254" t="s">
        <v>82</v>
      </c>
      <c r="AL46" s="254" t="s">
        <v>82</v>
      </c>
      <c r="AM46" s="254" t="s">
        <v>82</v>
      </c>
      <c r="AN46" s="254" t="s">
        <v>82</v>
      </c>
      <c r="AO46" s="254" t="s">
        <v>82</v>
      </c>
    </row>
    <row customFormat="1" r="47" s="205" spans="1:41" x14ac:dyDescent="0.2">
      <c r="A47" s="249">
        <v>43</v>
      </c>
      <c r="B47" s="195">
        <v>1</v>
      </c>
      <c r="C47" s="195" t="s">
        <v>79</v>
      </c>
      <c r="D47" s="195">
        <v>4</v>
      </c>
      <c r="E47" s="195" t="s">
        <v>126</v>
      </c>
      <c r="F47" s="196">
        <v>44530</v>
      </c>
      <c r="G47" s="250" t="s">
        <v>5</v>
      </c>
      <c r="H47" s="251">
        <v>2149</v>
      </c>
      <c r="I47" s="196" t="s">
        <v>129</v>
      </c>
      <c r="J47" s="199">
        <v>600</v>
      </c>
      <c r="K47" s="199">
        <v>659</v>
      </c>
      <c r="L47" s="252">
        <v>640</v>
      </c>
      <c r="M47" s="249">
        <v>1</v>
      </c>
      <c r="N47" s="200">
        <v>0</v>
      </c>
      <c r="O47" s="253"/>
      <c r="P47" s="251">
        <v>2149</v>
      </c>
      <c r="Q47" s="254">
        <v>0.8</v>
      </c>
      <c r="R47" s="213">
        <v>3</v>
      </c>
      <c r="S47" s="213">
        <v>2.9</v>
      </c>
      <c r="T47" s="213">
        <v>0.1</v>
      </c>
      <c r="U47" s="213">
        <v>3.9</v>
      </c>
      <c r="V47" s="213">
        <v>3.9</v>
      </c>
      <c r="W47" s="213" t="s">
        <v>84</v>
      </c>
      <c r="X47" s="214"/>
      <c r="Y47" s="251">
        <v>2149</v>
      </c>
      <c r="Z47" s="213">
        <v>0</v>
      </c>
      <c r="AA47" s="213">
        <v>2.9</v>
      </c>
      <c r="AB47" s="213">
        <v>2.9</v>
      </c>
      <c r="AC47" s="213">
        <v>0</v>
      </c>
      <c r="AD47" s="213">
        <v>3.9</v>
      </c>
      <c r="AE47" s="213">
        <v>3.9</v>
      </c>
      <c r="AF47" s="213" t="s">
        <v>84</v>
      </c>
      <c r="AG47" s="214"/>
      <c r="AH47" s="251">
        <v>2149</v>
      </c>
      <c r="AI47" s="254">
        <v>-0.8</v>
      </c>
      <c r="AJ47" s="254">
        <v>-0.10000000000000009</v>
      </c>
      <c r="AK47" s="254" t="s">
        <v>82</v>
      </c>
      <c r="AL47" s="254">
        <v>-0.1</v>
      </c>
      <c r="AM47" s="254" t="s">
        <v>82</v>
      </c>
      <c r="AN47" s="254" t="s">
        <v>82</v>
      </c>
      <c r="AO47" s="254" t="s">
        <v>82</v>
      </c>
    </row>
    <row customFormat="1" r="48" s="205" spans="1:41" x14ac:dyDescent="0.2">
      <c r="A48" s="249">
        <v>44</v>
      </c>
      <c r="B48" s="195">
        <v>1</v>
      </c>
      <c r="C48" s="195" t="s">
        <v>79</v>
      </c>
      <c r="D48" s="195">
        <v>4</v>
      </c>
      <c r="E48" s="195" t="s">
        <v>126</v>
      </c>
      <c r="F48" s="196">
        <v>44638</v>
      </c>
      <c r="G48" s="250" t="s">
        <v>8</v>
      </c>
      <c r="H48" s="251">
        <v>2212</v>
      </c>
      <c r="I48" s="196" t="s">
        <v>129</v>
      </c>
      <c r="J48" s="199">
        <v>600</v>
      </c>
      <c r="K48" s="199">
        <v>659</v>
      </c>
      <c r="L48" s="252">
        <v>607</v>
      </c>
      <c r="M48" s="249">
        <v>1</v>
      </c>
      <c r="N48" s="200">
        <v>0</v>
      </c>
      <c r="O48" s="253"/>
      <c r="P48" s="251">
        <v>2212</v>
      </c>
      <c r="Q48" s="254">
        <v>0.9</v>
      </c>
      <c r="R48" s="213">
        <v>2.7</v>
      </c>
      <c r="S48" s="213">
        <v>2.6</v>
      </c>
      <c r="T48" s="213">
        <v>0.1</v>
      </c>
      <c r="U48" s="213">
        <v>3.4</v>
      </c>
      <c r="V48" s="213">
        <v>3.4</v>
      </c>
      <c r="W48" s="213" t="s">
        <v>84</v>
      </c>
      <c r="X48" s="214"/>
      <c r="Y48" s="251">
        <v>2212</v>
      </c>
      <c r="Z48" s="213">
        <v>0</v>
      </c>
      <c r="AA48" s="213">
        <v>2.6</v>
      </c>
      <c r="AB48" s="213">
        <v>2.6</v>
      </c>
      <c r="AC48" s="213">
        <v>0</v>
      </c>
      <c r="AD48" s="213">
        <v>3.4</v>
      </c>
      <c r="AE48" s="213">
        <v>3.4</v>
      </c>
      <c r="AF48" s="213" t="s">
        <v>84</v>
      </c>
      <c r="AG48" s="214"/>
      <c r="AH48" s="251">
        <v>2212</v>
      </c>
      <c r="AI48" s="254">
        <v>-0.9</v>
      </c>
      <c r="AJ48" s="254">
        <v>-0.10000000000000009</v>
      </c>
      <c r="AK48" s="254" t="s">
        <v>82</v>
      </c>
      <c r="AL48" s="254">
        <v>-0.1</v>
      </c>
      <c r="AM48" s="254" t="s">
        <v>82</v>
      </c>
      <c r="AN48" s="254" t="s">
        <v>82</v>
      </c>
      <c r="AO48" s="254" t="s">
        <v>82</v>
      </c>
    </row>
    <row customFormat="1" r="49" s="205" spans="1:41" x14ac:dyDescent="0.2">
      <c r="A49" s="249">
        <v>45</v>
      </c>
      <c r="B49" s="195">
        <v>1</v>
      </c>
      <c r="C49" s="195" t="s">
        <v>79</v>
      </c>
      <c r="D49" s="195">
        <v>5</v>
      </c>
      <c r="E49" s="195" t="s">
        <v>544</v>
      </c>
      <c r="F49" s="196">
        <v>44114</v>
      </c>
      <c r="G49" s="250" t="s">
        <v>9</v>
      </c>
      <c r="H49" s="251">
        <v>2041</v>
      </c>
      <c r="I49" s="196" t="s">
        <v>545</v>
      </c>
      <c r="J49" s="199">
        <v>1900</v>
      </c>
      <c r="K49" s="199">
        <v>2053</v>
      </c>
      <c r="L49" s="252">
        <v>2002</v>
      </c>
      <c r="M49" s="249">
        <v>0</v>
      </c>
      <c r="N49" s="200">
        <v>0</v>
      </c>
      <c r="O49" s="253"/>
      <c r="P49" s="251">
        <v>2041</v>
      </c>
      <c r="Q49" s="254">
        <v>1</v>
      </c>
      <c r="R49" s="255"/>
      <c r="S49" s="255"/>
      <c r="T49" s="255"/>
      <c r="U49" s="255"/>
      <c r="V49" s="255"/>
      <c r="W49" s="255"/>
      <c r="X49" s="214"/>
      <c r="Y49" s="251">
        <v>2041</v>
      </c>
      <c r="Z49" s="213">
        <v>0.7</v>
      </c>
      <c r="AA49" s="255"/>
      <c r="AB49" s="255"/>
      <c r="AC49" s="255"/>
      <c r="AD49" s="255"/>
      <c r="AE49" s="255"/>
      <c r="AF49" s="255"/>
      <c r="AG49" s="214"/>
      <c r="AH49" s="251">
        <v>2041</v>
      </c>
      <c r="AI49" s="254">
        <v>-0.30000000000000004</v>
      </c>
      <c r="AJ49" s="254" t="s">
        <v>82</v>
      </c>
      <c r="AK49" s="254" t="s">
        <v>82</v>
      </c>
      <c r="AL49" s="254" t="s">
        <v>82</v>
      </c>
      <c r="AM49" s="254" t="s">
        <v>82</v>
      </c>
      <c r="AN49" s="254" t="s">
        <v>82</v>
      </c>
      <c r="AO49" s="254" t="s">
        <v>82</v>
      </c>
    </row>
    <row customFormat="1" r="50" s="205" spans="1:41" x14ac:dyDescent="0.2">
      <c r="A50" s="249">
        <v>46</v>
      </c>
      <c r="B50" s="195">
        <v>1</v>
      </c>
      <c r="C50" s="195" t="s">
        <v>79</v>
      </c>
      <c r="D50" s="195">
        <v>5</v>
      </c>
      <c r="E50" s="195" t="s">
        <v>544</v>
      </c>
      <c r="F50" s="196">
        <v>44213</v>
      </c>
      <c r="G50" s="250" t="s">
        <v>10</v>
      </c>
      <c r="H50" s="251">
        <v>2103</v>
      </c>
      <c r="I50" s="196" t="s">
        <v>546</v>
      </c>
      <c r="J50" s="199">
        <v>2200</v>
      </c>
      <c r="K50" s="199">
        <v>2247</v>
      </c>
      <c r="L50" s="252">
        <v>2215</v>
      </c>
      <c r="M50" s="249">
        <v>0</v>
      </c>
      <c r="N50" s="200">
        <v>0</v>
      </c>
      <c r="O50" s="253"/>
      <c r="P50" s="251">
        <v>2103</v>
      </c>
      <c r="Q50" s="254">
        <v>1.7</v>
      </c>
      <c r="R50" s="255"/>
      <c r="S50" s="255"/>
      <c r="T50" s="255"/>
      <c r="U50" s="255"/>
      <c r="V50" s="255"/>
      <c r="W50" s="255"/>
      <c r="X50" s="214"/>
      <c r="Y50" s="251">
        <v>2103</v>
      </c>
      <c r="Z50" s="213">
        <v>1</v>
      </c>
      <c r="AA50" s="255"/>
      <c r="AB50" s="255"/>
      <c r="AC50" s="255"/>
      <c r="AD50" s="255"/>
      <c r="AE50" s="255"/>
      <c r="AF50" s="255"/>
      <c r="AG50" s="214"/>
      <c r="AH50" s="251">
        <v>2103</v>
      </c>
      <c r="AI50" s="254">
        <v>-0.7</v>
      </c>
      <c r="AJ50" s="254" t="s">
        <v>82</v>
      </c>
      <c r="AK50" s="254" t="s">
        <v>82</v>
      </c>
      <c r="AL50" s="254" t="s">
        <v>82</v>
      </c>
      <c r="AM50" s="254" t="s">
        <v>82</v>
      </c>
      <c r="AN50" s="254" t="s">
        <v>82</v>
      </c>
      <c r="AO50" s="254" t="s">
        <v>82</v>
      </c>
    </row>
    <row customFormat="1" r="51" s="205" spans="1:41" x14ac:dyDescent="0.2">
      <c r="A51" s="249">
        <v>47</v>
      </c>
      <c r="B51" s="195">
        <v>1</v>
      </c>
      <c r="C51" s="195" t="s">
        <v>79</v>
      </c>
      <c r="D51" s="195">
        <v>5</v>
      </c>
      <c r="E51" s="195" t="s">
        <v>544</v>
      </c>
      <c r="F51" s="196">
        <v>44419</v>
      </c>
      <c r="G51" s="250" t="s">
        <v>6</v>
      </c>
      <c r="H51" s="251">
        <v>2133</v>
      </c>
      <c r="I51" s="196" t="s">
        <v>547</v>
      </c>
      <c r="J51" s="199">
        <v>2823</v>
      </c>
      <c r="K51" s="199">
        <v>2859</v>
      </c>
      <c r="L51" s="252">
        <v>2827</v>
      </c>
      <c r="M51" s="249">
        <v>0</v>
      </c>
      <c r="N51" s="200">
        <v>0</v>
      </c>
      <c r="O51" s="253"/>
      <c r="P51" s="251">
        <v>2133</v>
      </c>
      <c r="Q51" s="254">
        <v>2.8</v>
      </c>
      <c r="R51" s="255"/>
      <c r="S51" s="255"/>
      <c r="T51" s="255"/>
      <c r="U51" s="255"/>
      <c r="V51" s="255"/>
      <c r="W51" s="255"/>
      <c r="X51" s="214"/>
      <c r="Y51" s="251">
        <v>2133</v>
      </c>
      <c r="Z51" s="213">
        <v>0</v>
      </c>
      <c r="AA51" s="255"/>
      <c r="AB51" s="255"/>
      <c r="AC51" s="255"/>
      <c r="AD51" s="255"/>
      <c r="AE51" s="255"/>
      <c r="AF51" s="255"/>
      <c r="AG51" s="214"/>
      <c r="AH51" s="251">
        <v>2133</v>
      </c>
      <c r="AI51" s="254">
        <v>-2.8</v>
      </c>
      <c r="AJ51" s="254" t="s">
        <v>82</v>
      </c>
      <c r="AK51" s="254" t="s">
        <v>82</v>
      </c>
      <c r="AL51" s="254" t="s">
        <v>82</v>
      </c>
      <c r="AM51" s="254" t="s">
        <v>82</v>
      </c>
      <c r="AN51" s="254" t="s">
        <v>82</v>
      </c>
      <c r="AO51" s="254" t="s">
        <v>82</v>
      </c>
    </row>
    <row customFormat="1" r="52" s="205" spans="1:41" x14ac:dyDescent="0.2">
      <c r="A52" s="249">
        <v>48</v>
      </c>
      <c r="B52" s="195">
        <v>1</v>
      </c>
      <c r="C52" s="195" t="s">
        <v>79</v>
      </c>
      <c r="D52" s="195">
        <v>5</v>
      </c>
      <c r="E52" s="195" t="s">
        <v>544</v>
      </c>
      <c r="F52" s="196">
        <v>44521</v>
      </c>
      <c r="G52" s="250" t="s">
        <v>10</v>
      </c>
      <c r="H52" s="251">
        <v>2147</v>
      </c>
      <c r="I52" s="196" t="s">
        <v>548</v>
      </c>
      <c r="J52" s="199">
        <v>800</v>
      </c>
      <c r="K52" s="199">
        <v>829</v>
      </c>
      <c r="L52" s="252">
        <v>805</v>
      </c>
      <c r="M52" s="249">
        <v>0</v>
      </c>
      <c r="N52" s="200">
        <v>0</v>
      </c>
      <c r="O52" s="253"/>
      <c r="P52" s="251">
        <v>2147</v>
      </c>
      <c r="Q52" s="254">
        <v>5.6</v>
      </c>
      <c r="R52" s="255"/>
      <c r="S52" s="255"/>
      <c r="T52" s="255"/>
      <c r="U52" s="255"/>
      <c r="V52" s="255"/>
      <c r="W52" s="255"/>
      <c r="X52" s="214"/>
      <c r="Y52" s="251">
        <v>2147</v>
      </c>
      <c r="Z52" s="213">
        <v>4.4000000000000004</v>
      </c>
      <c r="AA52" s="255"/>
      <c r="AB52" s="255"/>
      <c r="AC52" s="255"/>
      <c r="AD52" s="255"/>
      <c r="AE52" s="255"/>
      <c r="AF52" s="255"/>
      <c r="AG52" s="214"/>
      <c r="AH52" s="251">
        <v>2147</v>
      </c>
      <c r="AI52" s="254">
        <v>-1.1999999999999993</v>
      </c>
      <c r="AJ52" s="254" t="s">
        <v>82</v>
      </c>
      <c r="AK52" s="254" t="s">
        <v>82</v>
      </c>
      <c r="AL52" s="254" t="s">
        <v>82</v>
      </c>
      <c r="AM52" s="254" t="s">
        <v>82</v>
      </c>
      <c r="AN52" s="254" t="s">
        <v>82</v>
      </c>
      <c r="AO52" s="254" t="s">
        <v>82</v>
      </c>
    </row>
    <row customFormat="1" r="53" s="205" spans="1:41" x14ac:dyDescent="0.2">
      <c r="A53" s="249">
        <v>49</v>
      </c>
      <c r="B53" s="195">
        <v>1</v>
      </c>
      <c r="C53" s="195" t="s">
        <v>79</v>
      </c>
      <c r="D53" s="195">
        <v>6</v>
      </c>
      <c r="E53" s="195" t="s">
        <v>549</v>
      </c>
      <c r="F53" s="196">
        <v>42717</v>
      </c>
      <c r="G53" s="250" t="s">
        <v>5</v>
      </c>
      <c r="H53" s="251">
        <v>1651</v>
      </c>
      <c r="I53" s="196" t="s">
        <v>550</v>
      </c>
      <c r="J53" s="199">
        <v>2551</v>
      </c>
      <c r="K53" s="199">
        <v>2645</v>
      </c>
      <c r="L53" s="252">
        <v>2601</v>
      </c>
      <c r="M53" s="216">
        <v>0</v>
      </c>
      <c r="N53" s="200">
        <v>0</v>
      </c>
      <c r="O53" s="253"/>
      <c r="P53" s="251">
        <v>1651</v>
      </c>
      <c r="Q53" s="254">
        <v>0.6</v>
      </c>
      <c r="R53" s="255"/>
      <c r="S53" s="255"/>
      <c r="T53" s="255"/>
      <c r="U53" s="255"/>
      <c r="V53" s="255"/>
      <c r="W53" s="255"/>
      <c r="X53" s="214"/>
      <c r="Y53" s="251">
        <v>1651</v>
      </c>
      <c r="Z53" s="213">
        <v>0</v>
      </c>
      <c r="AA53" s="255"/>
      <c r="AB53" s="255"/>
      <c r="AC53" s="255"/>
      <c r="AD53" s="255"/>
      <c r="AE53" s="255"/>
      <c r="AF53" s="255"/>
      <c r="AG53" s="214"/>
      <c r="AH53" s="251">
        <v>1651</v>
      </c>
      <c r="AI53" s="254">
        <v>-0.6</v>
      </c>
      <c r="AJ53" s="254" t="s">
        <v>82</v>
      </c>
      <c r="AK53" s="254" t="s">
        <v>82</v>
      </c>
      <c r="AL53" s="254" t="s">
        <v>82</v>
      </c>
      <c r="AM53" s="254" t="s">
        <v>82</v>
      </c>
      <c r="AN53" s="254" t="s">
        <v>82</v>
      </c>
      <c r="AO53" s="254" t="s">
        <v>82</v>
      </c>
    </row>
    <row customFormat="1" r="54" s="205" spans="1:41" x14ac:dyDescent="0.2">
      <c r="A54" s="249">
        <v>50</v>
      </c>
      <c r="B54" s="195">
        <v>1</v>
      </c>
      <c r="C54" s="195" t="s">
        <v>79</v>
      </c>
      <c r="D54" s="195">
        <v>6</v>
      </c>
      <c r="E54" s="195" t="s">
        <v>549</v>
      </c>
      <c r="F54" s="196">
        <v>44602</v>
      </c>
      <c r="G54" s="250" t="s">
        <v>7</v>
      </c>
      <c r="H54" s="251">
        <v>2207</v>
      </c>
      <c r="I54" s="196" t="s">
        <v>357</v>
      </c>
      <c r="J54" s="199">
        <v>1225</v>
      </c>
      <c r="K54" s="199">
        <v>1430</v>
      </c>
      <c r="L54" s="252">
        <v>1411</v>
      </c>
      <c r="M54" s="249">
        <v>0</v>
      </c>
      <c r="N54" s="200">
        <v>0</v>
      </c>
      <c r="O54" s="253"/>
      <c r="P54" s="251">
        <v>2207</v>
      </c>
      <c r="Q54" s="254">
        <v>1.3</v>
      </c>
      <c r="R54" s="255"/>
      <c r="S54" s="255"/>
      <c r="T54" s="255"/>
      <c r="U54" s="255"/>
      <c r="V54" s="255"/>
      <c r="W54" s="255"/>
      <c r="X54" s="214"/>
      <c r="Y54" s="251">
        <v>2207</v>
      </c>
      <c r="Z54" s="213">
        <v>1.1000000000000001</v>
      </c>
      <c r="AA54" s="255"/>
      <c r="AB54" s="255"/>
      <c r="AC54" s="255"/>
      <c r="AD54" s="255"/>
      <c r="AE54" s="255"/>
      <c r="AF54" s="255"/>
      <c r="AG54" s="214"/>
      <c r="AH54" s="251">
        <v>2207</v>
      </c>
      <c r="AI54" s="254">
        <v>-0.19999999999999996</v>
      </c>
      <c r="AJ54" s="254" t="s">
        <v>82</v>
      </c>
      <c r="AK54" s="254" t="s">
        <v>82</v>
      </c>
      <c r="AL54" s="254" t="s">
        <v>82</v>
      </c>
      <c r="AM54" s="254" t="s">
        <v>82</v>
      </c>
      <c r="AN54" s="254" t="s">
        <v>82</v>
      </c>
      <c r="AO54" s="254" t="s">
        <v>82</v>
      </c>
    </row>
    <row customFormat="1" r="55" s="205" spans="1:41" x14ac:dyDescent="0.2">
      <c r="A55" s="249">
        <v>51</v>
      </c>
      <c r="B55" s="195">
        <v>1</v>
      </c>
      <c r="C55" s="195" t="s">
        <v>79</v>
      </c>
      <c r="D55" s="195">
        <v>6</v>
      </c>
      <c r="E55" s="195" t="s">
        <v>549</v>
      </c>
      <c r="F55" s="196">
        <v>44603</v>
      </c>
      <c r="G55" s="250" t="s">
        <v>8</v>
      </c>
      <c r="H55" s="251">
        <v>2207</v>
      </c>
      <c r="I55" s="196" t="s">
        <v>551</v>
      </c>
      <c r="J55" s="199">
        <v>1805</v>
      </c>
      <c r="K55" s="199">
        <v>1832</v>
      </c>
      <c r="L55" s="252">
        <v>1809</v>
      </c>
      <c r="M55" s="249">
        <v>0</v>
      </c>
      <c r="N55" s="200">
        <v>0</v>
      </c>
      <c r="O55" s="253"/>
      <c r="P55" s="251">
        <v>2207</v>
      </c>
      <c r="Q55" s="254">
        <v>1.4</v>
      </c>
      <c r="R55" s="255"/>
      <c r="S55" s="255"/>
      <c r="T55" s="255"/>
      <c r="U55" s="255"/>
      <c r="V55" s="255"/>
      <c r="W55" s="255"/>
      <c r="X55" s="214"/>
      <c r="Y55" s="251">
        <v>2207</v>
      </c>
      <c r="Z55" s="213">
        <v>0</v>
      </c>
      <c r="AA55" s="255"/>
      <c r="AB55" s="255"/>
      <c r="AC55" s="255"/>
      <c r="AD55" s="255"/>
      <c r="AE55" s="255"/>
      <c r="AF55" s="255"/>
      <c r="AG55" s="214"/>
      <c r="AH55" s="251">
        <v>2207</v>
      </c>
      <c r="AI55" s="254">
        <v>-1.4</v>
      </c>
      <c r="AJ55" s="254" t="s">
        <v>82</v>
      </c>
      <c r="AK55" s="254" t="s">
        <v>82</v>
      </c>
      <c r="AL55" s="254" t="s">
        <v>82</v>
      </c>
      <c r="AM55" s="254" t="s">
        <v>82</v>
      </c>
      <c r="AN55" s="254" t="s">
        <v>82</v>
      </c>
      <c r="AO55" s="254" t="s">
        <v>82</v>
      </c>
    </row>
    <row customFormat="1" r="56" s="205" spans="1:41" x14ac:dyDescent="0.2">
      <c r="A56" s="249">
        <v>52</v>
      </c>
      <c r="B56" s="195">
        <v>1</v>
      </c>
      <c r="C56" s="195" t="s">
        <v>79</v>
      </c>
      <c r="D56" s="195">
        <v>6</v>
      </c>
      <c r="E56" s="195" t="s">
        <v>549</v>
      </c>
      <c r="F56" s="196">
        <v>44618</v>
      </c>
      <c r="G56" s="250" t="s">
        <v>9</v>
      </c>
      <c r="H56" s="251">
        <v>2209</v>
      </c>
      <c r="I56" s="196" t="s">
        <v>552</v>
      </c>
      <c r="J56" s="199">
        <v>1350</v>
      </c>
      <c r="K56" s="199">
        <v>1449</v>
      </c>
      <c r="L56" s="252">
        <v>1402</v>
      </c>
      <c r="M56" s="249">
        <v>0</v>
      </c>
      <c r="N56" s="200">
        <v>0</v>
      </c>
      <c r="O56" s="253"/>
      <c r="P56" s="251">
        <v>2209</v>
      </c>
      <c r="Q56" s="254">
        <v>0.5</v>
      </c>
      <c r="R56" s="255"/>
      <c r="S56" s="255"/>
      <c r="T56" s="255"/>
      <c r="U56" s="255"/>
      <c r="V56" s="255"/>
      <c r="W56" s="255"/>
      <c r="X56" s="214"/>
      <c r="Y56" s="251">
        <v>2209</v>
      </c>
      <c r="Z56" s="213">
        <v>0.2</v>
      </c>
      <c r="AA56" s="255"/>
      <c r="AB56" s="255"/>
      <c r="AC56" s="255"/>
      <c r="AD56" s="255"/>
      <c r="AE56" s="255"/>
      <c r="AF56" s="255"/>
      <c r="AG56" s="214"/>
      <c r="AH56" s="251">
        <v>2209</v>
      </c>
      <c r="AI56" s="254">
        <v>-0.3</v>
      </c>
      <c r="AJ56" s="254" t="s">
        <v>82</v>
      </c>
      <c r="AK56" s="254" t="s">
        <v>82</v>
      </c>
      <c r="AL56" s="254" t="s">
        <v>82</v>
      </c>
      <c r="AM56" s="254" t="s">
        <v>82</v>
      </c>
      <c r="AN56" s="254" t="s">
        <v>82</v>
      </c>
      <c r="AO56" s="254" t="s">
        <v>82</v>
      </c>
    </row>
    <row customFormat="1" r="57" s="205" spans="1:41" x14ac:dyDescent="0.2">
      <c r="A57" s="249">
        <v>53</v>
      </c>
      <c r="B57" s="195">
        <v>1</v>
      </c>
      <c r="C57" s="195" t="s">
        <v>79</v>
      </c>
      <c r="D57" s="195">
        <v>7</v>
      </c>
      <c r="E57" s="195" t="s">
        <v>553</v>
      </c>
      <c r="F57" s="196">
        <v>43714</v>
      </c>
      <c r="G57" s="250" t="s">
        <v>8</v>
      </c>
      <c r="H57" s="251">
        <v>1936</v>
      </c>
      <c r="I57" s="196" t="s">
        <v>554</v>
      </c>
      <c r="J57" s="199">
        <v>1300</v>
      </c>
      <c r="K57" s="199">
        <v>1304</v>
      </c>
      <c r="L57" s="252">
        <v>1303</v>
      </c>
      <c r="M57" s="249">
        <v>0</v>
      </c>
      <c r="N57" s="200">
        <v>0</v>
      </c>
      <c r="O57" s="253"/>
      <c r="P57" s="251">
        <v>1936</v>
      </c>
      <c r="Q57" s="254">
        <v>4.8</v>
      </c>
      <c r="R57" s="255"/>
      <c r="S57" s="255"/>
      <c r="T57" s="255"/>
      <c r="U57" s="255"/>
      <c r="V57" s="255"/>
      <c r="W57" s="255"/>
      <c r="X57" s="214"/>
      <c r="Y57" s="251">
        <v>1936</v>
      </c>
      <c r="Z57" s="213">
        <v>0</v>
      </c>
      <c r="AA57" s="255"/>
      <c r="AB57" s="255"/>
      <c r="AC57" s="255"/>
      <c r="AD57" s="255"/>
      <c r="AE57" s="255"/>
      <c r="AF57" s="255"/>
      <c r="AG57" s="214"/>
      <c r="AH57" s="251">
        <v>1936</v>
      </c>
      <c r="AI57" s="254">
        <v>-4.8</v>
      </c>
      <c r="AJ57" s="254" t="s">
        <v>82</v>
      </c>
      <c r="AK57" s="254" t="s">
        <v>82</v>
      </c>
      <c r="AL57" s="254" t="s">
        <v>82</v>
      </c>
      <c r="AM57" s="254" t="s">
        <v>82</v>
      </c>
      <c r="AN57" s="254" t="s">
        <v>82</v>
      </c>
      <c r="AO57" s="254" t="s">
        <v>82</v>
      </c>
    </row>
    <row customFormat="1" r="58" s="205" spans="1:41" x14ac:dyDescent="0.2">
      <c r="A58" s="249">
        <v>54</v>
      </c>
      <c r="B58" s="195">
        <v>1</v>
      </c>
      <c r="C58" s="195" t="s">
        <v>79</v>
      </c>
      <c r="D58" s="195">
        <v>7</v>
      </c>
      <c r="E58" s="195" t="s">
        <v>553</v>
      </c>
      <c r="F58" s="196">
        <v>44386</v>
      </c>
      <c r="G58" s="250" t="s">
        <v>8</v>
      </c>
      <c r="H58" s="251">
        <v>2128</v>
      </c>
      <c r="I58" s="196" t="s">
        <v>555</v>
      </c>
      <c r="J58" s="199">
        <v>2045</v>
      </c>
      <c r="K58" s="199">
        <v>2059</v>
      </c>
      <c r="L58" s="252">
        <v>2048</v>
      </c>
      <c r="M58" s="249">
        <v>0</v>
      </c>
      <c r="N58" s="200">
        <v>0</v>
      </c>
      <c r="O58" s="253"/>
      <c r="P58" s="251">
        <v>2128</v>
      </c>
      <c r="Q58" s="254">
        <v>2.7</v>
      </c>
      <c r="R58" s="255"/>
      <c r="S58" s="255"/>
      <c r="T58" s="255"/>
      <c r="U58" s="255"/>
      <c r="V58" s="255"/>
      <c r="W58" s="255"/>
      <c r="X58" s="214"/>
      <c r="Y58" s="251">
        <v>2128</v>
      </c>
      <c r="Z58" s="213">
        <v>0</v>
      </c>
      <c r="AA58" s="255"/>
      <c r="AB58" s="255"/>
      <c r="AC58" s="255"/>
      <c r="AD58" s="255"/>
      <c r="AE58" s="255"/>
      <c r="AF58" s="255"/>
      <c r="AG58" s="214"/>
      <c r="AH58" s="251">
        <v>2128</v>
      </c>
      <c r="AI58" s="254">
        <v>-2.7</v>
      </c>
      <c r="AJ58" s="254" t="s">
        <v>82</v>
      </c>
      <c r="AK58" s="254" t="s">
        <v>82</v>
      </c>
      <c r="AL58" s="254" t="s">
        <v>82</v>
      </c>
      <c r="AM58" s="254" t="s">
        <v>82</v>
      </c>
      <c r="AN58" s="254" t="s">
        <v>82</v>
      </c>
      <c r="AO58" s="254" t="s">
        <v>82</v>
      </c>
    </row>
    <row customFormat="1" r="59" s="205" spans="1:41" x14ac:dyDescent="0.2">
      <c r="A59" s="249">
        <v>55</v>
      </c>
      <c r="B59" s="195">
        <v>1</v>
      </c>
      <c r="C59" s="195" t="s">
        <v>79</v>
      </c>
      <c r="D59" s="195">
        <v>7</v>
      </c>
      <c r="E59" s="195" t="s">
        <v>553</v>
      </c>
      <c r="F59" s="196">
        <v>44449</v>
      </c>
      <c r="G59" s="250" t="s">
        <v>8</v>
      </c>
      <c r="H59" s="251">
        <v>2137</v>
      </c>
      <c r="I59" s="196" t="s">
        <v>554</v>
      </c>
      <c r="J59" s="199">
        <v>1300</v>
      </c>
      <c r="K59" s="199">
        <v>1304</v>
      </c>
      <c r="L59" s="252">
        <v>1304</v>
      </c>
      <c r="M59" s="249">
        <v>0</v>
      </c>
      <c r="N59" s="200">
        <v>1</v>
      </c>
      <c r="O59" s="253"/>
      <c r="P59" s="251">
        <v>2137</v>
      </c>
      <c r="Q59" s="254">
        <v>0.8</v>
      </c>
      <c r="R59" s="255"/>
      <c r="S59" s="255"/>
      <c r="T59" s="255"/>
      <c r="U59" s="255"/>
      <c r="V59" s="255"/>
      <c r="W59" s="255"/>
      <c r="X59" s="214"/>
      <c r="Y59" s="251">
        <v>2137</v>
      </c>
      <c r="Z59" s="213">
        <v>0</v>
      </c>
      <c r="AA59" s="255"/>
      <c r="AB59" s="255"/>
      <c r="AC59" s="255"/>
      <c r="AD59" s="255"/>
      <c r="AE59" s="255"/>
      <c r="AF59" s="255"/>
      <c r="AG59" s="214"/>
      <c r="AH59" s="251">
        <v>2137</v>
      </c>
      <c r="AI59" s="254">
        <v>-0.8</v>
      </c>
      <c r="AJ59" s="254" t="s">
        <v>82</v>
      </c>
      <c r="AK59" s="254" t="s">
        <v>82</v>
      </c>
      <c r="AL59" s="254" t="s">
        <v>82</v>
      </c>
      <c r="AM59" s="254" t="s">
        <v>82</v>
      </c>
      <c r="AN59" s="254" t="s">
        <v>82</v>
      </c>
      <c r="AO59" s="254" t="s">
        <v>82</v>
      </c>
    </row>
    <row customFormat="1" r="60" s="205" spans="1:41" x14ac:dyDescent="0.2">
      <c r="A60" s="249">
        <v>56</v>
      </c>
      <c r="B60" s="195">
        <v>1</v>
      </c>
      <c r="C60" s="195" t="s">
        <v>79</v>
      </c>
      <c r="D60" s="195">
        <v>7</v>
      </c>
      <c r="E60" s="195" t="s">
        <v>553</v>
      </c>
      <c r="F60" s="196">
        <v>44456</v>
      </c>
      <c r="G60" s="250" t="s">
        <v>8</v>
      </c>
      <c r="H60" s="251">
        <v>2138</v>
      </c>
      <c r="I60" s="196" t="s">
        <v>556</v>
      </c>
      <c r="J60" s="199">
        <v>1500</v>
      </c>
      <c r="K60" s="199">
        <v>1529</v>
      </c>
      <c r="L60" s="252">
        <v>1504</v>
      </c>
      <c r="M60" s="249">
        <v>0</v>
      </c>
      <c r="N60" s="200">
        <v>0</v>
      </c>
      <c r="O60" s="253"/>
      <c r="P60" s="251">
        <v>2138</v>
      </c>
      <c r="Q60" s="254">
        <v>2.9</v>
      </c>
      <c r="R60" s="255"/>
      <c r="S60" s="255"/>
      <c r="T60" s="255"/>
      <c r="U60" s="255"/>
      <c r="V60" s="255"/>
      <c r="W60" s="255"/>
      <c r="X60" s="214"/>
      <c r="Y60" s="251">
        <v>2138</v>
      </c>
      <c r="Z60" s="213">
        <v>0</v>
      </c>
      <c r="AA60" s="255"/>
      <c r="AB60" s="255"/>
      <c r="AC60" s="255"/>
      <c r="AD60" s="255"/>
      <c r="AE60" s="255"/>
      <c r="AF60" s="255"/>
      <c r="AG60" s="214"/>
      <c r="AH60" s="251">
        <v>2138</v>
      </c>
      <c r="AI60" s="254">
        <v>-2.9</v>
      </c>
      <c r="AJ60" s="254" t="s">
        <v>82</v>
      </c>
      <c r="AK60" s="254" t="s">
        <v>82</v>
      </c>
      <c r="AL60" s="254" t="s">
        <v>82</v>
      </c>
      <c r="AM60" s="254" t="s">
        <v>82</v>
      </c>
      <c r="AN60" s="254" t="s">
        <v>82</v>
      </c>
      <c r="AO60" s="254" t="s">
        <v>82</v>
      </c>
    </row>
    <row customFormat="1" r="61" s="205" spans="1:41" x14ac:dyDescent="0.2">
      <c r="A61" s="249">
        <v>57</v>
      </c>
      <c r="B61" s="195">
        <v>1</v>
      </c>
      <c r="C61" s="195" t="s">
        <v>79</v>
      </c>
      <c r="D61" s="195">
        <v>7</v>
      </c>
      <c r="E61" s="195" t="s">
        <v>553</v>
      </c>
      <c r="F61" s="196">
        <v>44612</v>
      </c>
      <c r="G61" s="250" t="s">
        <v>10</v>
      </c>
      <c r="H61" s="251">
        <v>2208</v>
      </c>
      <c r="I61" s="196" t="s">
        <v>557</v>
      </c>
      <c r="J61" s="199">
        <v>1855</v>
      </c>
      <c r="K61" s="199">
        <v>1859</v>
      </c>
      <c r="L61" s="252">
        <v>1856</v>
      </c>
      <c r="M61" s="249">
        <v>0</v>
      </c>
      <c r="N61" s="200">
        <v>0</v>
      </c>
      <c r="O61" s="253"/>
      <c r="P61" s="251">
        <v>2208</v>
      </c>
      <c r="Q61" s="254">
        <v>1.6</v>
      </c>
      <c r="R61" s="255"/>
      <c r="S61" s="255"/>
      <c r="T61" s="255"/>
      <c r="U61" s="255"/>
      <c r="V61" s="255"/>
      <c r="W61" s="255"/>
      <c r="X61" s="214"/>
      <c r="Y61" s="251">
        <v>2208</v>
      </c>
      <c r="Z61" s="213">
        <v>0</v>
      </c>
      <c r="AA61" s="255"/>
      <c r="AB61" s="255"/>
      <c r="AC61" s="255"/>
      <c r="AD61" s="255"/>
      <c r="AE61" s="255"/>
      <c r="AF61" s="255"/>
      <c r="AG61" s="214"/>
      <c r="AH61" s="251">
        <v>2208</v>
      </c>
      <c r="AI61" s="254">
        <v>-1.6</v>
      </c>
      <c r="AJ61" s="254" t="s">
        <v>82</v>
      </c>
      <c r="AK61" s="254" t="s">
        <v>82</v>
      </c>
      <c r="AL61" s="254" t="s">
        <v>82</v>
      </c>
      <c r="AM61" s="254" t="s">
        <v>82</v>
      </c>
      <c r="AN61" s="254" t="s">
        <v>82</v>
      </c>
      <c r="AO61" s="254" t="s">
        <v>82</v>
      </c>
    </row>
    <row customFormat="1" r="62" s="205" spans="1:41" x14ac:dyDescent="0.2">
      <c r="A62" s="249">
        <v>58</v>
      </c>
      <c r="B62" s="195">
        <v>1</v>
      </c>
      <c r="C62" s="195" t="s">
        <v>79</v>
      </c>
      <c r="D62" s="195">
        <v>7</v>
      </c>
      <c r="E62" s="195" t="s">
        <v>553</v>
      </c>
      <c r="F62" s="196">
        <v>44613</v>
      </c>
      <c r="G62" s="250" t="s">
        <v>4</v>
      </c>
      <c r="H62" s="251">
        <v>2209</v>
      </c>
      <c r="I62" s="196" t="s">
        <v>558</v>
      </c>
      <c r="J62" s="199">
        <v>1500</v>
      </c>
      <c r="K62" s="199">
        <v>1529</v>
      </c>
      <c r="L62" s="252">
        <v>1504</v>
      </c>
      <c r="M62" s="249">
        <v>0</v>
      </c>
      <c r="N62" s="200">
        <v>0</v>
      </c>
      <c r="O62" s="253"/>
      <c r="P62" s="251">
        <v>2209</v>
      </c>
      <c r="Q62" s="254">
        <v>2.6</v>
      </c>
      <c r="R62" s="255"/>
      <c r="S62" s="255"/>
      <c r="T62" s="255"/>
      <c r="U62" s="255"/>
      <c r="V62" s="255"/>
      <c r="W62" s="255"/>
      <c r="X62" s="214"/>
      <c r="Y62" s="251">
        <v>2209</v>
      </c>
      <c r="Z62" s="213">
        <v>0</v>
      </c>
      <c r="AA62" s="255"/>
      <c r="AB62" s="255"/>
      <c r="AC62" s="255"/>
      <c r="AD62" s="255"/>
      <c r="AE62" s="255"/>
      <c r="AF62" s="255"/>
      <c r="AG62" s="214"/>
      <c r="AH62" s="251">
        <v>2209</v>
      </c>
      <c r="AI62" s="254">
        <v>-2.6</v>
      </c>
      <c r="AJ62" s="254" t="s">
        <v>82</v>
      </c>
      <c r="AK62" s="254" t="s">
        <v>82</v>
      </c>
      <c r="AL62" s="254" t="s">
        <v>82</v>
      </c>
      <c r="AM62" s="254" t="s">
        <v>82</v>
      </c>
      <c r="AN62" s="254" t="s">
        <v>82</v>
      </c>
      <c r="AO62" s="254" t="s">
        <v>82</v>
      </c>
    </row>
    <row customFormat="1" r="63" s="205" spans="1:41" x14ac:dyDescent="0.2">
      <c r="A63" s="249">
        <v>59</v>
      </c>
      <c r="B63" s="195">
        <v>2</v>
      </c>
      <c r="C63" s="195" t="s">
        <v>138</v>
      </c>
      <c r="D63" s="195">
        <v>1</v>
      </c>
      <c r="E63" s="195" t="s">
        <v>139</v>
      </c>
      <c r="F63" s="196">
        <v>43957</v>
      </c>
      <c r="G63" s="250" t="s">
        <v>6</v>
      </c>
      <c r="H63" s="251">
        <v>2019</v>
      </c>
      <c r="I63" s="196" t="s">
        <v>559</v>
      </c>
      <c r="J63" s="199">
        <v>1900</v>
      </c>
      <c r="K63" s="199">
        <v>1959</v>
      </c>
      <c r="L63" s="252">
        <v>1954</v>
      </c>
      <c r="M63" s="249">
        <v>0</v>
      </c>
      <c r="N63" s="200">
        <v>0</v>
      </c>
      <c r="O63" s="253"/>
      <c r="P63" s="251">
        <v>2019</v>
      </c>
      <c r="Q63" s="254">
        <v>7.4</v>
      </c>
      <c r="R63" s="255"/>
      <c r="S63" s="255"/>
      <c r="T63" s="255"/>
      <c r="U63" s="255"/>
      <c r="V63" s="255"/>
      <c r="W63" s="255"/>
      <c r="X63" s="214"/>
      <c r="Y63" s="251">
        <v>2019</v>
      </c>
      <c r="Z63" s="213">
        <v>0.4</v>
      </c>
      <c r="AA63" s="255"/>
      <c r="AB63" s="255"/>
      <c r="AC63" s="255"/>
      <c r="AD63" s="255"/>
      <c r="AE63" s="255"/>
      <c r="AF63" s="255"/>
      <c r="AG63" s="214"/>
      <c r="AH63" s="251">
        <v>2019</v>
      </c>
      <c r="AI63" s="254">
        <v>-7</v>
      </c>
      <c r="AJ63" s="254" t="s">
        <v>82</v>
      </c>
      <c r="AK63" s="254" t="s">
        <v>82</v>
      </c>
      <c r="AL63" s="254" t="s">
        <v>82</v>
      </c>
      <c r="AM63" s="254" t="s">
        <v>82</v>
      </c>
      <c r="AN63" s="254" t="s">
        <v>82</v>
      </c>
      <c r="AO63" s="254" t="s">
        <v>82</v>
      </c>
    </row>
    <row customFormat="1" r="64" s="205" spans="1:41" x14ac:dyDescent="0.2">
      <c r="A64" s="249">
        <v>60</v>
      </c>
      <c r="B64" s="195">
        <v>2</v>
      </c>
      <c r="C64" s="195" t="s">
        <v>138</v>
      </c>
      <c r="D64" s="195">
        <v>1</v>
      </c>
      <c r="E64" s="195" t="s">
        <v>139</v>
      </c>
      <c r="F64" s="196">
        <v>44079</v>
      </c>
      <c r="G64" s="250" t="s">
        <v>9</v>
      </c>
      <c r="H64" s="251">
        <v>2036</v>
      </c>
      <c r="I64" s="196" t="s">
        <v>447</v>
      </c>
      <c r="J64" s="199">
        <v>2458</v>
      </c>
      <c r="K64" s="199">
        <v>2527</v>
      </c>
      <c r="L64" s="252">
        <v>2505</v>
      </c>
      <c r="M64" s="249">
        <v>0</v>
      </c>
      <c r="N64" s="200">
        <v>0</v>
      </c>
      <c r="O64" s="253"/>
      <c r="P64" s="251">
        <v>2036</v>
      </c>
      <c r="Q64" s="254">
        <v>6.1</v>
      </c>
      <c r="R64" s="255"/>
      <c r="S64" s="255"/>
      <c r="T64" s="255"/>
      <c r="U64" s="255"/>
      <c r="V64" s="255"/>
      <c r="W64" s="255"/>
      <c r="X64" s="214"/>
      <c r="Y64" s="251">
        <v>2036</v>
      </c>
      <c r="Z64" s="213">
        <v>0.9</v>
      </c>
      <c r="AA64" s="255"/>
      <c r="AB64" s="255"/>
      <c r="AC64" s="255"/>
      <c r="AD64" s="255"/>
      <c r="AE64" s="255"/>
      <c r="AF64" s="255"/>
      <c r="AG64" s="214"/>
      <c r="AH64" s="251">
        <v>2036</v>
      </c>
      <c r="AI64" s="254">
        <v>-5.1999999999999993</v>
      </c>
      <c r="AJ64" s="254" t="s">
        <v>82</v>
      </c>
      <c r="AK64" s="254" t="s">
        <v>82</v>
      </c>
      <c r="AL64" s="254" t="s">
        <v>82</v>
      </c>
      <c r="AM64" s="254" t="s">
        <v>82</v>
      </c>
      <c r="AN64" s="254" t="s">
        <v>82</v>
      </c>
      <c r="AO64" s="254" t="s">
        <v>82</v>
      </c>
    </row>
    <row customFormat="1" r="65" s="205" spans="1:41" x14ac:dyDescent="0.2">
      <c r="A65" s="249">
        <v>61</v>
      </c>
      <c r="B65" s="195">
        <v>2</v>
      </c>
      <c r="C65" s="195" t="s">
        <v>138</v>
      </c>
      <c r="D65" s="195">
        <v>1</v>
      </c>
      <c r="E65" s="195" t="s">
        <v>139</v>
      </c>
      <c r="F65" s="196">
        <v>44445</v>
      </c>
      <c r="G65" s="250" t="s">
        <v>4</v>
      </c>
      <c r="H65" s="251">
        <v>2137</v>
      </c>
      <c r="I65" s="196" t="s">
        <v>140</v>
      </c>
      <c r="J65" s="199">
        <v>600</v>
      </c>
      <c r="K65" s="199">
        <v>659</v>
      </c>
      <c r="L65" s="252">
        <v>613</v>
      </c>
      <c r="M65" s="249">
        <v>1</v>
      </c>
      <c r="N65" s="200">
        <v>0</v>
      </c>
      <c r="O65" s="253"/>
      <c r="P65" s="251">
        <v>2137</v>
      </c>
      <c r="Q65" s="254">
        <v>1.3</v>
      </c>
      <c r="R65" s="213">
        <v>1.5</v>
      </c>
      <c r="S65" s="213">
        <v>1.4</v>
      </c>
      <c r="T65" s="213">
        <v>0.1</v>
      </c>
      <c r="U65" s="213">
        <v>2.1</v>
      </c>
      <c r="V65" s="213">
        <v>2.1</v>
      </c>
      <c r="W65" s="213" t="s">
        <v>84</v>
      </c>
      <c r="X65" s="214"/>
      <c r="Y65" s="251">
        <v>2137</v>
      </c>
      <c r="Z65" s="213">
        <v>0</v>
      </c>
      <c r="AA65" s="213">
        <v>1.4</v>
      </c>
      <c r="AB65" s="213">
        <v>1.4</v>
      </c>
      <c r="AC65" s="213">
        <v>0</v>
      </c>
      <c r="AD65" s="213">
        <v>2.1</v>
      </c>
      <c r="AE65" s="213">
        <v>2.1</v>
      </c>
      <c r="AF65" s="213" t="s">
        <v>84</v>
      </c>
      <c r="AG65" s="214"/>
      <c r="AH65" s="251">
        <v>2137</v>
      </c>
      <c r="AI65" s="254">
        <v>-1.3</v>
      </c>
      <c r="AJ65" s="254">
        <v>-0.10000000000000009</v>
      </c>
      <c r="AK65" s="254" t="s">
        <v>82</v>
      </c>
      <c r="AL65" s="254">
        <v>-0.1</v>
      </c>
      <c r="AM65" s="254" t="s">
        <v>82</v>
      </c>
      <c r="AN65" s="254" t="s">
        <v>82</v>
      </c>
      <c r="AO65" s="254" t="s">
        <v>82</v>
      </c>
    </row>
    <row customFormat="1" r="66" s="205" spans="1:41" x14ac:dyDescent="0.2">
      <c r="A66" s="249">
        <v>62</v>
      </c>
      <c r="B66" s="195">
        <v>2</v>
      </c>
      <c r="C66" s="195" t="s">
        <v>138</v>
      </c>
      <c r="D66" s="195">
        <v>1</v>
      </c>
      <c r="E66" s="195" t="s">
        <v>139</v>
      </c>
      <c r="F66" s="196">
        <v>44447</v>
      </c>
      <c r="G66" s="250" t="s">
        <v>6</v>
      </c>
      <c r="H66" s="251">
        <v>2137</v>
      </c>
      <c r="I66" s="196" t="s">
        <v>141</v>
      </c>
      <c r="J66" s="199">
        <v>2559</v>
      </c>
      <c r="K66" s="199">
        <v>2629</v>
      </c>
      <c r="L66" s="252">
        <v>2626</v>
      </c>
      <c r="M66" s="249">
        <v>1</v>
      </c>
      <c r="N66" s="200">
        <v>0</v>
      </c>
      <c r="O66" s="253"/>
      <c r="P66" s="251">
        <v>2137</v>
      </c>
      <c r="Q66" s="254">
        <v>4</v>
      </c>
      <c r="R66" s="213">
        <v>1</v>
      </c>
      <c r="S66" s="213">
        <v>0.5</v>
      </c>
      <c r="T66" s="213">
        <v>0.5</v>
      </c>
      <c r="U66" s="213">
        <v>0.5</v>
      </c>
      <c r="V66" s="213">
        <v>0.5</v>
      </c>
      <c r="W66" s="213">
        <v>0</v>
      </c>
      <c r="X66" s="214"/>
      <c r="Y66" s="251">
        <v>2137</v>
      </c>
      <c r="Z66" s="213">
        <v>0</v>
      </c>
      <c r="AA66" s="213">
        <v>0.5</v>
      </c>
      <c r="AB66" s="213">
        <v>0.5</v>
      </c>
      <c r="AC66" s="213">
        <v>0</v>
      </c>
      <c r="AD66" s="213">
        <v>0.5</v>
      </c>
      <c r="AE66" s="213">
        <v>0.5</v>
      </c>
      <c r="AF66" s="213">
        <v>0</v>
      </c>
      <c r="AG66" s="214"/>
      <c r="AH66" s="251">
        <v>2137</v>
      </c>
      <c r="AI66" s="254">
        <v>-4</v>
      </c>
      <c r="AJ66" s="254">
        <v>-0.5</v>
      </c>
      <c r="AK66" s="254" t="s">
        <v>82</v>
      </c>
      <c r="AL66" s="254">
        <v>-0.5</v>
      </c>
      <c r="AM66" s="254" t="s">
        <v>82</v>
      </c>
      <c r="AN66" s="254" t="s">
        <v>82</v>
      </c>
      <c r="AO66" s="254" t="s">
        <v>82</v>
      </c>
    </row>
    <row customFormat="1" r="67" s="205" spans="1:41" x14ac:dyDescent="0.2">
      <c r="A67" s="249">
        <v>63</v>
      </c>
      <c r="B67" s="195">
        <v>2</v>
      </c>
      <c r="C67" s="195" t="s">
        <v>138</v>
      </c>
      <c r="D67" s="195">
        <v>2</v>
      </c>
      <c r="E67" s="195" t="s">
        <v>144</v>
      </c>
      <c r="F67" s="196">
        <v>44541</v>
      </c>
      <c r="G67" s="250" t="s">
        <v>9</v>
      </c>
      <c r="H67" s="251">
        <v>2150</v>
      </c>
      <c r="I67" s="196" t="s">
        <v>560</v>
      </c>
      <c r="J67" s="199">
        <v>2855</v>
      </c>
      <c r="K67" s="199">
        <v>2859</v>
      </c>
      <c r="L67" s="252">
        <v>2856</v>
      </c>
      <c r="M67" s="249">
        <v>0</v>
      </c>
      <c r="N67" s="200">
        <v>0</v>
      </c>
      <c r="O67" s="253"/>
      <c r="P67" s="251">
        <v>2150</v>
      </c>
      <c r="Q67" s="254">
        <v>0.5</v>
      </c>
      <c r="R67" s="255"/>
      <c r="S67" s="255"/>
      <c r="T67" s="255"/>
      <c r="U67" s="255"/>
      <c r="V67" s="255"/>
      <c r="W67" s="255"/>
      <c r="X67" s="214"/>
      <c r="Y67" s="251">
        <v>2150</v>
      </c>
      <c r="Z67" s="213">
        <v>0.1</v>
      </c>
      <c r="AA67" s="255"/>
      <c r="AB67" s="255"/>
      <c r="AC67" s="255"/>
      <c r="AD67" s="255"/>
      <c r="AE67" s="255"/>
      <c r="AF67" s="255"/>
      <c r="AG67" s="214"/>
      <c r="AH67" s="251">
        <v>2150</v>
      </c>
      <c r="AI67" s="254">
        <v>-0.4</v>
      </c>
      <c r="AJ67" s="254" t="s">
        <v>82</v>
      </c>
      <c r="AK67" s="254" t="s">
        <v>82</v>
      </c>
      <c r="AL67" s="254" t="s">
        <v>82</v>
      </c>
      <c r="AM67" s="254" t="s">
        <v>82</v>
      </c>
      <c r="AN67" s="254" t="s">
        <v>82</v>
      </c>
      <c r="AO67" s="254" t="s">
        <v>82</v>
      </c>
    </row>
    <row customFormat="1" r="68" s="205" spans="1:41" x14ac:dyDescent="0.2">
      <c r="A68" s="249">
        <v>64</v>
      </c>
      <c r="B68" s="195">
        <v>2</v>
      </c>
      <c r="C68" s="195" t="s">
        <v>138</v>
      </c>
      <c r="D68" s="195">
        <v>2</v>
      </c>
      <c r="E68" s="195" t="s">
        <v>144</v>
      </c>
      <c r="F68" s="196">
        <v>44626</v>
      </c>
      <c r="G68" s="250" t="s">
        <v>10</v>
      </c>
      <c r="H68" s="251">
        <v>2210</v>
      </c>
      <c r="I68" s="196" t="s">
        <v>145</v>
      </c>
      <c r="J68" s="199">
        <v>1900</v>
      </c>
      <c r="K68" s="199">
        <v>1957</v>
      </c>
      <c r="L68" s="252">
        <v>1953</v>
      </c>
      <c r="M68" s="249">
        <v>1</v>
      </c>
      <c r="N68" s="200">
        <v>0</v>
      </c>
      <c r="O68" s="253"/>
      <c r="P68" s="251">
        <v>2210</v>
      </c>
      <c r="Q68" s="254">
        <v>4</v>
      </c>
      <c r="R68" s="213">
        <v>7.6</v>
      </c>
      <c r="S68" s="213">
        <v>7.2</v>
      </c>
      <c r="T68" s="213">
        <v>0.4</v>
      </c>
      <c r="U68" s="213">
        <v>8.6</v>
      </c>
      <c r="V68" s="213">
        <v>8.6</v>
      </c>
      <c r="W68" s="213" t="s">
        <v>84</v>
      </c>
      <c r="X68" s="214"/>
      <c r="Y68" s="251">
        <v>2210</v>
      </c>
      <c r="Z68" s="213">
        <v>0.1</v>
      </c>
      <c r="AA68" s="213">
        <v>7.3</v>
      </c>
      <c r="AB68" s="213">
        <v>7.2</v>
      </c>
      <c r="AC68" s="213">
        <v>0.1</v>
      </c>
      <c r="AD68" s="213">
        <v>8.6</v>
      </c>
      <c r="AE68" s="213">
        <v>8.6</v>
      </c>
      <c r="AF68" s="213" t="s">
        <v>84</v>
      </c>
      <c r="AG68" s="214"/>
      <c r="AH68" s="251">
        <v>2210</v>
      </c>
      <c r="AI68" s="254">
        <v>-3.9</v>
      </c>
      <c r="AJ68" s="254">
        <v>-0.29999999999999982</v>
      </c>
      <c r="AK68" s="254" t="s">
        <v>82</v>
      </c>
      <c r="AL68" s="254">
        <v>-0.30000000000000004</v>
      </c>
      <c r="AM68" s="254" t="s">
        <v>82</v>
      </c>
      <c r="AN68" s="254" t="s">
        <v>82</v>
      </c>
      <c r="AO68" s="254" t="s">
        <v>82</v>
      </c>
    </row>
    <row customFormat="1" r="69" s="205" spans="1:41" x14ac:dyDescent="0.2">
      <c r="A69" s="249">
        <v>65</v>
      </c>
      <c r="B69" s="195">
        <v>2</v>
      </c>
      <c r="C69" s="195" t="s">
        <v>138</v>
      </c>
      <c r="D69" s="195">
        <v>3</v>
      </c>
      <c r="E69" s="195" t="s">
        <v>146</v>
      </c>
      <c r="F69" s="196">
        <v>43857</v>
      </c>
      <c r="G69" s="250" t="s">
        <v>4</v>
      </c>
      <c r="H69" s="251">
        <v>2005</v>
      </c>
      <c r="I69" s="196" t="s">
        <v>561</v>
      </c>
      <c r="J69" s="199">
        <v>800</v>
      </c>
      <c r="K69" s="199">
        <v>949</v>
      </c>
      <c r="L69" s="252">
        <v>939</v>
      </c>
      <c r="M69" s="249">
        <v>0</v>
      </c>
      <c r="N69" s="200">
        <v>0</v>
      </c>
      <c r="O69" s="253"/>
      <c r="P69" s="251">
        <v>2005</v>
      </c>
      <c r="Q69" s="254">
        <v>1.1000000000000001</v>
      </c>
      <c r="R69" s="255"/>
      <c r="S69" s="255"/>
      <c r="T69" s="255"/>
      <c r="U69" s="255"/>
      <c r="V69" s="255"/>
      <c r="W69" s="255"/>
      <c r="X69" s="214"/>
      <c r="Y69" s="251">
        <v>2005</v>
      </c>
      <c r="Z69" s="213">
        <v>0</v>
      </c>
      <c r="AA69" s="255"/>
      <c r="AB69" s="255"/>
      <c r="AC69" s="255"/>
      <c r="AD69" s="255"/>
      <c r="AE69" s="255"/>
      <c r="AF69" s="255"/>
      <c r="AG69" s="214"/>
      <c r="AH69" s="251">
        <v>2005</v>
      </c>
      <c r="AI69" s="254">
        <v>-1.1000000000000001</v>
      </c>
      <c r="AJ69" s="254" t="s">
        <v>82</v>
      </c>
      <c r="AK69" s="254" t="s">
        <v>82</v>
      </c>
      <c r="AL69" s="254" t="s">
        <v>82</v>
      </c>
      <c r="AM69" s="254" t="s">
        <v>82</v>
      </c>
      <c r="AN69" s="254" t="s">
        <v>82</v>
      </c>
      <c r="AO69" s="254" t="s">
        <v>82</v>
      </c>
    </row>
    <row customFormat="1" r="70" s="205" spans="1:41" x14ac:dyDescent="0.2">
      <c r="A70" s="249">
        <v>66</v>
      </c>
      <c r="B70" s="195">
        <v>2</v>
      </c>
      <c r="C70" s="195" t="s">
        <v>138</v>
      </c>
      <c r="D70" s="195">
        <v>3</v>
      </c>
      <c r="E70" s="195" t="s">
        <v>146</v>
      </c>
      <c r="F70" s="196">
        <v>44140</v>
      </c>
      <c r="G70" s="250" t="s">
        <v>7</v>
      </c>
      <c r="H70" s="251">
        <v>2045</v>
      </c>
      <c r="I70" s="196" t="s">
        <v>562</v>
      </c>
      <c r="J70" s="199">
        <v>1900</v>
      </c>
      <c r="K70" s="199">
        <v>1956</v>
      </c>
      <c r="L70" s="252">
        <v>1950</v>
      </c>
      <c r="M70" s="249">
        <v>0</v>
      </c>
      <c r="N70" s="200">
        <v>0</v>
      </c>
      <c r="O70" s="253"/>
      <c r="P70" s="251">
        <v>2045</v>
      </c>
      <c r="Q70" s="254">
        <v>6.1</v>
      </c>
      <c r="R70" s="255"/>
      <c r="S70" s="255"/>
      <c r="T70" s="255"/>
      <c r="U70" s="255"/>
      <c r="V70" s="255"/>
      <c r="W70" s="255"/>
      <c r="X70" s="214"/>
      <c r="Y70" s="251">
        <v>2045</v>
      </c>
      <c r="Z70" s="213">
        <v>2.4</v>
      </c>
      <c r="AA70" s="255"/>
      <c r="AB70" s="255"/>
      <c r="AC70" s="255"/>
      <c r="AD70" s="255"/>
      <c r="AE70" s="255"/>
      <c r="AF70" s="255"/>
      <c r="AG70" s="214"/>
      <c r="AH70" s="251">
        <v>2045</v>
      </c>
      <c r="AI70" s="254">
        <v>-3.6999999999999997</v>
      </c>
      <c r="AJ70" s="254" t="s">
        <v>82</v>
      </c>
      <c r="AK70" s="254" t="s">
        <v>82</v>
      </c>
      <c r="AL70" s="254" t="s">
        <v>82</v>
      </c>
      <c r="AM70" s="254" t="s">
        <v>82</v>
      </c>
      <c r="AN70" s="254" t="s">
        <v>82</v>
      </c>
      <c r="AO70" s="254" t="s">
        <v>82</v>
      </c>
    </row>
    <row customFormat="1" r="71" s="205" spans="1:41" x14ac:dyDescent="0.2">
      <c r="A71" s="249">
        <v>67</v>
      </c>
      <c r="B71" s="195">
        <v>2</v>
      </c>
      <c r="C71" s="195" t="s">
        <v>138</v>
      </c>
      <c r="D71" s="195">
        <v>3</v>
      </c>
      <c r="E71" s="195" t="s">
        <v>146</v>
      </c>
      <c r="F71" s="196">
        <v>44268</v>
      </c>
      <c r="G71" s="250" t="s">
        <v>9</v>
      </c>
      <c r="H71" s="251">
        <v>2111</v>
      </c>
      <c r="I71" s="196" t="s">
        <v>227</v>
      </c>
      <c r="J71" s="199">
        <v>1900</v>
      </c>
      <c r="K71" s="199">
        <v>1959</v>
      </c>
      <c r="L71" s="252">
        <v>1911</v>
      </c>
      <c r="M71" s="249">
        <v>1</v>
      </c>
      <c r="N71" s="200">
        <v>0</v>
      </c>
      <c r="O71" s="253"/>
      <c r="P71" s="251">
        <v>2111</v>
      </c>
      <c r="Q71" s="254">
        <v>0.8</v>
      </c>
      <c r="R71" s="213">
        <v>5.3</v>
      </c>
      <c r="S71" s="213">
        <v>5.0999999999999996</v>
      </c>
      <c r="T71" s="213">
        <v>0.2</v>
      </c>
      <c r="U71" s="213">
        <v>6.6</v>
      </c>
      <c r="V71" s="213">
        <v>6.6</v>
      </c>
      <c r="W71" s="213" t="s">
        <v>84</v>
      </c>
      <c r="X71" s="214"/>
      <c r="Y71" s="251">
        <v>2111</v>
      </c>
      <c r="Z71" s="213">
        <v>0</v>
      </c>
      <c r="AA71" s="213">
        <v>5.2</v>
      </c>
      <c r="AB71" s="213">
        <v>5.0999999999999996</v>
      </c>
      <c r="AC71" s="213">
        <v>0.1</v>
      </c>
      <c r="AD71" s="213">
        <v>6.6</v>
      </c>
      <c r="AE71" s="213">
        <v>6.6</v>
      </c>
      <c r="AF71" s="213" t="s">
        <v>84</v>
      </c>
      <c r="AG71" s="214"/>
      <c r="AH71" s="251">
        <v>2111</v>
      </c>
      <c r="AI71" s="254">
        <v>-0.8</v>
      </c>
      <c r="AJ71" s="254">
        <v>-9.9999999999999645E-2</v>
      </c>
      <c r="AK71" s="254" t="s">
        <v>82</v>
      </c>
      <c r="AL71" s="254">
        <v>-0.1</v>
      </c>
      <c r="AM71" s="254" t="s">
        <v>82</v>
      </c>
      <c r="AN71" s="254" t="s">
        <v>82</v>
      </c>
      <c r="AO71" s="254" t="s">
        <v>82</v>
      </c>
    </row>
    <row customFormat="1" r="72" s="205" spans="1:41" x14ac:dyDescent="0.2">
      <c r="A72" s="249">
        <v>68</v>
      </c>
      <c r="B72" s="195">
        <v>2</v>
      </c>
      <c r="C72" s="195" t="s">
        <v>138</v>
      </c>
      <c r="D72" s="195">
        <v>3</v>
      </c>
      <c r="E72" s="195" t="s">
        <v>146</v>
      </c>
      <c r="F72" s="196">
        <v>44435</v>
      </c>
      <c r="G72" s="250" t="s">
        <v>8</v>
      </c>
      <c r="H72" s="251">
        <v>2135</v>
      </c>
      <c r="I72" s="196" t="s">
        <v>151</v>
      </c>
      <c r="J72" s="199">
        <v>1445</v>
      </c>
      <c r="K72" s="199">
        <v>1544</v>
      </c>
      <c r="L72" s="252">
        <v>1459</v>
      </c>
      <c r="M72" s="249">
        <v>1</v>
      </c>
      <c r="N72" s="200">
        <v>0</v>
      </c>
      <c r="O72" s="253"/>
      <c r="P72" s="251">
        <v>2135</v>
      </c>
      <c r="Q72" s="254">
        <v>33.200000000000003</v>
      </c>
      <c r="R72" s="213">
        <v>3.3</v>
      </c>
      <c r="S72" s="213">
        <v>1.3</v>
      </c>
      <c r="T72" s="213">
        <v>2</v>
      </c>
      <c r="U72" s="213">
        <v>1.8</v>
      </c>
      <c r="V72" s="213">
        <v>1.8</v>
      </c>
      <c r="W72" s="213" t="s">
        <v>84</v>
      </c>
      <c r="X72" s="214"/>
      <c r="Y72" s="251">
        <v>2135</v>
      </c>
      <c r="Z72" s="213">
        <v>0</v>
      </c>
      <c r="AA72" s="213">
        <v>1.3</v>
      </c>
      <c r="AB72" s="213">
        <v>1.3</v>
      </c>
      <c r="AC72" s="213">
        <v>0</v>
      </c>
      <c r="AD72" s="213">
        <v>1.8</v>
      </c>
      <c r="AE72" s="213">
        <v>1.8</v>
      </c>
      <c r="AF72" s="213" t="s">
        <v>84</v>
      </c>
      <c r="AG72" s="214"/>
      <c r="AH72" s="251">
        <v>2135</v>
      </c>
      <c r="AI72" s="254">
        <v>-33.200000000000003</v>
      </c>
      <c r="AJ72" s="254">
        <v>-1.9999999999999998</v>
      </c>
      <c r="AK72" s="254" t="s">
        <v>82</v>
      </c>
      <c r="AL72" s="254">
        <v>-2</v>
      </c>
      <c r="AM72" s="254" t="s">
        <v>82</v>
      </c>
      <c r="AN72" s="254" t="s">
        <v>82</v>
      </c>
      <c r="AO72" s="254" t="s">
        <v>82</v>
      </c>
    </row>
    <row customFormat="1" r="73" s="205" spans="1:41" x14ac:dyDescent="0.2">
      <c r="A73" s="249">
        <v>69</v>
      </c>
      <c r="B73" s="195">
        <v>2</v>
      </c>
      <c r="C73" s="195" t="s">
        <v>138</v>
      </c>
      <c r="D73" s="195">
        <v>3</v>
      </c>
      <c r="E73" s="195" t="s">
        <v>146</v>
      </c>
      <c r="F73" s="196">
        <v>44461</v>
      </c>
      <c r="G73" s="250" t="s">
        <v>6</v>
      </c>
      <c r="H73" s="251">
        <v>2139</v>
      </c>
      <c r="I73" s="196" t="s">
        <v>217</v>
      </c>
      <c r="J73" s="199">
        <v>800</v>
      </c>
      <c r="K73" s="199">
        <v>949</v>
      </c>
      <c r="L73" s="252">
        <v>901</v>
      </c>
      <c r="M73" s="249">
        <v>0</v>
      </c>
      <c r="N73" s="200">
        <v>0</v>
      </c>
      <c r="O73" s="253"/>
      <c r="P73" s="251">
        <v>2139</v>
      </c>
      <c r="Q73" s="254">
        <v>1.5</v>
      </c>
      <c r="R73" s="255"/>
      <c r="S73" s="255"/>
      <c r="T73" s="255"/>
      <c r="U73" s="255"/>
      <c r="V73" s="255"/>
      <c r="W73" s="255"/>
      <c r="X73" s="214"/>
      <c r="Y73" s="251">
        <v>2139</v>
      </c>
      <c r="Z73" s="213">
        <v>0</v>
      </c>
      <c r="AA73" s="255"/>
      <c r="AB73" s="255"/>
      <c r="AC73" s="255"/>
      <c r="AD73" s="255"/>
      <c r="AE73" s="255"/>
      <c r="AF73" s="255"/>
      <c r="AG73" s="214"/>
      <c r="AH73" s="251">
        <v>2139</v>
      </c>
      <c r="AI73" s="254">
        <v>-1.5</v>
      </c>
      <c r="AJ73" s="254" t="s">
        <v>82</v>
      </c>
      <c r="AK73" s="254" t="s">
        <v>82</v>
      </c>
      <c r="AL73" s="254" t="s">
        <v>82</v>
      </c>
      <c r="AM73" s="254" t="s">
        <v>82</v>
      </c>
      <c r="AN73" s="254" t="s">
        <v>82</v>
      </c>
      <c r="AO73" s="254" t="s">
        <v>82</v>
      </c>
    </row>
    <row customFormat="1" r="74" s="205" spans="1:41" x14ac:dyDescent="0.2">
      <c r="A74" s="249">
        <v>70</v>
      </c>
      <c r="B74" s="195">
        <v>2</v>
      </c>
      <c r="C74" s="195" t="s">
        <v>138</v>
      </c>
      <c r="D74" s="195">
        <v>3</v>
      </c>
      <c r="E74" s="195" t="s">
        <v>146</v>
      </c>
      <c r="F74" s="196">
        <v>44463</v>
      </c>
      <c r="G74" s="250" t="s">
        <v>8</v>
      </c>
      <c r="H74" s="251">
        <v>2139</v>
      </c>
      <c r="I74" s="196" t="s">
        <v>152</v>
      </c>
      <c r="J74" s="199">
        <v>1545</v>
      </c>
      <c r="K74" s="199">
        <v>1644</v>
      </c>
      <c r="L74" s="252">
        <v>1559</v>
      </c>
      <c r="M74" s="249">
        <v>1</v>
      </c>
      <c r="N74" s="200">
        <v>0</v>
      </c>
      <c r="O74" s="253"/>
      <c r="P74" s="251">
        <v>2139</v>
      </c>
      <c r="Q74" s="254">
        <v>1.7</v>
      </c>
      <c r="R74" s="213">
        <v>2.2999999999999998</v>
      </c>
      <c r="S74" s="213">
        <v>2</v>
      </c>
      <c r="T74" s="213">
        <v>0.3</v>
      </c>
      <c r="U74" s="213">
        <v>2.2000000000000002</v>
      </c>
      <c r="V74" s="213">
        <v>2.2000000000000002</v>
      </c>
      <c r="W74" s="213" t="s">
        <v>84</v>
      </c>
      <c r="X74" s="214"/>
      <c r="Y74" s="251">
        <v>2139</v>
      </c>
      <c r="Z74" s="213">
        <v>0.2</v>
      </c>
      <c r="AA74" s="213">
        <v>2.2000000000000002</v>
      </c>
      <c r="AB74" s="213">
        <v>2</v>
      </c>
      <c r="AC74" s="213">
        <v>0.2</v>
      </c>
      <c r="AD74" s="213">
        <v>2.2000000000000002</v>
      </c>
      <c r="AE74" s="213">
        <v>2.2000000000000002</v>
      </c>
      <c r="AF74" s="213" t="s">
        <v>84</v>
      </c>
      <c r="AG74" s="214"/>
      <c r="AH74" s="251">
        <v>2139</v>
      </c>
      <c r="AI74" s="254">
        <v>-1.5</v>
      </c>
      <c r="AJ74" s="254">
        <v>-9.9999999999999645E-2</v>
      </c>
      <c r="AK74" s="254" t="s">
        <v>82</v>
      </c>
      <c r="AL74" s="254">
        <v>-9.9999999999999978E-2</v>
      </c>
      <c r="AM74" s="254" t="s">
        <v>82</v>
      </c>
      <c r="AN74" s="254" t="s">
        <v>82</v>
      </c>
      <c r="AO74" s="254" t="s">
        <v>82</v>
      </c>
    </row>
    <row customFormat="1" r="75" s="205" spans="1:41" x14ac:dyDescent="0.2">
      <c r="A75" s="249">
        <v>71</v>
      </c>
      <c r="B75" s="195">
        <v>2</v>
      </c>
      <c r="C75" s="195" t="s">
        <v>138</v>
      </c>
      <c r="D75" s="195">
        <v>3</v>
      </c>
      <c r="E75" s="195" t="s">
        <v>146</v>
      </c>
      <c r="F75" s="196">
        <v>44609</v>
      </c>
      <c r="G75" s="250" t="s">
        <v>7</v>
      </c>
      <c r="H75" s="251">
        <v>2208</v>
      </c>
      <c r="I75" s="196" t="s">
        <v>217</v>
      </c>
      <c r="J75" s="199">
        <v>800</v>
      </c>
      <c r="K75" s="199">
        <v>949</v>
      </c>
      <c r="L75" s="252">
        <v>908</v>
      </c>
      <c r="M75" s="249">
        <v>0</v>
      </c>
      <c r="N75" s="200">
        <v>0</v>
      </c>
      <c r="O75" s="253"/>
      <c r="P75" s="251">
        <v>2208</v>
      </c>
      <c r="Q75" s="254">
        <v>0.7</v>
      </c>
      <c r="R75" s="255"/>
      <c r="S75" s="255"/>
      <c r="T75" s="255"/>
      <c r="U75" s="255"/>
      <c r="V75" s="255"/>
      <c r="W75" s="255"/>
      <c r="X75" s="214"/>
      <c r="Y75" s="251">
        <v>2208</v>
      </c>
      <c r="Z75" s="213">
        <v>0</v>
      </c>
      <c r="AA75" s="255"/>
      <c r="AB75" s="255"/>
      <c r="AC75" s="255"/>
      <c r="AD75" s="255"/>
      <c r="AE75" s="255"/>
      <c r="AF75" s="255"/>
      <c r="AG75" s="214"/>
      <c r="AH75" s="251">
        <v>2208</v>
      </c>
      <c r="AI75" s="254">
        <v>-0.7</v>
      </c>
      <c r="AJ75" s="254" t="s">
        <v>82</v>
      </c>
      <c r="AK75" s="254" t="s">
        <v>82</v>
      </c>
      <c r="AL75" s="254" t="s">
        <v>82</v>
      </c>
      <c r="AM75" s="254" t="s">
        <v>82</v>
      </c>
      <c r="AN75" s="254" t="s">
        <v>82</v>
      </c>
      <c r="AO75" s="254" t="s">
        <v>82</v>
      </c>
    </row>
    <row customFormat="1" r="76" s="205" spans="1:41" x14ac:dyDescent="0.2">
      <c r="A76" s="249">
        <v>72</v>
      </c>
      <c r="B76" s="195">
        <v>2</v>
      </c>
      <c r="C76" s="195" t="s">
        <v>138</v>
      </c>
      <c r="D76" s="195">
        <v>3</v>
      </c>
      <c r="E76" s="195" t="s">
        <v>146</v>
      </c>
      <c r="F76" s="196">
        <v>44616</v>
      </c>
      <c r="G76" s="250" t="s">
        <v>7</v>
      </c>
      <c r="H76" s="251">
        <v>2209</v>
      </c>
      <c r="I76" s="196" t="s">
        <v>330</v>
      </c>
      <c r="J76" s="199">
        <v>1155</v>
      </c>
      <c r="K76" s="199">
        <v>1444</v>
      </c>
      <c r="L76" s="252">
        <v>1300</v>
      </c>
      <c r="M76" s="249">
        <v>0</v>
      </c>
      <c r="N76" s="200">
        <v>0</v>
      </c>
      <c r="O76" s="253"/>
      <c r="P76" s="251">
        <v>2209</v>
      </c>
      <c r="Q76" s="254">
        <v>2.9</v>
      </c>
      <c r="R76" s="255"/>
      <c r="S76" s="255"/>
      <c r="T76" s="255"/>
      <c r="U76" s="255"/>
      <c r="V76" s="255"/>
      <c r="W76" s="255"/>
      <c r="X76" s="214"/>
      <c r="Y76" s="251">
        <v>2209</v>
      </c>
      <c r="Z76" s="213">
        <v>0</v>
      </c>
      <c r="AA76" s="255"/>
      <c r="AB76" s="255"/>
      <c r="AC76" s="255"/>
      <c r="AD76" s="255"/>
      <c r="AE76" s="255"/>
      <c r="AF76" s="255"/>
      <c r="AG76" s="214"/>
      <c r="AH76" s="251">
        <v>2209</v>
      </c>
      <c r="AI76" s="254">
        <v>-2.9</v>
      </c>
      <c r="AJ76" s="254" t="s">
        <v>82</v>
      </c>
      <c r="AK76" s="254" t="s">
        <v>82</v>
      </c>
      <c r="AL76" s="254" t="s">
        <v>82</v>
      </c>
      <c r="AM76" s="254" t="s">
        <v>82</v>
      </c>
      <c r="AN76" s="254" t="s">
        <v>82</v>
      </c>
      <c r="AO76" s="254" t="s">
        <v>82</v>
      </c>
    </row>
    <row customFormat="1" r="77" s="205" spans="1:41" x14ac:dyDescent="0.2">
      <c r="A77" s="249">
        <v>73</v>
      </c>
      <c r="B77" s="195">
        <v>2</v>
      </c>
      <c r="C77" s="195" t="s">
        <v>138</v>
      </c>
      <c r="D77" s="195">
        <v>4</v>
      </c>
      <c r="E77" s="195" t="s">
        <v>156</v>
      </c>
      <c r="F77" s="196">
        <v>43506</v>
      </c>
      <c r="G77" s="250" t="s">
        <v>10</v>
      </c>
      <c r="H77" s="251">
        <v>1906</v>
      </c>
      <c r="I77" s="196" t="s">
        <v>157</v>
      </c>
      <c r="J77" s="199">
        <v>1900</v>
      </c>
      <c r="K77" s="199">
        <v>1957</v>
      </c>
      <c r="L77" s="252">
        <v>1929</v>
      </c>
      <c r="M77" s="249">
        <v>1</v>
      </c>
      <c r="N77" s="200">
        <v>0</v>
      </c>
      <c r="O77" s="253"/>
      <c r="P77" s="251">
        <v>1906</v>
      </c>
      <c r="Q77" s="254">
        <v>4.2</v>
      </c>
      <c r="R77" s="213">
        <v>10.199999999999999</v>
      </c>
      <c r="S77" s="213">
        <v>8.9</v>
      </c>
      <c r="T77" s="213">
        <v>1.3</v>
      </c>
      <c r="U77" s="213">
        <v>9.5</v>
      </c>
      <c r="V77" s="213">
        <v>9</v>
      </c>
      <c r="W77" s="213">
        <v>0.5</v>
      </c>
      <c r="X77" s="214"/>
      <c r="Y77" s="251">
        <v>1906</v>
      </c>
      <c r="Z77" s="213">
        <v>0.8</v>
      </c>
      <c r="AA77" s="213">
        <v>9.9</v>
      </c>
      <c r="AB77" s="213">
        <v>8.9</v>
      </c>
      <c r="AC77" s="213">
        <v>1</v>
      </c>
      <c r="AD77" s="213">
        <v>9.5</v>
      </c>
      <c r="AE77" s="213">
        <v>9</v>
      </c>
      <c r="AF77" s="213">
        <v>0.5</v>
      </c>
      <c r="AG77" s="214"/>
      <c r="AH77" s="251">
        <v>1906</v>
      </c>
      <c r="AI77" s="254">
        <v>-3.4000000000000004</v>
      </c>
      <c r="AJ77" s="254">
        <v>-0.29999999999999893</v>
      </c>
      <c r="AK77" s="254" t="s">
        <v>82</v>
      </c>
      <c r="AL77" s="254">
        <v>-0.30000000000000004</v>
      </c>
      <c r="AM77" s="254" t="s">
        <v>82</v>
      </c>
      <c r="AN77" s="254" t="s">
        <v>82</v>
      </c>
      <c r="AO77" s="254" t="s">
        <v>82</v>
      </c>
    </row>
    <row customFormat="1" r="78" s="205" spans="1:41" x14ac:dyDescent="0.2">
      <c r="A78" s="249">
        <v>74</v>
      </c>
      <c r="B78" s="195">
        <v>2</v>
      </c>
      <c r="C78" s="195" t="s">
        <v>138</v>
      </c>
      <c r="D78" s="195">
        <v>4</v>
      </c>
      <c r="E78" s="195" t="s">
        <v>156</v>
      </c>
      <c r="F78" s="196">
        <v>44146</v>
      </c>
      <c r="G78" s="250" t="s">
        <v>6</v>
      </c>
      <c r="H78" s="251">
        <v>2046</v>
      </c>
      <c r="I78" s="196" t="s">
        <v>563</v>
      </c>
      <c r="J78" s="199">
        <v>2707</v>
      </c>
      <c r="K78" s="199">
        <v>2733</v>
      </c>
      <c r="L78" s="252">
        <v>2724</v>
      </c>
      <c r="M78" s="249">
        <v>0</v>
      </c>
      <c r="N78" s="200">
        <v>0</v>
      </c>
      <c r="O78" s="253"/>
      <c r="P78" s="251">
        <v>2046</v>
      </c>
      <c r="Q78" s="254">
        <v>0.6</v>
      </c>
      <c r="R78" s="255"/>
      <c r="S78" s="255"/>
      <c r="T78" s="255"/>
      <c r="U78" s="255"/>
      <c r="V78" s="255"/>
      <c r="W78" s="255"/>
      <c r="X78" s="214"/>
      <c r="Y78" s="251">
        <v>2046</v>
      </c>
      <c r="Z78" s="213">
        <v>0</v>
      </c>
      <c r="AA78" s="255"/>
      <c r="AB78" s="255"/>
      <c r="AC78" s="255"/>
      <c r="AD78" s="255"/>
      <c r="AE78" s="255"/>
      <c r="AF78" s="255"/>
      <c r="AG78" s="214"/>
      <c r="AH78" s="251">
        <v>2046</v>
      </c>
      <c r="AI78" s="254">
        <v>-0.6</v>
      </c>
      <c r="AJ78" s="254" t="s">
        <v>82</v>
      </c>
      <c r="AK78" s="254" t="s">
        <v>82</v>
      </c>
      <c r="AL78" s="254" t="s">
        <v>82</v>
      </c>
      <c r="AM78" s="254" t="s">
        <v>82</v>
      </c>
      <c r="AN78" s="254" t="s">
        <v>82</v>
      </c>
      <c r="AO78" s="254" t="s">
        <v>82</v>
      </c>
    </row>
    <row customFormat="1" r="79" s="205" spans="1:41" x14ac:dyDescent="0.2">
      <c r="A79" s="249">
        <v>75</v>
      </c>
      <c r="B79" s="195">
        <v>2</v>
      </c>
      <c r="C79" s="195" t="s">
        <v>138</v>
      </c>
      <c r="D79" s="195">
        <v>5</v>
      </c>
      <c r="E79" s="195" t="s">
        <v>549</v>
      </c>
      <c r="F79" s="196">
        <v>43534</v>
      </c>
      <c r="G79" s="250" t="s">
        <v>10</v>
      </c>
      <c r="H79" s="251">
        <v>1910</v>
      </c>
      <c r="I79" s="196" t="s">
        <v>564</v>
      </c>
      <c r="J79" s="199">
        <v>1930</v>
      </c>
      <c r="K79" s="199">
        <v>1959</v>
      </c>
      <c r="L79" s="252">
        <v>1956</v>
      </c>
      <c r="M79" s="249">
        <v>0</v>
      </c>
      <c r="N79" s="200">
        <v>0</v>
      </c>
      <c r="O79" s="253"/>
      <c r="P79" s="251">
        <v>1910</v>
      </c>
      <c r="Q79" s="254">
        <v>1.6</v>
      </c>
      <c r="R79" s="255"/>
      <c r="S79" s="255"/>
      <c r="T79" s="255"/>
      <c r="U79" s="255"/>
      <c r="V79" s="255"/>
      <c r="W79" s="255"/>
      <c r="X79" s="214"/>
      <c r="Y79" s="251">
        <v>1910</v>
      </c>
      <c r="Z79" s="213">
        <v>0.4</v>
      </c>
      <c r="AA79" s="255"/>
      <c r="AB79" s="255"/>
      <c r="AC79" s="255"/>
      <c r="AD79" s="255"/>
      <c r="AE79" s="255"/>
      <c r="AF79" s="255"/>
      <c r="AG79" s="214"/>
      <c r="AH79" s="251">
        <v>1910</v>
      </c>
      <c r="AI79" s="254">
        <v>-1.2000000000000002</v>
      </c>
      <c r="AJ79" s="254" t="s">
        <v>82</v>
      </c>
      <c r="AK79" s="254" t="s">
        <v>82</v>
      </c>
      <c r="AL79" s="254" t="s">
        <v>82</v>
      </c>
      <c r="AM79" s="254" t="s">
        <v>82</v>
      </c>
      <c r="AN79" s="254" t="s">
        <v>82</v>
      </c>
      <c r="AO79" s="254" t="s">
        <v>82</v>
      </c>
    </row>
    <row customFormat="1" r="80" s="205" spans="1:41" x14ac:dyDescent="0.2">
      <c r="A80" s="249">
        <v>76</v>
      </c>
      <c r="B80" s="195">
        <v>2</v>
      </c>
      <c r="C80" s="195" t="s">
        <v>138</v>
      </c>
      <c r="D80" s="195">
        <v>5</v>
      </c>
      <c r="E80" s="195" t="s">
        <v>549</v>
      </c>
      <c r="F80" s="196">
        <v>44219</v>
      </c>
      <c r="G80" s="250" t="s">
        <v>9</v>
      </c>
      <c r="H80" s="251">
        <v>2104</v>
      </c>
      <c r="I80" s="196" t="s">
        <v>565</v>
      </c>
      <c r="J80" s="199">
        <v>1305</v>
      </c>
      <c r="K80" s="199">
        <v>1347</v>
      </c>
      <c r="L80" s="252">
        <v>1311</v>
      </c>
      <c r="M80" s="249">
        <v>0</v>
      </c>
      <c r="N80" s="200">
        <v>0</v>
      </c>
      <c r="O80" s="253"/>
      <c r="P80" s="251">
        <v>2104</v>
      </c>
      <c r="Q80" s="254">
        <v>0.9</v>
      </c>
      <c r="R80" s="255"/>
      <c r="S80" s="255"/>
      <c r="T80" s="255"/>
      <c r="U80" s="255"/>
      <c r="V80" s="255"/>
      <c r="W80" s="255"/>
      <c r="X80" s="214"/>
      <c r="Y80" s="251">
        <v>2104</v>
      </c>
      <c r="Z80" s="213">
        <v>0.6</v>
      </c>
      <c r="AA80" s="255"/>
      <c r="AB80" s="255"/>
      <c r="AC80" s="255"/>
      <c r="AD80" s="255"/>
      <c r="AE80" s="255"/>
      <c r="AF80" s="255"/>
      <c r="AG80" s="214"/>
      <c r="AH80" s="251">
        <v>2104</v>
      </c>
      <c r="AI80" s="254">
        <v>-0.30000000000000004</v>
      </c>
      <c r="AJ80" s="254" t="s">
        <v>82</v>
      </c>
      <c r="AK80" s="254" t="s">
        <v>82</v>
      </c>
      <c r="AL80" s="254" t="s">
        <v>82</v>
      </c>
      <c r="AM80" s="254" t="s">
        <v>82</v>
      </c>
      <c r="AN80" s="254" t="s">
        <v>82</v>
      </c>
      <c r="AO80" s="254" t="s">
        <v>82</v>
      </c>
    </row>
    <row customFormat="1" r="81" s="205" spans="1:41" x14ac:dyDescent="0.2">
      <c r="A81" s="249">
        <v>77</v>
      </c>
      <c r="B81" s="195">
        <v>2</v>
      </c>
      <c r="C81" s="195" t="s">
        <v>138</v>
      </c>
      <c r="D81" s="195">
        <v>5</v>
      </c>
      <c r="E81" s="195" t="s">
        <v>549</v>
      </c>
      <c r="F81" s="196">
        <v>44379</v>
      </c>
      <c r="G81" s="250" t="s">
        <v>8</v>
      </c>
      <c r="H81" s="251">
        <v>2127</v>
      </c>
      <c r="I81" s="196" t="s">
        <v>566</v>
      </c>
      <c r="J81" s="199">
        <v>1200</v>
      </c>
      <c r="K81" s="199">
        <v>1219</v>
      </c>
      <c r="L81" s="252">
        <v>1208</v>
      </c>
      <c r="M81" s="249">
        <v>0</v>
      </c>
      <c r="N81" s="200">
        <v>0</v>
      </c>
      <c r="O81" s="253"/>
      <c r="P81" s="251">
        <v>2127</v>
      </c>
      <c r="Q81" s="254">
        <v>4.2</v>
      </c>
      <c r="R81" s="255"/>
      <c r="S81" s="255"/>
      <c r="T81" s="255"/>
      <c r="U81" s="255"/>
      <c r="V81" s="255"/>
      <c r="W81" s="255"/>
      <c r="X81" s="214"/>
      <c r="Y81" s="251">
        <v>2127</v>
      </c>
      <c r="Z81" s="213">
        <v>0</v>
      </c>
      <c r="AA81" s="255"/>
      <c r="AB81" s="255"/>
      <c r="AC81" s="255"/>
      <c r="AD81" s="255"/>
      <c r="AE81" s="255"/>
      <c r="AF81" s="255"/>
      <c r="AG81" s="214"/>
      <c r="AH81" s="251">
        <v>2127</v>
      </c>
      <c r="AI81" s="254">
        <v>-4.2</v>
      </c>
      <c r="AJ81" s="254" t="s">
        <v>82</v>
      </c>
      <c r="AK81" s="254" t="s">
        <v>82</v>
      </c>
      <c r="AL81" s="254" t="s">
        <v>82</v>
      </c>
      <c r="AM81" s="254" t="s">
        <v>82</v>
      </c>
      <c r="AN81" s="254" t="s">
        <v>82</v>
      </c>
      <c r="AO81" s="254" t="s">
        <v>82</v>
      </c>
    </row>
    <row customFormat="1" r="82" s="205" spans="1:41" x14ac:dyDescent="0.2">
      <c r="A82" s="249">
        <v>78</v>
      </c>
      <c r="B82" s="195">
        <v>2</v>
      </c>
      <c r="C82" s="195" t="s">
        <v>138</v>
      </c>
      <c r="D82" s="195">
        <v>5</v>
      </c>
      <c r="E82" s="195" t="s">
        <v>549</v>
      </c>
      <c r="F82" s="196">
        <v>44595</v>
      </c>
      <c r="G82" s="250" t="s">
        <v>7</v>
      </c>
      <c r="H82" s="251">
        <v>2206</v>
      </c>
      <c r="I82" s="196" t="s">
        <v>567</v>
      </c>
      <c r="J82" s="199">
        <v>2813</v>
      </c>
      <c r="K82" s="199">
        <v>2834</v>
      </c>
      <c r="L82" s="252">
        <v>2827</v>
      </c>
      <c r="M82" s="249">
        <v>0</v>
      </c>
      <c r="N82" s="200">
        <v>0</v>
      </c>
      <c r="O82" s="253"/>
      <c r="P82" s="251">
        <v>2206</v>
      </c>
      <c r="Q82" s="254">
        <v>1.4</v>
      </c>
      <c r="R82" s="255"/>
      <c r="S82" s="255"/>
      <c r="T82" s="255"/>
      <c r="U82" s="255"/>
      <c r="V82" s="255"/>
      <c r="W82" s="255"/>
      <c r="X82" s="214"/>
      <c r="Y82" s="251">
        <v>2206</v>
      </c>
      <c r="Z82" s="213">
        <v>0</v>
      </c>
      <c r="AA82" s="255"/>
      <c r="AB82" s="255"/>
      <c r="AC82" s="255"/>
      <c r="AD82" s="255"/>
      <c r="AE82" s="255"/>
      <c r="AF82" s="255"/>
      <c r="AG82" s="214"/>
      <c r="AH82" s="251">
        <v>2206</v>
      </c>
      <c r="AI82" s="254">
        <v>-1.4</v>
      </c>
      <c r="AJ82" s="254" t="s">
        <v>82</v>
      </c>
      <c r="AK82" s="254" t="s">
        <v>82</v>
      </c>
      <c r="AL82" s="254" t="s">
        <v>82</v>
      </c>
      <c r="AM82" s="254" t="s">
        <v>82</v>
      </c>
      <c r="AN82" s="254" t="s">
        <v>82</v>
      </c>
      <c r="AO82" s="254" t="s">
        <v>82</v>
      </c>
    </row>
    <row customFormat="1" r="83" s="205" spans="1:41" x14ac:dyDescent="0.2">
      <c r="A83" s="249">
        <v>79</v>
      </c>
      <c r="B83" s="195">
        <v>2</v>
      </c>
      <c r="C83" s="195" t="s">
        <v>138</v>
      </c>
      <c r="D83" s="195">
        <v>5</v>
      </c>
      <c r="E83" s="195" t="s">
        <v>549</v>
      </c>
      <c r="F83" s="196">
        <v>44629</v>
      </c>
      <c r="G83" s="250" t="s">
        <v>6</v>
      </c>
      <c r="H83" s="251">
        <v>2211</v>
      </c>
      <c r="I83" s="196" t="s">
        <v>568</v>
      </c>
      <c r="J83" s="199">
        <v>1650</v>
      </c>
      <c r="K83" s="199">
        <v>1809</v>
      </c>
      <c r="L83" s="252">
        <v>1722</v>
      </c>
      <c r="M83" s="249">
        <v>0</v>
      </c>
      <c r="N83" s="200">
        <v>0</v>
      </c>
      <c r="O83" s="253"/>
      <c r="P83" s="251">
        <v>2211</v>
      </c>
      <c r="Q83" s="254">
        <v>2.5</v>
      </c>
      <c r="R83" s="255"/>
      <c r="S83" s="255"/>
      <c r="T83" s="255"/>
      <c r="U83" s="255"/>
      <c r="V83" s="255"/>
      <c r="W83" s="255"/>
      <c r="X83" s="214"/>
      <c r="Y83" s="251">
        <v>2211</v>
      </c>
      <c r="Z83" s="213">
        <v>0</v>
      </c>
      <c r="AA83" s="255"/>
      <c r="AB83" s="255"/>
      <c r="AC83" s="255"/>
      <c r="AD83" s="255"/>
      <c r="AE83" s="255"/>
      <c r="AF83" s="255"/>
      <c r="AG83" s="214"/>
      <c r="AH83" s="251">
        <v>2211</v>
      </c>
      <c r="AI83" s="254">
        <v>-2.5</v>
      </c>
      <c r="AJ83" s="254" t="s">
        <v>82</v>
      </c>
      <c r="AK83" s="254" t="s">
        <v>82</v>
      </c>
      <c r="AL83" s="254" t="s">
        <v>82</v>
      </c>
      <c r="AM83" s="254" t="s">
        <v>82</v>
      </c>
      <c r="AN83" s="254" t="s">
        <v>82</v>
      </c>
      <c r="AO83" s="254" t="s">
        <v>82</v>
      </c>
    </row>
    <row customFormat="1" r="84" s="205" spans="1:41" x14ac:dyDescent="0.2">
      <c r="A84" s="249">
        <v>80</v>
      </c>
      <c r="B84" s="195">
        <v>2</v>
      </c>
      <c r="C84" s="195" t="s">
        <v>138</v>
      </c>
      <c r="D84" s="195">
        <v>6</v>
      </c>
      <c r="E84" s="195" t="s">
        <v>553</v>
      </c>
      <c r="F84" s="196">
        <v>44597</v>
      </c>
      <c r="G84" s="250" t="s">
        <v>9</v>
      </c>
      <c r="H84" s="251">
        <v>2206</v>
      </c>
      <c r="I84" s="196" t="s">
        <v>569</v>
      </c>
      <c r="J84" s="199">
        <v>1140</v>
      </c>
      <c r="K84" s="199">
        <v>1159</v>
      </c>
      <c r="L84" s="252">
        <v>1144</v>
      </c>
      <c r="M84" s="249">
        <v>0</v>
      </c>
      <c r="N84" s="200">
        <v>0</v>
      </c>
      <c r="O84" s="253"/>
      <c r="P84" s="251">
        <v>2206</v>
      </c>
      <c r="Q84" s="254">
        <v>27.8</v>
      </c>
      <c r="R84" s="255"/>
      <c r="S84" s="255"/>
      <c r="T84" s="255"/>
      <c r="U84" s="255"/>
      <c r="V84" s="255"/>
      <c r="W84" s="255"/>
      <c r="X84" s="214"/>
      <c r="Y84" s="251">
        <v>2206</v>
      </c>
      <c r="Z84" s="213">
        <v>0</v>
      </c>
      <c r="AA84" s="255"/>
      <c r="AB84" s="255"/>
      <c r="AC84" s="255"/>
      <c r="AD84" s="255"/>
      <c r="AE84" s="255"/>
      <c r="AF84" s="255"/>
      <c r="AG84" s="214"/>
      <c r="AH84" s="251">
        <v>2206</v>
      </c>
      <c r="AI84" s="254">
        <v>-27.8</v>
      </c>
      <c r="AJ84" s="254" t="s">
        <v>82</v>
      </c>
      <c r="AK84" s="254" t="s">
        <v>82</v>
      </c>
      <c r="AL84" s="254" t="s">
        <v>82</v>
      </c>
      <c r="AM84" s="254" t="s">
        <v>82</v>
      </c>
      <c r="AN84" s="254" t="s">
        <v>82</v>
      </c>
      <c r="AO84" s="254" t="s">
        <v>82</v>
      </c>
    </row>
    <row customFormat="1" r="85" s="205" spans="1:41" x14ac:dyDescent="0.2">
      <c r="A85" s="249">
        <v>81</v>
      </c>
      <c r="B85" s="195">
        <v>2</v>
      </c>
      <c r="C85" s="195" t="s">
        <v>138</v>
      </c>
      <c r="D85" s="195">
        <v>7</v>
      </c>
      <c r="E85" s="195" t="s">
        <v>158</v>
      </c>
      <c r="F85" s="196">
        <v>44487</v>
      </c>
      <c r="G85" s="250" t="s">
        <v>4</v>
      </c>
      <c r="H85" s="251">
        <v>2143</v>
      </c>
      <c r="I85" s="196" t="s">
        <v>159</v>
      </c>
      <c r="J85" s="199">
        <v>830</v>
      </c>
      <c r="K85" s="199">
        <v>926</v>
      </c>
      <c r="L85" s="252">
        <v>926</v>
      </c>
      <c r="M85" s="249">
        <v>1</v>
      </c>
      <c r="N85" s="200">
        <v>1</v>
      </c>
      <c r="O85" s="253"/>
      <c r="P85" s="251">
        <v>2143</v>
      </c>
      <c r="Q85" s="254">
        <v>0.8</v>
      </c>
      <c r="R85" s="213">
        <v>1.2</v>
      </c>
      <c r="S85" s="213">
        <v>0.9</v>
      </c>
      <c r="T85" s="213">
        <v>0.3</v>
      </c>
      <c r="U85" s="213">
        <v>1.7</v>
      </c>
      <c r="V85" s="213">
        <v>0.9</v>
      </c>
      <c r="W85" s="213">
        <v>0.8</v>
      </c>
      <c r="X85" s="214"/>
      <c r="Y85" s="251">
        <v>2143</v>
      </c>
      <c r="Z85" s="213">
        <v>0</v>
      </c>
      <c r="AA85" s="213">
        <v>1.2</v>
      </c>
      <c r="AB85" s="213">
        <v>0.9</v>
      </c>
      <c r="AC85" s="213">
        <v>0.3</v>
      </c>
      <c r="AD85" s="213">
        <v>0.9</v>
      </c>
      <c r="AE85" s="213">
        <v>0.9</v>
      </c>
      <c r="AF85" s="213">
        <v>0</v>
      </c>
      <c r="AG85" s="214"/>
      <c r="AH85" s="251">
        <v>2143</v>
      </c>
      <c r="AI85" s="254">
        <v>-0.8</v>
      </c>
      <c r="AJ85" s="254" t="s">
        <v>82</v>
      </c>
      <c r="AK85" s="254" t="s">
        <v>82</v>
      </c>
      <c r="AL85" s="254" t="s">
        <v>82</v>
      </c>
      <c r="AM85" s="254">
        <v>-0.79999999999999993</v>
      </c>
      <c r="AN85" s="254" t="s">
        <v>82</v>
      </c>
      <c r="AO85" s="254">
        <v>-0.8</v>
      </c>
    </row>
    <row customFormat="1" r="86" s="205" spans="1:41" x14ac:dyDescent="0.2">
      <c r="A86" s="249">
        <v>82</v>
      </c>
      <c r="B86" s="195">
        <v>2</v>
      </c>
      <c r="C86" s="195" t="s">
        <v>138</v>
      </c>
      <c r="D86" s="195">
        <v>7</v>
      </c>
      <c r="E86" s="195" t="s">
        <v>158</v>
      </c>
      <c r="F86" s="196">
        <v>44487</v>
      </c>
      <c r="G86" s="250" t="s">
        <v>4</v>
      </c>
      <c r="H86" s="251">
        <v>2143</v>
      </c>
      <c r="I86" s="196" t="s">
        <v>160</v>
      </c>
      <c r="J86" s="199">
        <v>1113</v>
      </c>
      <c r="K86" s="199">
        <v>1129</v>
      </c>
      <c r="L86" s="252">
        <v>1125</v>
      </c>
      <c r="M86" s="249">
        <v>1</v>
      </c>
      <c r="N86" s="200">
        <v>0</v>
      </c>
      <c r="O86" s="253"/>
      <c r="P86" s="251">
        <v>2143</v>
      </c>
      <c r="Q86" s="254">
        <v>0.6</v>
      </c>
      <c r="R86" s="213">
        <v>0.2</v>
      </c>
      <c r="S86" s="213">
        <v>0.1</v>
      </c>
      <c r="T86" s="213">
        <v>0.1</v>
      </c>
      <c r="U86" s="213">
        <v>0.2</v>
      </c>
      <c r="V86" s="213">
        <v>0.2</v>
      </c>
      <c r="W86" s="213" t="s">
        <v>84</v>
      </c>
      <c r="X86" s="214"/>
      <c r="Y86" s="251">
        <v>2143</v>
      </c>
      <c r="Z86" s="213">
        <v>0</v>
      </c>
      <c r="AA86" s="213">
        <v>0.1</v>
      </c>
      <c r="AB86" s="213">
        <v>0.1</v>
      </c>
      <c r="AC86" s="213">
        <v>0</v>
      </c>
      <c r="AD86" s="213">
        <v>0.2</v>
      </c>
      <c r="AE86" s="213">
        <v>0.2</v>
      </c>
      <c r="AF86" s="213" t="s">
        <v>84</v>
      </c>
      <c r="AG86" s="214"/>
      <c r="AH86" s="251">
        <v>2143</v>
      </c>
      <c r="AI86" s="254">
        <v>-0.6</v>
      </c>
      <c r="AJ86" s="254">
        <v>-0.1</v>
      </c>
      <c r="AK86" s="254" t="s">
        <v>82</v>
      </c>
      <c r="AL86" s="254">
        <v>-0.1</v>
      </c>
      <c r="AM86" s="254" t="s">
        <v>82</v>
      </c>
      <c r="AN86" s="254" t="s">
        <v>82</v>
      </c>
      <c r="AO86" s="254" t="s">
        <v>82</v>
      </c>
    </row>
    <row customFormat="1" r="87" s="205" spans="1:41" x14ac:dyDescent="0.2">
      <c r="A87" s="249">
        <v>83</v>
      </c>
      <c r="B87" s="195">
        <v>2</v>
      </c>
      <c r="C87" s="195" t="s">
        <v>138</v>
      </c>
      <c r="D87" s="195">
        <v>7</v>
      </c>
      <c r="E87" s="195" t="s">
        <v>158</v>
      </c>
      <c r="F87" s="196">
        <v>44546</v>
      </c>
      <c r="G87" s="250" t="s">
        <v>7</v>
      </c>
      <c r="H87" s="251">
        <v>2151</v>
      </c>
      <c r="I87" s="196" t="s">
        <v>570</v>
      </c>
      <c r="J87" s="199">
        <v>1453</v>
      </c>
      <c r="K87" s="199">
        <v>1643</v>
      </c>
      <c r="L87" s="252">
        <v>1529</v>
      </c>
      <c r="M87" s="249">
        <v>1</v>
      </c>
      <c r="N87" s="200">
        <v>0</v>
      </c>
      <c r="O87" s="253"/>
      <c r="P87" s="251">
        <v>2151</v>
      </c>
      <c r="Q87" s="254">
        <v>2.6</v>
      </c>
      <c r="R87" s="213">
        <v>1.6</v>
      </c>
      <c r="S87" s="213">
        <v>1.4</v>
      </c>
      <c r="T87" s="213">
        <v>0.2</v>
      </c>
      <c r="U87" s="213">
        <v>1.9</v>
      </c>
      <c r="V87" s="213">
        <v>1.9</v>
      </c>
      <c r="W87" s="213" t="s">
        <v>84</v>
      </c>
      <c r="X87" s="214"/>
      <c r="Y87" s="251">
        <v>2151</v>
      </c>
      <c r="Z87" s="213">
        <v>0.1</v>
      </c>
      <c r="AA87" s="213">
        <v>1.4</v>
      </c>
      <c r="AB87" s="213">
        <v>1.4</v>
      </c>
      <c r="AC87" s="213">
        <v>0</v>
      </c>
      <c r="AD87" s="213">
        <v>1.9</v>
      </c>
      <c r="AE87" s="213">
        <v>1.9</v>
      </c>
      <c r="AF87" s="213" t="s">
        <v>84</v>
      </c>
      <c r="AG87" s="214"/>
      <c r="AH87" s="251">
        <v>2151</v>
      </c>
      <c r="AI87" s="254">
        <v>-2.5</v>
      </c>
      <c r="AJ87" s="254">
        <v>-0.20000000000000018</v>
      </c>
      <c r="AK87" s="254" t="s">
        <v>82</v>
      </c>
      <c r="AL87" s="254">
        <v>-0.2</v>
      </c>
      <c r="AM87" s="254" t="s">
        <v>82</v>
      </c>
      <c r="AN87" s="254" t="s">
        <v>82</v>
      </c>
      <c r="AO87" s="254" t="s">
        <v>82</v>
      </c>
    </row>
    <row customFormat="1" r="88" s="205" spans="1:41" x14ac:dyDescent="0.2">
      <c r="A88" s="249">
        <v>84</v>
      </c>
      <c r="B88" s="195">
        <v>3</v>
      </c>
      <c r="C88" s="195" t="s">
        <v>166</v>
      </c>
      <c r="D88" s="195">
        <v>1</v>
      </c>
      <c r="E88" s="195" t="s">
        <v>167</v>
      </c>
      <c r="F88" s="196">
        <v>44452</v>
      </c>
      <c r="G88" s="250" t="s">
        <v>4</v>
      </c>
      <c r="H88" s="251">
        <v>2138</v>
      </c>
      <c r="I88" s="196" t="s">
        <v>168</v>
      </c>
      <c r="J88" s="199">
        <v>1548</v>
      </c>
      <c r="K88" s="199">
        <v>1648</v>
      </c>
      <c r="L88" s="252">
        <v>1557</v>
      </c>
      <c r="M88" s="249">
        <v>1</v>
      </c>
      <c r="N88" s="200">
        <v>0</v>
      </c>
      <c r="O88" s="253"/>
      <c r="P88" s="251">
        <v>2138</v>
      </c>
      <c r="Q88" s="254">
        <v>3.8</v>
      </c>
      <c r="R88" s="213">
        <v>2.8</v>
      </c>
      <c r="S88" s="213">
        <v>2.2000000000000002</v>
      </c>
      <c r="T88" s="213">
        <v>0.6</v>
      </c>
      <c r="U88" s="213">
        <v>2.1</v>
      </c>
      <c r="V88" s="213">
        <v>2.1</v>
      </c>
      <c r="W88" s="213" t="s">
        <v>84</v>
      </c>
      <c r="X88" s="214"/>
      <c r="Y88" s="251">
        <v>2138</v>
      </c>
      <c r="Z88" s="213">
        <v>0.2</v>
      </c>
      <c r="AA88" s="213">
        <v>2.6</v>
      </c>
      <c r="AB88" s="213">
        <v>2.2000000000000002</v>
      </c>
      <c r="AC88" s="213">
        <v>0.4</v>
      </c>
      <c r="AD88" s="213">
        <v>2.1</v>
      </c>
      <c r="AE88" s="213">
        <v>2.1</v>
      </c>
      <c r="AF88" s="213" t="s">
        <v>84</v>
      </c>
      <c r="AG88" s="214"/>
      <c r="AH88" s="251">
        <v>2138</v>
      </c>
      <c r="AI88" s="254">
        <v>-3.5999999999999996</v>
      </c>
      <c r="AJ88" s="254">
        <v>-0.19999999999999973</v>
      </c>
      <c r="AK88" s="254" t="s">
        <v>82</v>
      </c>
      <c r="AL88" s="254">
        <v>-0.19999999999999996</v>
      </c>
      <c r="AM88" s="254" t="s">
        <v>82</v>
      </c>
      <c r="AN88" s="254" t="s">
        <v>82</v>
      </c>
      <c r="AO88" s="254" t="s">
        <v>82</v>
      </c>
    </row>
    <row customFormat="1" r="89" s="205" spans="1:41" x14ac:dyDescent="0.2">
      <c r="A89" s="249">
        <v>85</v>
      </c>
      <c r="B89" s="195">
        <v>3</v>
      </c>
      <c r="C89" s="195" t="s">
        <v>166</v>
      </c>
      <c r="D89" s="195">
        <v>1</v>
      </c>
      <c r="E89" s="195" t="s">
        <v>167</v>
      </c>
      <c r="F89" s="196">
        <v>44458</v>
      </c>
      <c r="G89" s="250" t="s">
        <v>10</v>
      </c>
      <c r="H89" s="251">
        <v>2138</v>
      </c>
      <c r="I89" s="196" t="s">
        <v>571</v>
      </c>
      <c r="J89" s="199">
        <v>2834</v>
      </c>
      <c r="K89" s="199">
        <v>2839</v>
      </c>
      <c r="L89" s="252">
        <v>2838</v>
      </c>
      <c r="M89" s="249">
        <v>0</v>
      </c>
      <c r="N89" s="200">
        <v>0</v>
      </c>
      <c r="O89" s="253"/>
      <c r="P89" s="251">
        <v>2138</v>
      </c>
      <c r="Q89" s="254">
        <v>2.1</v>
      </c>
      <c r="R89" s="255"/>
      <c r="S89" s="255"/>
      <c r="T89" s="255"/>
      <c r="U89" s="255"/>
      <c r="V89" s="255"/>
      <c r="W89" s="255"/>
      <c r="X89" s="214"/>
      <c r="Y89" s="251">
        <v>2138</v>
      </c>
      <c r="Z89" s="213">
        <v>0</v>
      </c>
      <c r="AA89" s="255"/>
      <c r="AB89" s="255"/>
      <c r="AC89" s="255"/>
      <c r="AD89" s="255"/>
      <c r="AE89" s="255"/>
      <c r="AF89" s="255"/>
      <c r="AG89" s="214"/>
      <c r="AH89" s="251">
        <v>2138</v>
      </c>
      <c r="AI89" s="254">
        <v>-2.1</v>
      </c>
      <c r="AJ89" s="254" t="s">
        <v>82</v>
      </c>
      <c r="AK89" s="254" t="s">
        <v>82</v>
      </c>
      <c r="AL89" s="254" t="s">
        <v>82</v>
      </c>
      <c r="AM89" s="254" t="s">
        <v>82</v>
      </c>
      <c r="AN89" s="254" t="s">
        <v>82</v>
      </c>
      <c r="AO89" s="254" t="s">
        <v>82</v>
      </c>
    </row>
    <row customFormat="1" r="90" s="205" spans="1:41" x14ac:dyDescent="0.2">
      <c r="A90" s="249">
        <v>86</v>
      </c>
      <c r="B90" s="195">
        <v>3</v>
      </c>
      <c r="C90" s="195" t="s">
        <v>166</v>
      </c>
      <c r="D90" s="195">
        <v>1</v>
      </c>
      <c r="E90" s="195" t="s">
        <v>167</v>
      </c>
      <c r="F90" s="196">
        <v>44488</v>
      </c>
      <c r="G90" s="250" t="s">
        <v>5</v>
      </c>
      <c r="H90" s="251">
        <v>2143</v>
      </c>
      <c r="I90" s="196" t="s">
        <v>170</v>
      </c>
      <c r="J90" s="199">
        <v>1545</v>
      </c>
      <c r="K90" s="199">
        <v>1649</v>
      </c>
      <c r="L90" s="252">
        <v>1612</v>
      </c>
      <c r="M90" s="249">
        <v>1</v>
      </c>
      <c r="N90" s="200">
        <v>0</v>
      </c>
      <c r="O90" s="253"/>
      <c r="P90" s="251">
        <v>2143</v>
      </c>
      <c r="Q90" s="254">
        <v>11</v>
      </c>
      <c r="R90" s="213">
        <v>1.6</v>
      </c>
      <c r="S90" s="213">
        <v>0.8</v>
      </c>
      <c r="T90" s="213">
        <v>0.8</v>
      </c>
      <c r="U90" s="213">
        <v>0.8</v>
      </c>
      <c r="V90" s="213">
        <v>0.8</v>
      </c>
      <c r="W90" s="213" t="s">
        <v>84</v>
      </c>
      <c r="X90" s="214"/>
      <c r="Y90" s="251">
        <v>2143</v>
      </c>
      <c r="Z90" s="213">
        <v>0</v>
      </c>
      <c r="AA90" s="213">
        <v>0.8</v>
      </c>
      <c r="AB90" s="213">
        <v>0.8</v>
      </c>
      <c r="AC90" s="213">
        <v>0</v>
      </c>
      <c r="AD90" s="213">
        <v>0.8</v>
      </c>
      <c r="AE90" s="213">
        <v>0.8</v>
      </c>
      <c r="AF90" s="213" t="s">
        <v>84</v>
      </c>
      <c r="AG90" s="214"/>
      <c r="AH90" s="251">
        <v>2143</v>
      </c>
      <c r="AI90" s="254">
        <v>-11</v>
      </c>
      <c r="AJ90" s="254">
        <v>-0.8</v>
      </c>
      <c r="AK90" s="254" t="s">
        <v>82</v>
      </c>
      <c r="AL90" s="254">
        <v>-0.8</v>
      </c>
      <c r="AM90" s="254" t="s">
        <v>82</v>
      </c>
      <c r="AN90" s="254" t="s">
        <v>82</v>
      </c>
      <c r="AO90" s="254" t="s">
        <v>82</v>
      </c>
    </row>
    <row customFormat="1" r="91" s="205" spans="1:41" x14ac:dyDescent="0.2">
      <c r="A91" s="249">
        <v>87</v>
      </c>
      <c r="B91" s="195">
        <v>3</v>
      </c>
      <c r="C91" s="195" t="s">
        <v>166</v>
      </c>
      <c r="D91" s="195">
        <v>1</v>
      </c>
      <c r="E91" s="195" t="s">
        <v>167</v>
      </c>
      <c r="F91" s="196">
        <v>44574</v>
      </c>
      <c r="G91" s="250" t="s">
        <v>7</v>
      </c>
      <c r="H91" s="251">
        <v>2203</v>
      </c>
      <c r="I91" s="196" t="s">
        <v>330</v>
      </c>
      <c r="J91" s="199">
        <v>1155</v>
      </c>
      <c r="K91" s="199">
        <v>1444</v>
      </c>
      <c r="L91" s="252">
        <v>1238</v>
      </c>
      <c r="M91" s="249">
        <v>0</v>
      </c>
      <c r="N91" s="200">
        <v>0</v>
      </c>
      <c r="O91" s="253"/>
      <c r="P91" s="251">
        <v>2203</v>
      </c>
      <c r="Q91" s="254">
        <v>1</v>
      </c>
      <c r="R91" s="255"/>
      <c r="S91" s="255"/>
      <c r="T91" s="255"/>
      <c r="U91" s="255"/>
      <c r="V91" s="255"/>
      <c r="W91" s="255"/>
      <c r="X91" s="214"/>
      <c r="Y91" s="251">
        <v>2203</v>
      </c>
      <c r="Z91" s="213">
        <v>0</v>
      </c>
      <c r="AA91" s="255"/>
      <c r="AB91" s="255"/>
      <c r="AC91" s="255"/>
      <c r="AD91" s="255"/>
      <c r="AE91" s="255"/>
      <c r="AF91" s="255"/>
      <c r="AG91" s="214"/>
      <c r="AH91" s="251">
        <v>2203</v>
      </c>
      <c r="AI91" s="254">
        <v>-1</v>
      </c>
      <c r="AJ91" s="254" t="s">
        <v>82</v>
      </c>
      <c r="AK91" s="254" t="s">
        <v>82</v>
      </c>
      <c r="AL91" s="254" t="s">
        <v>82</v>
      </c>
      <c r="AM91" s="254" t="s">
        <v>82</v>
      </c>
      <c r="AN91" s="254" t="s">
        <v>82</v>
      </c>
      <c r="AO91" s="254" t="s">
        <v>82</v>
      </c>
    </row>
    <row customFormat="1" r="92" s="205" spans="1:41" x14ac:dyDescent="0.2">
      <c r="A92" s="249">
        <v>88</v>
      </c>
      <c r="B92" s="195">
        <v>3</v>
      </c>
      <c r="C92" s="195" t="s">
        <v>166</v>
      </c>
      <c r="D92" s="195">
        <v>1</v>
      </c>
      <c r="E92" s="195" t="s">
        <v>167</v>
      </c>
      <c r="F92" s="196">
        <v>44624</v>
      </c>
      <c r="G92" s="250" t="s">
        <v>8</v>
      </c>
      <c r="H92" s="251">
        <v>2210</v>
      </c>
      <c r="I92" s="196" t="s">
        <v>330</v>
      </c>
      <c r="J92" s="199">
        <v>1155</v>
      </c>
      <c r="K92" s="199">
        <v>1444</v>
      </c>
      <c r="L92" s="252">
        <v>1249</v>
      </c>
      <c r="M92" s="249">
        <v>0</v>
      </c>
      <c r="N92" s="200">
        <v>0</v>
      </c>
      <c r="O92" s="253"/>
      <c r="P92" s="251">
        <v>2210</v>
      </c>
      <c r="Q92" s="254">
        <v>0.9</v>
      </c>
      <c r="R92" s="255"/>
      <c r="S92" s="255"/>
      <c r="T92" s="255"/>
      <c r="U92" s="255"/>
      <c r="V92" s="255"/>
      <c r="W92" s="255"/>
      <c r="X92" s="214"/>
      <c r="Y92" s="251">
        <v>2210</v>
      </c>
      <c r="Z92" s="213">
        <v>0.1</v>
      </c>
      <c r="AA92" s="255"/>
      <c r="AB92" s="255"/>
      <c r="AC92" s="255"/>
      <c r="AD92" s="255"/>
      <c r="AE92" s="255"/>
      <c r="AF92" s="255"/>
      <c r="AG92" s="214"/>
      <c r="AH92" s="251">
        <v>2210</v>
      </c>
      <c r="AI92" s="254">
        <v>-0.8</v>
      </c>
      <c r="AJ92" s="254" t="s">
        <v>82</v>
      </c>
      <c r="AK92" s="254" t="s">
        <v>82</v>
      </c>
      <c r="AL92" s="254" t="s">
        <v>82</v>
      </c>
      <c r="AM92" s="254" t="s">
        <v>82</v>
      </c>
      <c r="AN92" s="254" t="s">
        <v>82</v>
      </c>
      <c r="AO92" s="254" t="s">
        <v>82</v>
      </c>
    </row>
    <row customFormat="1" r="93" s="205" spans="1:41" x14ac:dyDescent="0.2">
      <c r="A93" s="249">
        <v>89</v>
      </c>
      <c r="B93" s="195">
        <v>3</v>
      </c>
      <c r="C93" s="195" t="s">
        <v>166</v>
      </c>
      <c r="D93" s="195">
        <v>2</v>
      </c>
      <c r="E93" s="195" t="s">
        <v>572</v>
      </c>
      <c r="F93" s="196">
        <v>43497</v>
      </c>
      <c r="G93" s="250" t="s">
        <v>8</v>
      </c>
      <c r="H93" s="251">
        <v>1905</v>
      </c>
      <c r="I93" s="196" t="s">
        <v>573</v>
      </c>
      <c r="J93" s="199">
        <v>1557</v>
      </c>
      <c r="K93" s="199">
        <v>1649</v>
      </c>
      <c r="L93" s="252">
        <v>1639</v>
      </c>
      <c r="M93" s="249">
        <v>0</v>
      </c>
      <c r="N93" s="200">
        <v>0</v>
      </c>
      <c r="O93" s="253"/>
      <c r="P93" s="251">
        <v>1905</v>
      </c>
      <c r="Q93" s="254">
        <v>1.6</v>
      </c>
      <c r="R93" s="255"/>
      <c r="S93" s="255"/>
      <c r="T93" s="255"/>
      <c r="U93" s="255"/>
      <c r="V93" s="255"/>
      <c r="W93" s="255"/>
      <c r="X93" s="214"/>
      <c r="Y93" s="251">
        <v>1905</v>
      </c>
      <c r="Z93" s="213">
        <v>0.1</v>
      </c>
      <c r="AA93" s="255"/>
      <c r="AB93" s="255"/>
      <c r="AC93" s="255"/>
      <c r="AD93" s="255"/>
      <c r="AE93" s="255"/>
      <c r="AF93" s="255"/>
      <c r="AG93" s="214"/>
      <c r="AH93" s="251">
        <v>1905</v>
      </c>
      <c r="AI93" s="254">
        <v>-1.5</v>
      </c>
      <c r="AJ93" s="254" t="s">
        <v>82</v>
      </c>
      <c r="AK93" s="254" t="s">
        <v>82</v>
      </c>
      <c r="AL93" s="254" t="s">
        <v>82</v>
      </c>
      <c r="AM93" s="254" t="s">
        <v>82</v>
      </c>
      <c r="AN93" s="254" t="s">
        <v>82</v>
      </c>
      <c r="AO93" s="254" t="s">
        <v>82</v>
      </c>
    </row>
    <row customFormat="1" r="94" s="205" spans="1:41" x14ac:dyDescent="0.2">
      <c r="A94" s="249">
        <v>90</v>
      </c>
      <c r="B94" s="195">
        <v>3</v>
      </c>
      <c r="C94" s="195" t="s">
        <v>166</v>
      </c>
      <c r="D94" s="195">
        <v>2</v>
      </c>
      <c r="E94" s="195" t="s">
        <v>572</v>
      </c>
      <c r="F94" s="196">
        <v>44023</v>
      </c>
      <c r="G94" s="250" t="s">
        <v>9</v>
      </c>
      <c r="H94" s="251">
        <v>2028</v>
      </c>
      <c r="I94" s="196" t="s">
        <v>447</v>
      </c>
      <c r="J94" s="199">
        <v>2458</v>
      </c>
      <c r="K94" s="199">
        <v>2527</v>
      </c>
      <c r="L94" s="252">
        <v>2526</v>
      </c>
      <c r="M94" s="249">
        <v>0</v>
      </c>
      <c r="N94" s="200">
        <v>0</v>
      </c>
      <c r="O94" s="253"/>
      <c r="P94" s="251">
        <v>2028</v>
      </c>
      <c r="Q94" s="254">
        <v>8.3000000000000007</v>
      </c>
      <c r="R94" s="255"/>
      <c r="S94" s="255"/>
      <c r="T94" s="255"/>
      <c r="U94" s="255"/>
      <c r="V94" s="255"/>
      <c r="W94" s="255"/>
      <c r="X94" s="214"/>
      <c r="Y94" s="251">
        <v>2028</v>
      </c>
      <c r="Z94" s="213">
        <v>4.7</v>
      </c>
      <c r="AA94" s="255"/>
      <c r="AB94" s="255"/>
      <c r="AC94" s="255"/>
      <c r="AD94" s="255"/>
      <c r="AE94" s="255"/>
      <c r="AF94" s="255"/>
      <c r="AG94" s="214"/>
      <c r="AH94" s="251">
        <v>2028</v>
      </c>
      <c r="AI94" s="254">
        <v>-3.6000000000000005</v>
      </c>
      <c r="AJ94" s="254" t="s">
        <v>82</v>
      </c>
      <c r="AK94" s="254" t="s">
        <v>82</v>
      </c>
      <c r="AL94" s="254" t="s">
        <v>82</v>
      </c>
      <c r="AM94" s="254" t="s">
        <v>82</v>
      </c>
      <c r="AN94" s="254" t="s">
        <v>82</v>
      </c>
      <c r="AO94" s="254" t="s">
        <v>82</v>
      </c>
    </row>
    <row customFormat="1" r="95" s="205" spans="1:41" x14ac:dyDescent="0.2">
      <c r="A95" s="249">
        <v>91</v>
      </c>
      <c r="B95" s="195">
        <v>3</v>
      </c>
      <c r="C95" s="195" t="s">
        <v>166</v>
      </c>
      <c r="D95" s="195">
        <v>2</v>
      </c>
      <c r="E95" s="195" t="s">
        <v>572</v>
      </c>
      <c r="F95" s="196">
        <v>44585</v>
      </c>
      <c r="G95" s="250" t="s">
        <v>4</v>
      </c>
      <c r="H95" s="251">
        <v>2205</v>
      </c>
      <c r="I95" s="196" t="s">
        <v>574</v>
      </c>
      <c r="J95" s="199">
        <v>955</v>
      </c>
      <c r="K95" s="199">
        <v>1024</v>
      </c>
      <c r="L95" s="252">
        <v>1022</v>
      </c>
      <c r="M95" s="249">
        <v>0</v>
      </c>
      <c r="N95" s="200">
        <v>0</v>
      </c>
      <c r="O95" s="253"/>
      <c r="P95" s="251">
        <v>2205</v>
      </c>
      <c r="Q95" s="254">
        <v>0.7</v>
      </c>
      <c r="R95" s="255"/>
      <c r="S95" s="255"/>
      <c r="T95" s="255"/>
      <c r="U95" s="255"/>
      <c r="V95" s="255"/>
      <c r="W95" s="255"/>
      <c r="X95" s="214"/>
      <c r="Y95" s="251">
        <v>2205</v>
      </c>
      <c r="Z95" s="213">
        <v>0</v>
      </c>
      <c r="AA95" s="255"/>
      <c r="AB95" s="255"/>
      <c r="AC95" s="255"/>
      <c r="AD95" s="255"/>
      <c r="AE95" s="255"/>
      <c r="AF95" s="255"/>
      <c r="AG95" s="214"/>
      <c r="AH95" s="251">
        <v>2205</v>
      </c>
      <c r="AI95" s="254">
        <v>-0.7</v>
      </c>
      <c r="AJ95" s="254" t="s">
        <v>82</v>
      </c>
      <c r="AK95" s="254" t="s">
        <v>82</v>
      </c>
      <c r="AL95" s="254" t="s">
        <v>82</v>
      </c>
      <c r="AM95" s="254" t="s">
        <v>82</v>
      </c>
      <c r="AN95" s="254" t="s">
        <v>82</v>
      </c>
      <c r="AO95" s="254" t="s">
        <v>82</v>
      </c>
    </row>
    <row customFormat="1" r="96" s="205" spans="1:41" x14ac:dyDescent="0.2">
      <c r="A96" s="249">
        <v>92</v>
      </c>
      <c r="B96" s="195">
        <v>3</v>
      </c>
      <c r="C96" s="195" t="s">
        <v>166</v>
      </c>
      <c r="D96" s="195">
        <v>3</v>
      </c>
      <c r="E96" s="195" t="s">
        <v>575</v>
      </c>
      <c r="F96" s="196">
        <v>43366</v>
      </c>
      <c r="G96" s="250" t="s">
        <v>10</v>
      </c>
      <c r="H96" s="251">
        <v>1838</v>
      </c>
      <c r="I96" s="196" t="s">
        <v>576</v>
      </c>
      <c r="J96" s="199">
        <v>1000</v>
      </c>
      <c r="K96" s="199">
        <v>1144</v>
      </c>
      <c r="L96" s="252">
        <v>1135</v>
      </c>
      <c r="M96" s="249">
        <v>0</v>
      </c>
      <c r="N96" s="200">
        <v>0</v>
      </c>
      <c r="O96" s="253"/>
      <c r="P96" s="251">
        <v>1838</v>
      </c>
      <c r="Q96" s="254">
        <v>1.6</v>
      </c>
      <c r="R96" s="255"/>
      <c r="S96" s="255"/>
      <c r="T96" s="255"/>
      <c r="U96" s="255"/>
      <c r="V96" s="255"/>
      <c r="W96" s="255"/>
      <c r="X96" s="214"/>
      <c r="Y96" s="251">
        <v>1838</v>
      </c>
      <c r="Z96" s="213">
        <v>0.1</v>
      </c>
      <c r="AA96" s="255"/>
      <c r="AB96" s="255"/>
      <c r="AC96" s="255"/>
      <c r="AD96" s="255"/>
      <c r="AE96" s="255"/>
      <c r="AF96" s="255"/>
      <c r="AG96" s="214"/>
      <c r="AH96" s="251">
        <v>1838</v>
      </c>
      <c r="AI96" s="254">
        <v>-1.5</v>
      </c>
      <c r="AJ96" s="254" t="s">
        <v>82</v>
      </c>
      <c r="AK96" s="254" t="s">
        <v>82</v>
      </c>
      <c r="AL96" s="254" t="s">
        <v>82</v>
      </c>
      <c r="AM96" s="254" t="s">
        <v>82</v>
      </c>
      <c r="AN96" s="254" t="s">
        <v>82</v>
      </c>
      <c r="AO96" s="254" t="s">
        <v>82</v>
      </c>
    </row>
    <row customFormat="1" r="97" s="205" spans="1:41" x14ac:dyDescent="0.2">
      <c r="A97" s="249">
        <v>93</v>
      </c>
      <c r="B97" s="195">
        <v>3</v>
      </c>
      <c r="C97" s="195" t="s">
        <v>166</v>
      </c>
      <c r="D97" s="195">
        <v>4</v>
      </c>
      <c r="E97" s="195" t="s">
        <v>549</v>
      </c>
      <c r="F97" s="196">
        <v>44398</v>
      </c>
      <c r="G97" s="250" t="s">
        <v>6</v>
      </c>
      <c r="H97" s="251">
        <v>2130</v>
      </c>
      <c r="I97" s="196" t="s">
        <v>577</v>
      </c>
      <c r="J97" s="199">
        <v>2315</v>
      </c>
      <c r="K97" s="199">
        <v>2319</v>
      </c>
      <c r="L97" s="252">
        <v>2319</v>
      </c>
      <c r="M97" s="249">
        <v>0</v>
      </c>
      <c r="N97" s="200">
        <v>1</v>
      </c>
      <c r="O97" s="253"/>
      <c r="P97" s="251">
        <v>2130</v>
      </c>
      <c r="Q97" s="254">
        <v>1.2</v>
      </c>
      <c r="R97" s="255"/>
      <c r="S97" s="255"/>
      <c r="T97" s="255"/>
      <c r="U97" s="255"/>
      <c r="V97" s="255"/>
      <c r="W97" s="255"/>
      <c r="X97" s="214"/>
      <c r="Y97" s="251">
        <v>2130</v>
      </c>
      <c r="Z97" s="213">
        <v>0</v>
      </c>
      <c r="AA97" s="255"/>
      <c r="AB97" s="255"/>
      <c r="AC97" s="255"/>
      <c r="AD97" s="255"/>
      <c r="AE97" s="255"/>
      <c r="AF97" s="255"/>
      <c r="AG97" s="214"/>
      <c r="AH97" s="251">
        <v>2130</v>
      </c>
      <c r="AI97" s="254">
        <v>-1.2</v>
      </c>
      <c r="AJ97" s="254" t="s">
        <v>82</v>
      </c>
      <c r="AK97" s="254" t="s">
        <v>82</v>
      </c>
      <c r="AL97" s="254" t="s">
        <v>82</v>
      </c>
      <c r="AM97" s="254" t="s">
        <v>82</v>
      </c>
      <c r="AN97" s="254" t="s">
        <v>82</v>
      </c>
      <c r="AO97" s="254" t="s">
        <v>82</v>
      </c>
    </row>
    <row customFormat="1" r="98" s="205" spans="1:41" x14ac:dyDescent="0.2">
      <c r="A98" s="249">
        <v>94</v>
      </c>
      <c r="B98" s="195">
        <v>3</v>
      </c>
      <c r="C98" s="195" t="s">
        <v>166</v>
      </c>
      <c r="D98" s="195">
        <v>4</v>
      </c>
      <c r="E98" s="195" t="s">
        <v>549</v>
      </c>
      <c r="F98" s="196">
        <v>44445</v>
      </c>
      <c r="G98" s="250" t="s">
        <v>4</v>
      </c>
      <c r="H98" s="251">
        <v>2137</v>
      </c>
      <c r="I98" s="196" t="s">
        <v>578</v>
      </c>
      <c r="J98" s="199">
        <v>1930</v>
      </c>
      <c r="K98" s="199">
        <v>1959</v>
      </c>
      <c r="L98" s="252">
        <v>1934</v>
      </c>
      <c r="M98" s="249">
        <v>0</v>
      </c>
      <c r="N98" s="200">
        <v>0</v>
      </c>
      <c r="O98" s="253"/>
      <c r="P98" s="251">
        <v>2137</v>
      </c>
      <c r="Q98" s="254">
        <v>5.5</v>
      </c>
      <c r="R98" s="255"/>
      <c r="S98" s="255"/>
      <c r="T98" s="255"/>
      <c r="U98" s="255"/>
      <c r="V98" s="255"/>
      <c r="W98" s="255"/>
      <c r="X98" s="214"/>
      <c r="Y98" s="251">
        <v>2137</v>
      </c>
      <c r="Z98" s="213">
        <v>0.1</v>
      </c>
      <c r="AA98" s="255"/>
      <c r="AB98" s="255"/>
      <c r="AC98" s="255"/>
      <c r="AD98" s="255"/>
      <c r="AE98" s="255"/>
      <c r="AF98" s="255"/>
      <c r="AG98" s="214"/>
      <c r="AH98" s="251">
        <v>2137</v>
      </c>
      <c r="AI98" s="254">
        <v>-5.4</v>
      </c>
      <c r="AJ98" s="254" t="s">
        <v>82</v>
      </c>
      <c r="AK98" s="254" t="s">
        <v>82</v>
      </c>
      <c r="AL98" s="254" t="s">
        <v>82</v>
      </c>
      <c r="AM98" s="254" t="s">
        <v>82</v>
      </c>
      <c r="AN98" s="254" t="s">
        <v>82</v>
      </c>
      <c r="AO98" s="254" t="s">
        <v>82</v>
      </c>
    </row>
    <row customFormat="1" r="99" s="205" spans="1:41" x14ac:dyDescent="0.2">
      <c r="A99" s="249">
        <v>95</v>
      </c>
      <c r="B99" s="195">
        <v>3</v>
      </c>
      <c r="C99" s="195" t="s">
        <v>166</v>
      </c>
      <c r="D99" s="195">
        <v>4</v>
      </c>
      <c r="E99" s="195" t="s">
        <v>549</v>
      </c>
      <c r="F99" s="196">
        <v>44595</v>
      </c>
      <c r="G99" s="250" t="s">
        <v>7</v>
      </c>
      <c r="H99" s="251">
        <v>2206</v>
      </c>
      <c r="I99" s="196" t="s">
        <v>567</v>
      </c>
      <c r="J99" s="199">
        <v>2813</v>
      </c>
      <c r="K99" s="199">
        <v>2834</v>
      </c>
      <c r="L99" s="252">
        <v>2827</v>
      </c>
      <c r="M99" s="249">
        <v>0</v>
      </c>
      <c r="N99" s="200">
        <v>0</v>
      </c>
      <c r="O99" s="253"/>
      <c r="P99" s="251">
        <v>2206</v>
      </c>
      <c r="Q99" s="254">
        <v>1.6</v>
      </c>
      <c r="R99" s="255"/>
      <c r="S99" s="255"/>
      <c r="T99" s="255"/>
      <c r="U99" s="255"/>
      <c r="V99" s="255"/>
      <c r="W99" s="255"/>
      <c r="X99" s="214"/>
      <c r="Y99" s="251">
        <v>2206</v>
      </c>
      <c r="Z99" s="213">
        <v>0</v>
      </c>
      <c r="AA99" s="255"/>
      <c r="AB99" s="255"/>
      <c r="AC99" s="255"/>
      <c r="AD99" s="255"/>
      <c r="AE99" s="255"/>
      <c r="AF99" s="255"/>
      <c r="AG99" s="214"/>
      <c r="AH99" s="251">
        <v>2206</v>
      </c>
      <c r="AI99" s="254">
        <v>-1.6</v>
      </c>
      <c r="AJ99" s="254" t="s">
        <v>82</v>
      </c>
      <c r="AK99" s="254" t="s">
        <v>82</v>
      </c>
      <c r="AL99" s="254" t="s">
        <v>82</v>
      </c>
      <c r="AM99" s="254" t="s">
        <v>82</v>
      </c>
      <c r="AN99" s="254" t="s">
        <v>82</v>
      </c>
      <c r="AO99" s="254" t="s">
        <v>82</v>
      </c>
    </row>
    <row customFormat="1" r="100" s="205" spans="1:41" x14ac:dyDescent="0.2">
      <c r="A100" s="249">
        <v>96</v>
      </c>
      <c r="B100" s="195">
        <v>3</v>
      </c>
      <c r="C100" s="195" t="s">
        <v>166</v>
      </c>
      <c r="D100" s="195">
        <v>5</v>
      </c>
      <c r="E100" s="195" t="s">
        <v>553</v>
      </c>
      <c r="F100" s="196">
        <v>44459</v>
      </c>
      <c r="G100" s="250" t="s">
        <v>4</v>
      </c>
      <c r="H100" s="251">
        <v>2139</v>
      </c>
      <c r="I100" s="196" t="s">
        <v>579</v>
      </c>
      <c r="J100" s="199">
        <v>1350</v>
      </c>
      <c r="K100" s="199">
        <v>1359</v>
      </c>
      <c r="L100" s="252">
        <v>1354</v>
      </c>
      <c r="M100" s="249">
        <v>0</v>
      </c>
      <c r="N100" s="200">
        <v>0</v>
      </c>
      <c r="O100" s="253"/>
      <c r="P100" s="251">
        <v>2139</v>
      </c>
      <c r="Q100" s="254">
        <v>2.7</v>
      </c>
      <c r="R100" s="255"/>
      <c r="S100" s="255"/>
      <c r="T100" s="255"/>
      <c r="U100" s="255"/>
      <c r="V100" s="255"/>
      <c r="W100" s="255"/>
      <c r="X100" s="214"/>
      <c r="Y100" s="251">
        <v>2139</v>
      </c>
      <c r="Z100" s="213">
        <v>0</v>
      </c>
      <c r="AA100" s="255"/>
      <c r="AB100" s="255"/>
      <c r="AC100" s="255"/>
      <c r="AD100" s="255"/>
      <c r="AE100" s="255"/>
      <c r="AF100" s="255"/>
      <c r="AG100" s="214"/>
      <c r="AH100" s="251">
        <v>2139</v>
      </c>
      <c r="AI100" s="254">
        <v>-2.7</v>
      </c>
      <c r="AJ100" s="254" t="s">
        <v>82</v>
      </c>
      <c r="AK100" s="254" t="s">
        <v>82</v>
      </c>
      <c r="AL100" s="254" t="s">
        <v>82</v>
      </c>
      <c r="AM100" s="254" t="s">
        <v>82</v>
      </c>
      <c r="AN100" s="254" t="s">
        <v>82</v>
      </c>
      <c r="AO100" s="254" t="s">
        <v>82</v>
      </c>
    </row>
    <row customFormat="1" r="101" s="205" spans="1:41" x14ac:dyDescent="0.2">
      <c r="A101" s="249">
        <v>97</v>
      </c>
      <c r="B101" s="195">
        <v>3</v>
      </c>
      <c r="C101" s="195" t="s">
        <v>166</v>
      </c>
      <c r="D101" s="195">
        <v>5</v>
      </c>
      <c r="E101" s="195" t="s">
        <v>553</v>
      </c>
      <c r="F101" s="196">
        <v>44540</v>
      </c>
      <c r="G101" s="250" t="s">
        <v>8</v>
      </c>
      <c r="H101" s="251">
        <v>2150</v>
      </c>
      <c r="I101" s="196" t="s">
        <v>556</v>
      </c>
      <c r="J101" s="199">
        <v>1500</v>
      </c>
      <c r="K101" s="199">
        <v>1529</v>
      </c>
      <c r="L101" s="252">
        <v>1504</v>
      </c>
      <c r="M101" s="249">
        <v>0</v>
      </c>
      <c r="N101" s="200">
        <v>0</v>
      </c>
      <c r="O101" s="253"/>
      <c r="P101" s="251">
        <v>2150</v>
      </c>
      <c r="Q101" s="254">
        <v>1</v>
      </c>
      <c r="R101" s="255"/>
      <c r="S101" s="255"/>
      <c r="T101" s="255"/>
      <c r="U101" s="255"/>
      <c r="V101" s="255"/>
      <c r="W101" s="255"/>
      <c r="X101" s="214"/>
      <c r="Y101" s="251">
        <v>2150</v>
      </c>
      <c r="Z101" s="213">
        <v>0</v>
      </c>
      <c r="AA101" s="255"/>
      <c r="AB101" s="255"/>
      <c r="AC101" s="255"/>
      <c r="AD101" s="255"/>
      <c r="AE101" s="255"/>
      <c r="AF101" s="255"/>
      <c r="AG101" s="214"/>
      <c r="AH101" s="251">
        <v>2150</v>
      </c>
      <c r="AI101" s="254">
        <v>-1</v>
      </c>
      <c r="AJ101" s="254" t="s">
        <v>82</v>
      </c>
      <c r="AK101" s="254" t="s">
        <v>82</v>
      </c>
      <c r="AL101" s="254" t="s">
        <v>82</v>
      </c>
      <c r="AM101" s="254" t="s">
        <v>82</v>
      </c>
      <c r="AN101" s="254" t="s">
        <v>82</v>
      </c>
      <c r="AO101" s="254" t="s">
        <v>82</v>
      </c>
    </row>
    <row customFormat="1" r="102" s="205" spans="1:41" x14ac:dyDescent="0.2">
      <c r="A102" s="249">
        <v>98</v>
      </c>
      <c r="B102" s="195">
        <v>3</v>
      </c>
      <c r="C102" s="195" t="s">
        <v>166</v>
      </c>
      <c r="D102" s="195">
        <v>5</v>
      </c>
      <c r="E102" s="195" t="s">
        <v>553</v>
      </c>
      <c r="F102" s="196">
        <v>44586</v>
      </c>
      <c r="G102" s="250" t="s">
        <v>5</v>
      </c>
      <c r="H102" s="251">
        <v>2205</v>
      </c>
      <c r="I102" s="196" t="s">
        <v>580</v>
      </c>
      <c r="J102" s="199">
        <v>1855</v>
      </c>
      <c r="K102" s="199">
        <v>1924</v>
      </c>
      <c r="L102" s="252">
        <v>1922</v>
      </c>
      <c r="M102" s="249">
        <v>0</v>
      </c>
      <c r="N102" s="200">
        <v>0</v>
      </c>
      <c r="O102" s="253"/>
      <c r="P102" s="251">
        <v>2205</v>
      </c>
      <c r="Q102" s="254">
        <v>4.4000000000000004</v>
      </c>
      <c r="R102" s="255"/>
      <c r="S102" s="255"/>
      <c r="T102" s="255"/>
      <c r="U102" s="255"/>
      <c r="V102" s="255"/>
      <c r="W102" s="255"/>
      <c r="X102" s="214"/>
      <c r="Y102" s="251">
        <v>2205</v>
      </c>
      <c r="Z102" s="213">
        <v>0.1</v>
      </c>
      <c r="AA102" s="255"/>
      <c r="AB102" s="255"/>
      <c r="AC102" s="255"/>
      <c r="AD102" s="255"/>
      <c r="AE102" s="255"/>
      <c r="AF102" s="255"/>
      <c r="AG102" s="214"/>
      <c r="AH102" s="251">
        <v>2205</v>
      </c>
      <c r="AI102" s="254">
        <v>-4.3000000000000007</v>
      </c>
      <c r="AJ102" s="254" t="s">
        <v>82</v>
      </c>
      <c r="AK102" s="254" t="s">
        <v>82</v>
      </c>
      <c r="AL102" s="254" t="s">
        <v>82</v>
      </c>
      <c r="AM102" s="254" t="s">
        <v>82</v>
      </c>
      <c r="AN102" s="254" t="s">
        <v>82</v>
      </c>
      <c r="AO102" s="254" t="s">
        <v>82</v>
      </c>
    </row>
    <row customFormat="1" r="103" s="205" spans="1:41" x14ac:dyDescent="0.2">
      <c r="A103" s="249">
        <v>99</v>
      </c>
      <c r="B103" s="195">
        <v>3</v>
      </c>
      <c r="C103" s="195" t="s">
        <v>166</v>
      </c>
      <c r="D103" s="195">
        <v>5</v>
      </c>
      <c r="E103" s="195" t="s">
        <v>553</v>
      </c>
      <c r="F103" s="196">
        <v>44597</v>
      </c>
      <c r="G103" s="250" t="s">
        <v>9</v>
      </c>
      <c r="H103" s="251">
        <v>2206</v>
      </c>
      <c r="I103" s="196" t="s">
        <v>569</v>
      </c>
      <c r="J103" s="199">
        <v>1140</v>
      </c>
      <c r="K103" s="199">
        <v>1159</v>
      </c>
      <c r="L103" s="252">
        <v>1144</v>
      </c>
      <c r="M103" s="249">
        <v>0</v>
      </c>
      <c r="N103" s="200">
        <v>0</v>
      </c>
      <c r="O103" s="253"/>
      <c r="P103" s="251">
        <v>2206</v>
      </c>
      <c r="Q103" s="254">
        <v>4.4000000000000004</v>
      </c>
      <c r="R103" s="255"/>
      <c r="S103" s="255"/>
      <c r="T103" s="255"/>
      <c r="U103" s="255"/>
      <c r="V103" s="255"/>
      <c r="W103" s="255"/>
      <c r="X103" s="214"/>
      <c r="Y103" s="251">
        <v>2206</v>
      </c>
      <c r="Z103" s="213">
        <v>0</v>
      </c>
      <c r="AA103" s="255"/>
      <c r="AB103" s="255"/>
      <c r="AC103" s="255"/>
      <c r="AD103" s="255"/>
      <c r="AE103" s="255"/>
      <c r="AF103" s="255"/>
      <c r="AG103" s="214"/>
      <c r="AH103" s="251">
        <v>2206</v>
      </c>
      <c r="AI103" s="254">
        <v>-4.4000000000000004</v>
      </c>
      <c r="AJ103" s="254" t="s">
        <v>82</v>
      </c>
      <c r="AK103" s="254" t="s">
        <v>82</v>
      </c>
      <c r="AL103" s="254" t="s">
        <v>82</v>
      </c>
      <c r="AM103" s="254" t="s">
        <v>82</v>
      </c>
      <c r="AN103" s="254" t="s">
        <v>82</v>
      </c>
      <c r="AO103" s="254" t="s">
        <v>82</v>
      </c>
    </row>
    <row customFormat="1" r="104" s="205" spans="1:41" x14ac:dyDescent="0.2">
      <c r="A104" s="249">
        <v>100</v>
      </c>
      <c r="B104" s="195">
        <v>3</v>
      </c>
      <c r="C104" s="195" t="s">
        <v>166</v>
      </c>
      <c r="D104" s="195">
        <v>6</v>
      </c>
      <c r="E104" s="195" t="s">
        <v>171</v>
      </c>
      <c r="F104" s="196">
        <v>43819</v>
      </c>
      <c r="G104" s="250" t="s">
        <v>8</v>
      </c>
      <c r="H104" s="251">
        <v>1951</v>
      </c>
      <c r="I104" s="196" t="s">
        <v>581</v>
      </c>
      <c r="J104" s="199">
        <v>1956</v>
      </c>
      <c r="K104" s="199">
        <v>2253</v>
      </c>
      <c r="L104" s="252">
        <v>1957</v>
      </c>
      <c r="M104" s="249">
        <v>0</v>
      </c>
      <c r="N104" s="200">
        <v>0</v>
      </c>
      <c r="O104" s="253"/>
      <c r="P104" s="251">
        <v>1951</v>
      </c>
      <c r="Q104" s="254">
        <v>5.3</v>
      </c>
      <c r="R104" s="255"/>
      <c r="S104" s="255"/>
      <c r="T104" s="255"/>
      <c r="U104" s="255"/>
      <c r="V104" s="255"/>
      <c r="W104" s="255"/>
      <c r="X104" s="214"/>
      <c r="Y104" s="251">
        <v>1951</v>
      </c>
      <c r="Z104" s="213">
        <v>2.1</v>
      </c>
      <c r="AA104" s="255"/>
      <c r="AB104" s="255"/>
      <c r="AC104" s="255"/>
      <c r="AD104" s="255"/>
      <c r="AE104" s="255"/>
      <c r="AF104" s="255"/>
      <c r="AG104" s="214"/>
      <c r="AH104" s="251">
        <v>1951</v>
      </c>
      <c r="AI104" s="254">
        <v>-3.1999999999999997</v>
      </c>
      <c r="AJ104" s="254" t="s">
        <v>82</v>
      </c>
      <c r="AK104" s="254" t="s">
        <v>82</v>
      </c>
      <c r="AL104" s="254" t="s">
        <v>82</v>
      </c>
      <c r="AM104" s="254" t="s">
        <v>82</v>
      </c>
      <c r="AN104" s="254" t="s">
        <v>82</v>
      </c>
      <c r="AO104" s="254" t="s">
        <v>82</v>
      </c>
    </row>
    <row customFormat="1" r="105" s="205" spans="1:41" x14ac:dyDescent="0.2">
      <c r="A105" s="249">
        <v>101</v>
      </c>
      <c r="B105" s="195">
        <v>3</v>
      </c>
      <c r="C105" s="195" t="s">
        <v>166</v>
      </c>
      <c r="D105" s="195">
        <v>6</v>
      </c>
      <c r="E105" s="195" t="s">
        <v>171</v>
      </c>
      <c r="F105" s="196">
        <v>44192</v>
      </c>
      <c r="G105" s="250" t="s">
        <v>10</v>
      </c>
      <c r="H105" s="251">
        <v>2052</v>
      </c>
      <c r="I105" s="196" t="s">
        <v>582</v>
      </c>
      <c r="J105" s="199">
        <v>1900</v>
      </c>
      <c r="K105" s="199">
        <v>2153</v>
      </c>
      <c r="L105" s="252">
        <v>2047</v>
      </c>
      <c r="M105" s="249">
        <v>1</v>
      </c>
      <c r="N105" s="200">
        <v>0</v>
      </c>
      <c r="O105" s="253"/>
      <c r="P105" s="251">
        <v>2052</v>
      </c>
      <c r="Q105" s="254">
        <v>1.3</v>
      </c>
      <c r="R105" s="213">
        <v>9.1</v>
      </c>
      <c r="S105" s="213">
        <v>8.4</v>
      </c>
      <c r="T105" s="213">
        <v>0.7</v>
      </c>
      <c r="U105" s="213">
        <v>6.7</v>
      </c>
      <c r="V105" s="213">
        <v>6.6</v>
      </c>
      <c r="W105" s="213">
        <v>0.1</v>
      </c>
      <c r="X105" s="214"/>
      <c r="Y105" s="251">
        <v>2052</v>
      </c>
      <c r="Z105" s="213">
        <v>0.4</v>
      </c>
      <c r="AA105" s="213">
        <v>9.1</v>
      </c>
      <c r="AB105" s="213">
        <v>8.4</v>
      </c>
      <c r="AC105" s="213">
        <v>0.7</v>
      </c>
      <c r="AD105" s="213">
        <v>6.7</v>
      </c>
      <c r="AE105" s="213">
        <v>6.6</v>
      </c>
      <c r="AF105" s="213">
        <v>0.1</v>
      </c>
      <c r="AG105" s="214"/>
      <c r="AH105" s="251">
        <v>2052</v>
      </c>
      <c r="AI105" s="254">
        <v>-0.9</v>
      </c>
      <c r="AJ105" s="254" t="s">
        <v>82</v>
      </c>
      <c r="AK105" s="254" t="s">
        <v>82</v>
      </c>
      <c r="AL105" s="254" t="s">
        <v>82</v>
      </c>
      <c r="AM105" s="254" t="s">
        <v>82</v>
      </c>
      <c r="AN105" s="254" t="s">
        <v>82</v>
      </c>
      <c r="AO105" s="254" t="s">
        <v>82</v>
      </c>
    </row>
    <row customFormat="1" r="106" s="205" spans="1:41" x14ac:dyDescent="0.2">
      <c r="A106" s="249">
        <v>102</v>
      </c>
      <c r="B106" s="195">
        <v>3</v>
      </c>
      <c r="C106" s="195" t="s">
        <v>166</v>
      </c>
      <c r="D106" s="195">
        <v>6</v>
      </c>
      <c r="E106" s="195" t="s">
        <v>171</v>
      </c>
      <c r="F106" s="196">
        <v>44442</v>
      </c>
      <c r="G106" s="250" t="s">
        <v>8</v>
      </c>
      <c r="H106" s="251">
        <v>2136</v>
      </c>
      <c r="I106" s="196" t="s">
        <v>175</v>
      </c>
      <c r="J106" s="199">
        <v>1025</v>
      </c>
      <c r="K106" s="199">
        <v>1154</v>
      </c>
      <c r="L106" s="252">
        <v>1154</v>
      </c>
      <c r="M106" s="249">
        <v>1</v>
      </c>
      <c r="N106" s="200">
        <v>1</v>
      </c>
      <c r="O106" s="253"/>
      <c r="P106" s="251">
        <v>2136</v>
      </c>
      <c r="Q106" s="254">
        <v>66.099999999999994</v>
      </c>
      <c r="R106" s="213">
        <v>4.3</v>
      </c>
      <c r="S106" s="213">
        <v>1.7</v>
      </c>
      <c r="T106" s="213">
        <v>2.6</v>
      </c>
      <c r="U106" s="213">
        <v>67.8</v>
      </c>
      <c r="V106" s="213">
        <v>1.7</v>
      </c>
      <c r="W106" s="213">
        <v>66.099999999999994</v>
      </c>
      <c r="X106" s="214"/>
      <c r="Y106" s="251">
        <v>2136</v>
      </c>
      <c r="Z106" s="213">
        <v>0</v>
      </c>
      <c r="AA106" s="213">
        <v>1.7</v>
      </c>
      <c r="AB106" s="213">
        <v>1.7</v>
      </c>
      <c r="AC106" s="213">
        <v>0</v>
      </c>
      <c r="AD106" s="213">
        <v>1.7</v>
      </c>
      <c r="AE106" s="213">
        <v>1.7</v>
      </c>
      <c r="AF106" s="213">
        <v>0</v>
      </c>
      <c r="AG106" s="214"/>
      <c r="AH106" s="251">
        <v>2136</v>
      </c>
      <c r="AI106" s="254">
        <v>-66.099999999999994</v>
      </c>
      <c r="AJ106" s="254">
        <v>-2.5999999999999996</v>
      </c>
      <c r="AK106" s="254" t="s">
        <v>82</v>
      </c>
      <c r="AL106" s="254">
        <v>-2.6</v>
      </c>
      <c r="AM106" s="254">
        <v>-66.099999999999994</v>
      </c>
      <c r="AN106" s="254" t="s">
        <v>82</v>
      </c>
      <c r="AO106" s="254">
        <v>-66.099999999999994</v>
      </c>
    </row>
    <row customFormat="1" r="107" s="205" spans="1:41" x14ac:dyDescent="0.2">
      <c r="A107" s="249">
        <v>103</v>
      </c>
      <c r="B107" s="195">
        <v>3</v>
      </c>
      <c r="C107" s="195" t="s">
        <v>166</v>
      </c>
      <c r="D107" s="195">
        <v>6</v>
      </c>
      <c r="E107" s="195" t="s">
        <v>171</v>
      </c>
      <c r="F107" s="196">
        <v>44496</v>
      </c>
      <c r="G107" s="250" t="s">
        <v>6</v>
      </c>
      <c r="H107" s="251">
        <v>2144</v>
      </c>
      <c r="I107" s="196" t="s">
        <v>176</v>
      </c>
      <c r="J107" s="199">
        <v>800</v>
      </c>
      <c r="K107" s="199">
        <v>929</v>
      </c>
      <c r="L107" s="252">
        <v>852</v>
      </c>
      <c r="M107" s="249">
        <v>1</v>
      </c>
      <c r="N107" s="200">
        <v>0</v>
      </c>
      <c r="O107" s="253"/>
      <c r="P107" s="251">
        <v>2144</v>
      </c>
      <c r="Q107" s="254">
        <v>49.5</v>
      </c>
      <c r="R107" s="213">
        <v>5.6</v>
      </c>
      <c r="S107" s="213">
        <v>2.6</v>
      </c>
      <c r="T107" s="213">
        <v>3</v>
      </c>
      <c r="U107" s="213">
        <v>1.5</v>
      </c>
      <c r="V107" s="213">
        <v>1.5</v>
      </c>
      <c r="W107" s="213">
        <v>0</v>
      </c>
      <c r="X107" s="214"/>
      <c r="Y107" s="251">
        <v>2144</v>
      </c>
      <c r="Z107" s="213">
        <v>0</v>
      </c>
      <c r="AA107" s="213">
        <v>2.7</v>
      </c>
      <c r="AB107" s="213">
        <v>2.6</v>
      </c>
      <c r="AC107" s="213">
        <v>0.1</v>
      </c>
      <c r="AD107" s="213">
        <v>1.5</v>
      </c>
      <c r="AE107" s="213">
        <v>1.5</v>
      </c>
      <c r="AF107" s="213">
        <v>0</v>
      </c>
      <c r="AG107" s="214"/>
      <c r="AH107" s="251">
        <v>2144</v>
      </c>
      <c r="AI107" s="254">
        <v>-49.5</v>
      </c>
      <c r="AJ107" s="254">
        <v>-2.8999999999999995</v>
      </c>
      <c r="AK107" s="254" t="s">
        <v>82</v>
      </c>
      <c r="AL107" s="254">
        <v>-2.9</v>
      </c>
      <c r="AM107" s="254" t="s">
        <v>82</v>
      </c>
      <c r="AN107" s="254" t="s">
        <v>82</v>
      </c>
      <c r="AO107" s="254" t="s">
        <v>82</v>
      </c>
    </row>
    <row customFormat="1" r="108" s="205" spans="1:41" x14ac:dyDescent="0.2">
      <c r="A108" s="249">
        <v>104</v>
      </c>
      <c r="B108" s="195">
        <v>3</v>
      </c>
      <c r="C108" s="195" t="s">
        <v>166</v>
      </c>
      <c r="D108" s="195">
        <v>6</v>
      </c>
      <c r="E108" s="195" t="s">
        <v>171</v>
      </c>
      <c r="F108" s="196">
        <v>44562</v>
      </c>
      <c r="G108" s="250" t="s">
        <v>9</v>
      </c>
      <c r="H108" s="256">
        <v>2201</v>
      </c>
      <c r="I108" s="196" t="s">
        <v>583</v>
      </c>
      <c r="J108" s="199">
        <v>800</v>
      </c>
      <c r="K108" s="199">
        <v>1029</v>
      </c>
      <c r="L108" s="252">
        <v>818</v>
      </c>
      <c r="M108" s="249">
        <v>1</v>
      </c>
      <c r="N108" s="200">
        <v>0</v>
      </c>
      <c r="O108" s="253"/>
      <c r="P108" s="251">
        <v>2201</v>
      </c>
      <c r="Q108" s="254">
        <v>0.6</v>
      </c>
      <c r="R108" s="213">
        <v>3.6</v>
      </c>
      <c r="S108" s="213">
        <v>3.6</v>
      </c>
      <c r="T108" s="213">
        <v>0</v>
      </c>
      <c r="U108" s="213">
        <v>3.5</v>
      </c>
      <c r="V108" s="213">
        <v>3.5</v>
      </c>
      <c r="W108" s="213">
        <v>0</v>
      </c>
      <c r="X108" s="214"/>
      <c r="Y108" s="251">
        <v>2201</v>
      </c>
      <c r="Z108" s="213">
        <v>0</v>
      </c>
      <c r="AA108" s="213">
        <v>3.6</v>
      </c>
      <c r="AB108" s="213">
        <v>3.6</v>
      </c>
      <c r="AC108" s="213">
        <v>0</v>
      </c>
      <c r="AD108" s="213">
        <v>3.5</v>
      </c>
      <c r="AE108" s="213">
        <v>3.5</v>
      </c>
      <c r="AF108" s="213">
        <v>0</v>
      </c>
      <c r="AG108" s="214"/>
      <c r="AH108" s="251">
        <v>2201</v>
      </c>
      <c r="AI108" s="254">
        <v>-0.6</v>
      </c>
      <c r="AJ108" s="254" t="s">
        <v>82</v>
      </c>
      <c r="AK108" s="254" t="s">
        <v>82</v>
      </c>
      <c r="AL108" s="254" t="s">
        <v>82</v>
      </c>
      <c r="AM108" s="254" t="s">
        <v>82</v>
      </c>
      <c r="AN108" s="254" t="s">
        <v>82</v>
      </c>
      <c r="AO108" s="254" t="s">
        <v>82</v>
      </c>
    </row>
    <row customFormat="1" r="109" s="205" spans="1:41" x14ac:dyDescent="0.2">
      <c r="A109" s="249">
        <v>105</v>
      </c>
      <c r="B109" s="195">
        <v>3</v>
      </c>
      <c r="C109" s="195" t="s">
        <v>166</v>
      </c>
      <c r="D109" s="195">
        <v>6</v>
      </c>
      <c r="E109" s="195" t="s">
        <v>171</v>
      </c>
      <c r="F109" s="196">
        <v>44673</v>
      </c>
      <c r="G109" s="250" t="s">
        <v>8</v>
      </c>
      <c r="H109" s="251">
        <v>2217</v>
      </c>
      <c r="I109" s="196" t="s">
        <v>584</v>
      </c>
      <c r="J109" s="199">
        <v>500</v>
      </c>
      <c r="K109" s="199">
        <v>519</v>
      </c>
      <c r="L109" s="252">
        <v>502</v>
      </c>
      <c r="M109" s="249">
        <v>0</v>
      </c>
      <c r="N109" s="200">
        <v>0</v>
      </c>
      <c r="O109" s="253"/>
      <c r="P109" s="251">
        <v>2217</v>
      </c>
      <c r="Q109" s="254">
        <v>1.3</v>
      </c>
      <c r="R109" s="255"/>
      <c r="S109" s="255"/>
      <c r="T109" s="255"/>
      <c r="U109" s="255"/>
      <c r="V109" s="255"/>
      <c r="W109" s="255"/>
      <c r="X109" s="214"/>
      <c r="Y109" s="251">
        <v>2217</v>
      </c>
      <c r="Z109" s="213">
        <v>0</v>
      </c>
      <c r="AA109" s="255"/>
      <c r="AB109" s="255"/>
      <c r="AC109" s="255"/>
      <c r="AD109" s="255"/>
      <c r="AE109" s="255"/>
      <c r="AF109" s="255"/>
      <c r="AG109" s="214"/>
      <c r="AH109" s="251">
        <v>2217</v>
      </c>
      <c r="AI109" s="254">
        <v>-1.3</v>
      </c>
      <c r="AJ109" s="254" t="s">
        <v>82</v>
      </c>
      <c r="AK109" s="254" t="s">
        <v>82</v>
      </c>
      <c r="AL109" s="254" t="s">
        <v>82</v>
      </c>
      <c r="AM109" s="254" t="s">
        <v>82</v>
      </c>
      <c r="AN109" s="254" t="s">
        <v>82</v>
      </c>
      <c r="AO109" s="254" t="s">
        <v>82</v>
      </c>
    </row>
    <row customFormat="1" r="110" s="205" spans="1:41" x14ac:dyDescent="0.2">
      <c r="A110" s="249">
        <v>106</v>
      </c>
      <c r="B110" s="195">
        <v>3</v>
      </c>
      <c r="C110" s="195" t="s">
        <v>166</v>
      </c>
      <c r="D110" s="195">
        <v>7</v>
      </c>
      <c r="E110" s="195" t="s">
        <v>585</v>
      </c>
      <c r="F110" s="196">
        <v>43442</v>
      </c>
      <c r="G110" s="250" t="s">
        <v>9</v>
      </c>
      <c r="H110" s="251">
        <v>1849</v>
      </c>
      <c r="I110" s="196" t="s">
        <v>586</v>
      </c>
      <c r="J110" s="199">
        <v>700</v>
      </c>
      <c r="K110" s="199">
        <v>729</v>
      </c>
      <c r="L110" s="252">
        <v>701</v>
      </c>
      <c r="M110" s="249">
        <v>0</v>
      </c>
      <c r="N110" s="200">
        <v>0</v>
      </c>
      <c r="O110" s="253"/>
      <c r="P110" s="251">
        <v>1849</v>
      </c>
      <c r="Q110" s="254">
        <v>5.7</v>
      </c>
      <c r="R110" s="255"/>
      <c r="S110" s="255"/>
      <c r="T110" s="255"/>
      <c r="U110" s="255"/>
      <c r="V110" s="255"/>
      <c r="W110" s="255"/>
      <c r="X110" s="214"/>
      <c r="Y110" s="251">
        <v>1849</v>
      </c>
      <c r="Z110" s="213">
        <v>0.1</v>
      </c>
      <c r="AA110" s="255"/>
      <c r="AB110" s="255"/>
      <c r="AC110" s="255"/>
      <c r="AD110" s="255"/>
      <c r="AE110" s="255"/>
      <c r="AF110" s="255"/>
      <c r="AG110" s="214"/>
      <c r="AH110" s="251">
        <v>1849</v>
      </c>
      <c r="AI110" s="254">
        <v>-5.6000000000000005</v>
      </c>
      <c r="AJ110" s="254" t="s">
        <v>82</v>
      </c>
      <c r="AK110" s="254" t="s">
        <v>82</v>
      </c>
      <c r="AL110" s="254" t="s">
        <v>82</v>
      </c>
      <c r="AM110" s="254" t="s">
        <v>82</v>
      </c>
      <c r="AN110" s="254" t="s">
        <v>82</v>
      </c>
      <c r="AO110" s="254" t="s">
        <v>82</v>
      </c>
    </row>
    <row customFormat="1" r="111" s="205" spans="1:41" x14ac:dyDescent="0.2">
      <c r="A111" s="249">
        <v>107</v>
      </c>
      <c r="B111" s="195">
        <v>3</v>
      </c>
      <c r="C111" s="195" t="s">
        <v>166</v>
      </c>
      <c r="D111" s="195">
        <v>7</v>
      </c>
      <c r="E111" s="195" t="s">
        <v>585</v>
      </c>
      <c r="F111" s="196">
        <v>43620</v>
      </c>
      <c r="G111" s="250" t="s">
        <v>5</v>
      </c>
      <c r="H111" s="251">
        <v>1923</v>
      </c>
      <c r="I111" s="196" t="s">
        <v>587</v>
      </c>
      <c r="J111" s="199">
        <v>2254</v>
      </c>
      <c r="K111" s="199">
        <v>2553</v>
      </c>
      <c r="L111" s="252">
        <v>2535</v>
      </c>
      <c r="M111" s="249">
        <v>0</v>
      </c>
      <c r="N111" s="200">
        <v>0</v>
      </c>
      <c r="O111" s="253"/>
      <c r="P111" s="251">
        <v>1923</v>
      </c>
      <c r="Q111" s="254">
        <v>19.7</v>
      </c>
      <c r="R111" s="255"/>
      <c r="S111" s="255"/>
      <c r="T111" s="255"/>
      <c r="U111" s="255"/>
      <c r="V111" s="255"/>
      <c r="W111" s="255"/>
      <c r="X111" s="214"/>
      <c r="Y111" s="251">
        <v>1923</v>
      </c>
      <c r="Z111" s="213">
        <v>0.1</v>
      </c>
      <c r="AA111" s="255"/>
      <c r="AB111" s="255"/>
      <c r="AC111" s="255"/>
      <c r="AD111" s="255"/>
      <c r="AE111" s="255"/>
      <c r="AF111" s="255"/>
      <c r="AG111" s="214"/>
      <c r="AH111" s="251">
        <v>1923</v>
      </c>
      <c r="AI111" s="254">
        <v>-19.599999999999998</v>
      </c>
      <c r="AJ111" s="254" t="s">
        <v>82</v>
      </c>
      <c r="AK111" s="254" t="s">
        <v>82</v>
      </c>
      <c r="AL111" s="254" t="s">
        <v>82</v>
      </c>
      <c r="AM111" s="254" t="s">
        <v>82</v>
      </c>
      <c r="AN111" s="254" t="s">
        <v>82</v>
      </c>
      <c r="AO111" s="254" t="s">
        <v>82</v>
      </c>
    </row>
    <row customFormat="1" r="112" s="205" spans="1:41" x14ac:dyDescent="0.2">
      <c r="A112" s="249">
        <v>108</v>
      </c>
      <c r="B112" s="195">
        <v>3</v>
      </c>
      <c r="C112" s="195" t="s">
        <v>166</v>
      </c>
      <c r="D112" s="195">
        <v>7</v>
      </c>
      <c r="E112" s="195" t="s">
        <v>585</v>
      </c>
      <c r="F112" s="196">
        <v>44521</v>
      </c>
      <c r="G112" s="250" t="s">
        <v>10</v>
      </c>
      <c r="H112" s="251">
        <v>2147</v>
      </c>
      <c r="I112" s="196" t="s">
        <v>548</v>
      </c>
      <c r="J112" s="199">
        <v>800</v>
      </c>
      <c r="K112" s="199">
        <v>829</v>
      </c>
      <c r="L112" s="252">
        <v>805</v>
      </c>
      <c r="M112" s="249">
        <v>0</v>
      </c>
      <c r="N112" s="200">
        <v>0</v>
      </c>
      <c r="O112" s="253"/>
      <c r="P112" s="251">
        <v>2147</v>
      </c>
      <c r="Q112" s="254">
        <v>5.5</v>
      </c>
      <c r="R112" s="255"/>
      <c r="S112" s="255"/>
      <c r="T112" s="255"/>
      <c r="U112" s="255"/>
      <c r="V112" s="255"/>
      <c r="W112" s="255"/>
      <c r="X112" s="214"/>
      <c r="Y112" s="251">
        <v>2147</v>
      </c>
      <c r="Z112" s="213">
        <v>0.7</v>
      </c>
      <c r="AA112" s="255"/>
      <c r="AB112" s="255"/>
      <c r="AC112" s="255"/>
      <c r="AD112" s="255"/>
      <c r="AE112" s="255"/>
      <c r="AF112" s="255"/>
      <c r="AG112" s="214"/>
      <c r="AH112" s="251">
        <v>2147</v>
      </c>
      <c r="AI112" s="254">
        <v>-4.8</v>
      </c>
      <c r="AJ112" s="254" t="s">
        <v>82</v>
      </c>
      <c r="AK112" s="254" t="s">
        <v>82</v>
      </c>
      <c r="AL112" s="254" t="s">
        <v>82</v>
      </c>
      <c r="AM112" s="254" t="s">
        <v>82</v>
      </c>
      <c r="AN112" s="254" t="s">
        <v>82</v>
      </c>
      <c r="AO112" s="254" t="s">
        <v>82</v>
      </c>
    </row>
    <row customFormat="1" r="113" s="205" spans="1:41" x14ac:dyDescent="0.2">
      <c r="A113" s="249">
        <v>109</v>
      </c>
      <c r="B113" s="195">
        <v>4</v>
      </c>
      <c r="C113" s="195" t="s">
        <v>178</v>
      </c>
      <c r="D113" s="195">
        <v>1</v>
      </c>
      <c r="E113" s="195" t="s">
        <v>179</v>
      </c>
      <c r="F113" s="196">
        <v>44014</v>
      </c>
      <c r="G113" s="250" t="s">
        <v>7</v>
      </c>
      <c r="H113" s="251">
        <v>2027</v>
      </c>
      <c r="I113" s="196" t="s">
        <v>180</v>
      </c>
      <c r="J113" s="199">
        <v>2100</v>
      </c>
      <c r="K113" s="199">
        <v>2153</v>
      </c>
      <c r="L113" s="252">
        <v>2126</v>
      </c>
      <c r="M113" s="249">
        <v>1</v>
      </c>
      <c r="N113" s="200">
        <v>0</v>
      </c>
      <c r="O113" s="253"/>
      <c r="P113" s="251">
        <v>2027</v>
      </c>
      <c r="Q113" s="254">
        <v>3.7</v>
      </c>
      <c r="R113" s="213">
        <v>10.8</v>
      </c>
      <c r="S113" s="213">
        <v>7.8</v>
      </c>
      <c r="T113" s="213">
        <v>3</v>
      </c>
      <c r="U113" s="213">
        <v>9.9</v>
      </c>
      <c r="V113" s="213">
        <v>9.9</v>
      </c>
      <c r="W113" s="213" t="s">
        <v>84</v>
      </c>
      <c r="X113" s="214"/>
      <c r="Y113" s="251">
        <v>2027</v>
      </c>
      <c r="Z113" s="213">
        <v>1.6</v>
      </c>
      <c r="AA113" s="213">
        <v>10.6</v>
      </c>
      <c r="AB113" s="213">
        <v>7.8</v>
      </c>
      <c r="AC113" s="213">
        <v>2.8</v>
      </c>
      <c r="AD113" s="213">
        <v>9.9</v>
      </c>
      <c r="AE113" s="213">
        <v>9.9</v>
      </c>
      <c r="AF113" s="213" t="s">
        <v>84</v>
      </c>
      <c r="AG113" s="214"/>
      <c r="AH113" s="251">
        <v>2027</v>
      </c>
      <c r="AI113" s="254">
        <v>-2.1</v>
      </c>
      <c r="AJ113" s="254">
        <v>-0.20000000000000107</v>
      </c>
      <c r="AK113" s="254" t="s">
        <v>82</v>
      </c>
      <c r="AL113" s="254">
        <v>-0.20000000000000018</v>
      </c>
      <c r="AM113" s="254" t="s">
        <v>82</v>
      </c>
      <c r="AN113" s="254" t="s">
        <v>82</v>
      </c>
      <c r="AO113" s="254" t="s">
        <v>82</v>
      </c>
    </row>
    <row customFormat="1" r="114" s="205" spans="1:41" x14ac:dyDescent="0.2">
      <c r="A114" s="249">
        <v>110</v>
      </c>
      <c r="B114" s="195">
        <v>4</v>
      </c>
      <c r="C114" s="195" t="s">
        <v>178</v>
      </c>
      <c r="D114" s="195">
        <v>1</v>
      </c>
      <c r="E114" s="195" t="s">
        <v>179</v>
      </c>
      <c r="F114" s="196">
        <v>44075</v>
      </c>
      <c r="G114" s="250" t="s">
        <v>5</v>
      </c>
      <c r="H114" s="251">
        <v>2036</v>
      </c>
      <c r="I114" s="196" t="s">
        <v>182</v>
      </c>
      <c r="J114" s="199">
        <v>800</v>
      </c>
      <c r="K114" s="199">
        <v>954</v>
      </c>
      <c r="L114" s="252">
        <v>807</v>
      </c>
      <c r="M114" s="249">
        <v>1</v>
      </c>
      <c r="N114" s="200">
        <v>0</v>
      </c>
      <c r="O114" s="253"/>
      <c r="P114" s="251">
        <v>2036</v>
      </c>
      <c r="Q114" s="254">
        <v>10.199999999999999</v>
      </c>
      <c r="R114" s="213">
        <v>6.8</v>
      </c>
      <c r="S114" s="213">
        <v>6.3</v>
      </c>
      <c r="T114" s="213">
        <v>0.5</v>
      </c>
      <c r="U114" s="213">
        <v>3</v>
      </c>
      <c r="V114" s="213">
        <v>3</v>
      </c>
      <c r="W114" s="213">
        <v>0</v>
      </c>
      <c r="X114" s="214"/>
      <c r="Y114" s="251">
        <v>2036</v>
      </c>
      <c r="Z114" s="213">
        <v>0</v>
      </c>
      <c r="AA114" s="213">
        <v>6.3</v>
      </c>
      <c r="AB114" s="213">
        <v>6.3</v>
      </c>
      <c r="AC114" s="213">
        <v>0</v>
      </c>
      <c r="AD114" s="213">
        <v>3</v>
      </c>
      <c r="AE114" s="213">
        <v>3</v>
      </c>
      <c r="AF114" s="213">
        <v>0</v>
      </c>
      <c r="AG114" s="214"/>
      <c r="AH114" s="251">
        <v>2036</v>
      </c>
      <c r="AI114" s="254">
        <v>-10.199999999999999</v>
      </c>
      <c r="AJ114" s="254">
        <v>-0.5</v>
      </c>
      <c r="AK114" s="254" t="s">
        <v>82</v>
      </c>
      <c r="AL114" s="254">
        <v>-0.5</v>
      </c>
      <c r="AM114" s="254" t="s">
        <v>82</v>
      </c>
      <c r="AN114" s="254" t="s">
        <v>82</v>
      </c>
      <c r="AO114" s="254" t="s">
        <v>82</v>
      </c>
    </row>
    <row customFormat="1" r="115" s="205" spans="1:41" x14ac:dyDescent="0.2">
      <c r="A115" s="249">
        <v>111</v>
      </c>
      <c r="B115" s="195">
        <v>4</v>
      </c>
      <c r="C115" s="195" t="s">
        <v>178</v>
      </c>
      <c r="D115" s="195">
        <v>1</v>
      </c>
      <c r="E115" s="195" t="s">
        <v>179</v>
      </c>
      <c r="F115" s="196">
        <v>44093</v>
      </c>
      <c r="G115" s="250" t="s">
        <v>9</v>
      </c>
      <c r="H115" s="251">
        <v>2038</v>
      </c>
      <c r="I115" s="196" t="s">
        <v>256</v>
      </c>
      <c r="J115" s="199">
        <v>1700</v>
      </c>
      <c r="K115" s="199">
        <v>1729</v>
      </c>
      <c r="L115" s="252">
        <v>1704</v>
      </c>
      <c r="M115" s="249">
        <v>0</v>
      </c>
      <c r="N115" s="200">
        <v>0</v>
      </c>
      <c r="O115" s="253"/>
      <c r="P115" s="251">
        <v>2038</v>
      </c>
      <c r="Q115" s="254">
        <v>18.100000000000001</v>
      </c>
      <c r="R115" s="255"/>
      <c r="S115" s="255"/>
      <c r="T115" s="255"/>
      <c r="U115" s="255"/>
      <c r="V115" s="255"/>
      <c r="W115" s="255"/>
      <c r="X115" s="214"/>
      <c r="Y115" s="251">
        <v>2038</v>
      </c>
      <c r="Z115" s="213">
        <v>6.5</v>
      </c>
      <c r="AA115" s="255"/>
      <c r="AB115" s="255"/>
      <c r="AC115" s="255"/>
      <c r="AD115" s="255"/>
      <c r="AE115" s="255"/>
      <c r="AF115" s="255"/>
      <c r="AG115" s="214"/>
      <c r="AH115" s="251">
        <v>2038</v>
      </c>
      <c r="AI115" s="254">
        <v>-11.600000000000001</v>
      </c>
      <c r="AJ115" s="254" t="s">
        <v>82</v>
      </c>
      <c r="AK115" s="254" t="s">
        <v>82</v>
      </c>
      <c r="AL115" s="254" t="s">
        <v>82</v>
      </c>
      <c r="AM115" s="254" t="s">
        <v>82</v>
      </c>
      <c r="AN115" s="254" t="s">
        <v>82</v>
      </c>
      <c r="AO115" s="254" t="s">
        <v>82</v>
      </c>
    </row>
    <row customFormat="1" r="116" s="205" spans="1:41" x14ac:dyDescent="0.2">
      <c r="A116" s="249">
        <v>112</v>
      </c>
      <c r="B116" s="195">
        <v>4</v>
      </c>
      <c r="C116" s="195" t="s">
        <v>178</v>
      </c>
      <c r="D116" s="195">
        <v>1</v>
      </c>
      <c r="E116" s="195" t="s">
        <v>179</v>
      </c>
      <c r="F116" s="196">
        <v>44167</v>
      </c>
      <c r="G116" s="250" t="s">
        <v>6</v>
      </c>
      <c r="H116" s="251">
        <v>2049</v>
      </c>
      <c r="I116" s="196" t="s">
        <v>347</v>
      </c>
      <c r="J116" s="199">
        <v>2154</v>
      </c>
      <c r="K116" s="199">
        <v>2309</v>
      </c>
      <c r="L116" s="252">
        <v>2216</v>
      </c>
      <c r="M116" s="249">
        <v>0</v>
      </c>
      <c r="N116" s="200">
        <v>0</v>
      </c>
      <c r="O116" s="253"/>
      <c r="P116" s="251">
        <v>2049</v>
      </c>
      <c r="Q116" s="254">
        <v>9.4</v>
      </c>
      <c r="R116" s="255"/>
      <c r="S116" s="255"/>
      <c r="T116" s="255"/>
      <c r="U116" s="255"/>
      <c r="V116" s="255"/>
      <c r="W116" s="255"/>
      <c r="X116" s="214"/>
      <c r="Y116" s="251">
        <v>2049</v>
      </c>
      <c r="Z116" s="213">
        <v>0.1</v>
      </c>
      <c r="AA116" s="255"/>
      <c r="AB116" s="255"/>
      <c r="AC116" s="255"/>
      <c r="AD116" s="255"/>
      <c r="AE116" s="255"/>
      <c r="AF116" s="255"/>
      <c r="AG116" s="214"/>
      <c r="AH116" s="251">
        <v>2049</v>
      </c>
      <c r="AI116" s="254">
        <v>-9.3000000000000007</v>
      </c>
      <c r="AJ116" s="254" t="s">
        <v>82</v>
      </c>
      <c r="AK116" s="254" t="s">
        <v>82</v>
      </c>
      <c r="AL116" s="254" t="s">
        <v>82</v>
      </c>
      <c r="AM116" s="254" t="s">
        <v>82</v>
      </c>
      <c r="AN116" s="254" t="s">
        <v>82</v>
      </c>
      <c r="AO116" s="254" t="s">
        <v>82</v>
      </c>
    </row>
    <row customFormat="1" r="117" s="205" spans="1:41" x14ac:dyDescent="0.2">
      <c r="A117" s="249">
        <v>113</v>
      </c>
      <c r="B117" s="195">
        <v>4</v>
      </c>
      <c r="C117" s="195" t="s">
        <v>178</v>
      </c>
      <c r="D117" s="195">
        <v>1</v>
      </c>
      <c r="E117" s="195" t="s">
        <v>179</v>
      </c>
      <c r="F117" s="196">
        <v>44217</v>
      </c>
      <c r="G117" s="250" t="s">
        <v>7</v>
      </c>
      <c r="H117" s="251">
        <v>2104</v>
      </c>
      <c r="I117" s="196" t="s">
        <v>588</v>
      </c>
      <c r="J117" s="199">
        <v>600</v>
      </c>
      <c r="K117" s="199">
        <v>644</v>
      </c>
      <c r="L117" s="252">
        <v>630</v>
      </c>
      <c r="M117" s="249">
        <v>0</v>
      </c>
      <c r="N117" s="200">
        <v>0</v>
      </c>
      <c r="O117" s="253"/>
      <c r="P117" s="251">
        <v>2104</v>
      </c>
      <c r="Q117" s="254">
        <v>3.5</v>
      </c>
      <c r="R117" s="255"/>
      <c r="S117" s="255"/>
      <c r="T117" s="255"/>
      <c r="U117" s="255"/>
      <c r="V117" s="255"/>
      <c r="W117" s="255"/>
      <c r="X117" s="214"/>
      <c r="Y117" s="251">
        <v>2104</v>
      </c>
      <c r="Z117" s="213">
        <v>0.1</v>
      </c>
      <c r="AA117" s="255"/>
      <c r="AB117" s="255"/>
      <c r="AC117" s="255"/>
      <c r="AD117" s="255"/>
      <c r="AE117" s="255"/>
      <c r="AF117" s="255"/>
      <c r="AG117" s="214"/>
      <c r="AH117" s="251">
        <v>2104</v>
      </c>
      <c r="AI117" s="254">
        <v>-3.4</v>
      </c>
      <c r="AJ117" s="254" t="s">
        <v>82</v>
      </c>
      <c r="AK117" s="254" t="s">
        <v>82</v>
      </c>
      <c r="AL117" s="254" t="s">
        <v>82</v>
      </c>
      <c r="AM117" s="254" t="s">
        <v>82</v>
      </c>
      <c r="AN117" s="254" t="s">
        <v>82</v>
      </c>
      <c r="AO117" s="254" t="s">
        <v>82</v>
      </c>
    </row>
    <row customFormat="1" r="118" s="205" spans="1:41" x14ac:dyDescent="0.2">
      <c r="A118" s="249">
        <v>114</v>
      </c>
      <c r="B118" s="195">
        <v>4</v>
      </c>
      <c r="C118" s="195" t="s">
        <v>178</v>
      </c>
      <c r="D118" s="195">
        <v>1</v>
      </c>
      <c r="E118" s="195" t="s">
        <v>179</v>
      </c>
      <c r="F118" s="196">
        <v>44360</v>
      </c>
      <c r="G118" s="250" t="s">
        <v>10</v>
      </c>
      <c r="H118" s="251">
        <v>2124</v>
      </c>
      <c r="I118" s="196" t="s">
        <v>145</v>
      </c>
      <c r="J118" s="199">
        <v>1900</v>
      </c>
      <c r="K118" s="199">
        <v>1957</v>
      </c>
      <c r="L118" s="252">
        <v>1926</v>
      </c>
      <c r="M118" s="249">
        <v>1</v>
      </c>
      <c r="N118" s="200">
        <v>0</v>
      </c>
      <c r="O118" s="253"/>
      <c r="P118" s="251">
        <v>2124</v>
      </c>
      <c r="Q118" s="254">
        <v>8.5</v>
      </c>
      <c r="R118" s="213">
        <v>9</v>
      </c>
      <c r="S118" s="213">
        <v>8.1999999999999993</v>
      </c>
      <c r="T118" s="213">
        <v>0.8</v>
      </c>
      <c r="U118" s="213">
        <v>9.9</v>
      </c>
      <c r="V118" s="213">
        <v>9.9</v>
      </c>
      <c r="W118" s="213" t="s">
        <v>84</v>
      </c>
      <c r="X118" s="214"/>
      <c r="Y118" s="251">
        <v>2124</v>
      </c>
      <c r="Z118" s="213">
        <v>0.1</v>
      </c>
      <c r="AA118" s="213">
        <v>8.3000000000000007</v>
      </c>
      <c r="AB118" s="213">
        <v>8.1999999999999993</v>
      </c>
      <c r="AC118" s="213">
        <v>0.1</v>
      </c>
      <c r="AD118" s="213">
        <v>9.9</v>
      </c>
      <c r="AE118" s="213">
        <v>9.9</v>
      </c>
      <c r="AF118" s="213" t="s">
        <v>84</v>
      </c>
      <c r="AG118" s="214"/>
      <c r="AH118" s="251">
        <v>2124</v>
      </c>
      <c r="AI118" s="254">
        <v>-8.4</v>
      </c>
      <c r="AJ118" s="254">
        <v>-0.69999999999999929</v>
      </c>
      <c r="AK118" s="254" t="s">
        <v>82</v>
      </c>
      <c r="AL118" s="254">
        <v>-0.70000000000000007</v>
      </c>
      <c r="AM118" s="254" t="s">
        <v>82</v>
      </c>
      <c r="AN118" s="254" t="s">
        <v>82</v>
      </c>
      <c r="AO118" s="254" t="s">
        <v>82</v>
      </c>
    </row>
    <row customFormat="1" r="119" s="205" spans="1:41" x14ac:dyDescent="0.2">
      <c r="A119" s="249">
        <v>115</v>
      </c>
      <c r="B119" s="195">
        <v>4</v>
      </c>
      <c r="C119" s="195" t="s">
        <v>178</v>
      </c>
      <c r="D119" s="195">
        <v>1</v>
      </c>
      <c r="E119" s="195" t="s">
        <v>179</v>
      </c>
      <c r="F119" s="196">
        <v>44374</v>
      </c>
      <c r="G119" s="250" t="s">
        <v>10</v>
      </c>
      <c r="H119" s="251">
        <v>2126</v>
      </c>
      <c r="I119" s="196" t="s">
        <v>183</v>
      </c>
      <c r="J119" s="199">
        <v>1055</v>
      </c>
      <c r="K119" s="199">
        <v>1149</v>
      </c>
      <c r="L119" s="252">
        <v>1104</v>
      </c>
      <c r="M119" s="249">
        <v>1</v>
      </c>
      <c r="N119" s="200">
        <v>0</v>
      </c>
      <c r="O119" s="253"/>
      <c r="P119" s="251">
        <v>2126</v>
      </c>
      <c r="Q119" s="254">
        <v>28.8</v>
      </c>
      <c r="R119" s="213">
        <v>6.3</v>
      </c>
      <c r="S119" s="213">
        <v>3.4</v>
      </c>
      <c r="T119" s="213">
        <v>2.9</v>
      </c>
      <c r="U119" s="213">
        <v>4.4000000000000004</v>
      </c>
      <c r="V119" s="213">
        <v>4.4000000000000004</v>
      </c>
      <c r="W119" s="213">
        <v>0</v>
      </c>
      <c r="X119" s="214"/>
      <c r="Y119" s="251">
        <v>2126</v>
      </c>
      <c r="Z119" s="213">
        <v>0</v>
      </c>
      <c r="AA119" s="213">
        <v>3.4</v>
      </c>
      <c r="AB119" s="213">
        <v>3.4</v>
      </c>
      <c r="AC119" s="213">
        <v>0</v>
      </c>
      <c r="AD119" s="213">
        <v>4.4000000000000004</v>
      </c>
      <c r="AE119" s="213">
        <v>4.4000000000000004</v>
      </c>
      <c r="AF119" s="213">
        <v>0</v>
      </c>
      <c r="AG119" s="214"/>
      <c r="AH119" s="251">
        <v>2126</v>
      </c>
      <c r="AI119" s="254">
        <v>-28.8</v>
      </c>
      <c r="AJ119" s="254">
        <v>-2.9</v>
      </c>
      <c r="AK119" s="254" t="s">
        <v>82</v>
      </c>
      <c r="AL119" s="254">
        <v>-2.9</v>
      </c>
      <c r="AM119" s="254" t="s">
        <v>82</v>
      </c>
      <c r="AN119" s="254" t="s">
        <v>82</v>
      </c>
      <c r="AO119" s="254" t="s">
        <v>82</v>
      </c>
    </row>
    <row customFormat="1" r="120" s="205" spans="1:41" x14ac:dyDescent="0.2">
      <c r="A120" s="249">
        <v>116</v>
      </c>
      <c r="B120" s="195">
        <v>4</v>
      </c>
      <c r="C120" s="195" t="s">
        <v>178</v>
      </c>
      <c r="D120" s="195">
        <v>1</v>
      </c>
      <c r="E120" s="195" t="s">
        <v>179</v>
      </c>
      <c r="F120" s="196">
        <v>44538</v>
      </c>
      <c r="G120" s="250" t="s">
        <v>6</v>
      </c>
      <c r="H120" s="251">
        <v>2150</v>
      </c>
      <c r="I120" s="196" t="s">
        <v>186</v>
      </c>
      <c r="J120" s="199">
        <v>645</v>
      </c>
      <c r="K120" s="199">
        <v>759</v>
      </c>
      <c r="L120" s="252">
        <v>732</v>
      </c>
      <c r="M120" s="249">
        <v>1</v>
      </c>
      <c r="N120" s="200">
        <v>0</v>
      </c>
      <c r="O120" s="253"/>
      <c r="P120" s="251">
        <v>2150</v>
      </c>
      <c r="Q120" s="254">
        <v>3.5</v>
      </c>
      <c r="R120" s="213">
        <v>9.6</v>
      </c>
      <c r="S120" s="213">
        <v>9.4</v>
      </c>
      <c r="T120" s="213">
        <v>0.2</v>
      </c>
      <c r="U120" s="213">
        <v>6.7</v>
      </c>
      <c r="V120" s="213">
        <v>6.7</v>
      </c>
      <c r="W120" s="213">
        <v>0</v>
      </c>
      <c r="X120" s="214"/>
      <c r="Y120" s="251">
        <v>2150</v>
      </c>
      <c r="Z120" s="213">
        <v>0</v>
      </c>
      <c r="AA120" s="213">
        <v>9.4</v>
      </c>
      <c r="AB120" s="213">
        <v>9.4</v>
      </c>
      <c r="AC120" s="213">
        <v>0</v>
      </c>
      <c r="AD120" s="213">
        <v>6.7</v>
      </c>
      <c r="AE120" s="213">
        <v>6.7</v>
      </c>
      <c r="AF120" s="213">
        <v>0</v>
      </c>
      <c r="AG120" s="214"/>
      <c r="AH120" s="251">
        <v>2150</v>
      </c>
      <c r="AI120" s="254">
        <v>-3.5</v>
      </c>
      <c r="AJ120" s="254">
        <v>-0.19999999999999929</v>
      </c>
      <c r="AK120" s="254" t="s">
        <v>82</v>
      </c>
      <c r="AL120" s="254">
        <v>-0.2</v>
      </c>
      <c r="AM120" s="254" t="s">
        <v>82</v>
      </c>
      <c r="AN120" s="254" t="s">
        <v>82</v>
      </c>
      <c r="AO120" s="254" t="s">
        <v>82</v>
      </c>
    </row>
    <row customFormat="1" r="121" s="205" spans="1:41" x14ac:dyDescent="0.2">
      <c r="A121" s="249">
        <v>117</v>
      </c>
      <c r="B121" s="195">
        <v>4</v>
      </c>
      <c r="C121" s="195" t="s">
        <v>178</v>
      </c>
      <c r="D121" s="195">
        <v>1</v>
      </c>
      <c r="E121" s="195" t="s">
        <v>179</v>
      </c>
      <c r="F121" s="196">
        <v>44633</v>
      </c>
      <c r="G121" s="250" t="s">
        <v>10</v>
      </c>
      <c r="H121" s="251">
        <v>2211</v>
      </c>
      <c r="I121" s="196" t="s">
        <v>589</v>
      </c>
      <c r="J121" s="199">
        <v>1530</v>
      </c>
      <c r="K121" s="199">
        <v>1724</v>
      </c>
      <c r="L121" s="252">
        <v>1531</v>
      </c>
      <c r="M121" s="249">
        <v>1</v>
      </c>
      <c r="N121" s="200">
        <v>0</v>
      </c>
      <c r="O121" s="253"/>
      <c r="P121" s="251">
        <v>2211</v>
      </c>
      <c r="Q121" s="254">
        <v>1.4</v>
      </c>
      <c r="R121" s="213">
        <v>2.7</v>
      </c>
      <c r="S121" s="213">
        <v>2.6</v>
      </c>
      <c r="T121" s="213">
        <v>0.1</v>
      </c>
      <c r="U121" s="213">
        <v>2.6</v>
      </c>
      <c r="V121" s="213">
        <v>2.6</v>
      </c>
      <c r="W121" s="213">
        <v>0</v>
      </c>
      <c r="X121" s="214"/>
      <c r="Y121" s="251">
        <v>2211</v>
      </c>
      <c r="Z121" s="213">
        <v>0</v>
      </c>
      <c r="AA121" s="213">
        <v>2.7</v>
      </c>
      <c r="AB121" s="213">
        <v>2.6</v>
      </c>
      <c r="AC121" s="213">
        <v>0.1</v>
      </c>
      <c r="AD121" s="213">
        <v>2.6</v>
      </c>
      <c r="AE121" s="213">
        <v>2.6</v>
      </c>
      <c r="AF121" s="213">
        <v>0</v>
      </c>
      <c r="AG121" s="214"/>
      <c r="AH121" s="251">
        <v>2211</v>
      </c>
      <c r="AI121" s="254">
        <v>-1.4</v>
      </c>
      <c r="AJ121" s="254" t="s">
        <v>82</v>
      </c>
      <c r="AK121" s="254" t="s">
        <v>82</v>
      </c>
      <c r="AL121" s="254" t="s">
        <v>82</v>
      </c>
      <c r="AM121" s="254" t="s">
        <v>82</v>
      </c>
      <c r="AN121" s="254" t="s">
        <v>82</v>
      </c>
      <c r="AO121" s="254" t="s">
        <v>82</v>
      </c>
    </row>
    <row customFormat="1" r="122" s="205" spans="1:41" x14ac:dyDescent="0.2">
      <c r="A122" s="249">
        <v>118</v>
      </c>
      <c r="B122" s="195">
        <v>4</v>
      </c>
      <c r="C122" s="195" t="s">
        <v>178</v>
      </c>
      <c r="D122" s="195">
        <v>2</v>
      </c>
      <c r="E122" s="195" t="s">
        <v>192</v>
      </c>
      <c r="F122" s="196">
        <v>43988</v>
      </c>
      <c r="G122" s="250" t="s">
        <v>9</v>
      </c>
      <c r="H122" s="251">
        <v>2023</v>
      </c>
      <c r="I122" s="196" t="s">
        <v>447</v>
      </c>
      <c r="J122" s="199">
        <v>2458</v>
      </c>
      <c r="K122" s="199">
        <v>2527</v>
      </c>
      <c r="L122" s="252">
        <v>2504</v>
      </c>
      <c r="M122" s="249">
        <v>0</v>
      </c>
      <c r="N122" s="200">
        <v>0</v>
      </c>
      <c r="O122" s="253"/>
      <c r="P122" s="251">
        <v>2023</v>
      </c>
      <c r="Q122" s="254">
        <v>6.8</v>
      </c>
      <c r="R122" s="255"/>
      <c r="S122" s="255"/>
      <c r="T122" s="255"/>
      <c r="U122" s="255"/>
      <c r="V122" s="255"/>
      <c r="W122" s="255"/>
      <c r="X122" s="214"/>
      <c r="Y122" s="251">
        <v>2023</v>
      </c>
      <c r="Z122" s="213">
        <v>0.2</v>
      </c>
      <c r="AA122" s="255"/>
      <c r="AB122" s="255"/>
      <c r="AC122" s="255"/>
      <c r="AD122" s="255"/>
      <c r="AE122" s="255"/>
      <c r="AF122" s="255"/>
      <c r="AG122" s="214"/>
      <c r="AH122" s="251">
        <v>2023</v>
      </c>
      <c r="AI122" s="254">
        <v>-6.6</v>
      </c>
      <c r="AJ122" s="254" t="s">
        <v>82</v>
      </c>
      <c r="AK122" s="254" t="s">
        <v>82</v>
      </c>
      <c r="AL122" s="254" t="s">
        <v>82</v>
      </c>
      <c r="AM122" s="254" t="s">
        <v>82</v>
      </c>
      <c r="AN122" s="254" t="s">
        <v>82</v>
      </c>
      <c r="AO122" s="254" t="s">
        <v>82</v>
      </c>
    </row>
    <row customFormat="1" r="123" s="205" spans="1:41" x14ac:dyDescent="0.2">
      <c r="A123" s="249">
        <v>119</v>
      </c>
      <c r="B123" s="195">
        <v>4</v>
      </c>
      <c r="C123" s="195" t="s">
        <v>178</v>
      </c>
      <c r="D123" s="195">
        <v>2</v>
      </c>
      <c r="E123" s="195" t="s">
        <v>192</v>
      </c>
      <c r="F123" s="196">
        <v>44006</v>
      </c>
      <c r="G123" s="250" t="s">
        <v>6</v>
      </c>
      <c r="H123" s="251">
        <v>2026</v>
      </c>
      <c r="I123" s="196" t="s">
        <v>193</v>
      </c>
      <c r="J123" s="199">
        <v>2525</v>
      </c>
      <c r="K123" s="199">
        <v>2629</v>
      </c>
      <c r="L123" s="252">
        <v>2613</v>
      </c>
      <c r="M123" s="249">
        <v>1</v>
      </c>
      <c r="N123" s="200">
        <v>0</v>
      </c>
      <c r="O123" s="253"/>
      <c r="P123" s="251">
        <v>2026</v>
      </c>
      <c r="Q123" s="254">
        <v>1.5</v>
      </c>
      <c r="R123" s="213">
        <v>0.7</v>
      </c>
      <c r="S123" s="213">
        <v>0.6</v>
      </c>
      <c r="T123" s="213">
        <v>0.1</v>
      </c>
      <c r="U123" s="213">
        <v>0.8</v>
      </c>
      <c r="V123" s="213">
        <v>0.8</v>
      </c>
      <c r="W123" s="213" t="s">
        <v>84</v>
      </c>
      <c r="X123" s="214"/>
      <c r="Y123" s="251">
        <v>2026</v>
      </c>
      <c r="Z123" s="213">
        <v>0</v>
      </c>
      <c r="AA123" s="213">
        <v>0.6</v>
      </c>
      <c r="AB123" s="213">
        <v>0.6</v>
      </c>
      <c r="AC123" s="213">
        <v>0</v>
      </c>
      <c r="AD123" s="213">
        <v>0.8</v>
      </c>
      <c r="AE123" s="213">
        <v>0.8</v>
      </c>
      <c r="AF123" s="213" t="s">
        <v>84</v>
      </c>
      <c r="AG123" s="214"/>
      <c r="AH123" s="251">
        <v>2026</v>
      </c>
      <c r="AI123" s="254">
        <v>-1.5</v>
      </c>
      <c r="AJ123" s="254">
        <v>-9.9999999999999978E-2</v>
      </c>
      <c r="AK123" s="254" t="s">
        <v>82</v>
      </c>
      <c r="AL123" s="254">
        <v>-0.1</v>
      </c>
      <c r="AM123" s="254" t="s">
        <v>82</v>
      </c>
      <c r="AN123" s="254" t="s">
        <v>82</v>
      </c>
      <c r="AO123" s="254" t="s">
        <v>82</v>
      </c>
    </row>
    <row customFormat="1" r="124" s="205" spans="1:41" x14ac:dyDescent="0.2">
      <c r="A124" s="249">
        <v>120</v>
      </c>
      <c r="B124" s="195">
        <v>4</v>
      </c>
      <c r="C124" s="195" t="s">
        <v>178</v>
      </c>
      <c r="D124" s="195">
        <v>2</v>
      </c>
      <c r="E124" s="195" t="s">
        <v>192</v>
      </c>
      <c r="F124" s="196">
        <v>44248</v>
      </c>
      <c r="G124" s="250" t="s">
        <v>10</v>
      </c>
      <c r="H124" s="251">
        <v>2108</v>
      </c>
      <c r="I124" s="196" t="s">
        <v>287</v>
      </c>
      <c r="J124" s="199">
        <v>1730</v>
      </c>
      <c r="K124" s="199">
        <v>1759</v>
      </c>
      <c r="L124" s="252">
        <v>1737</v>
      </c>
      <c r="M124" s="249">
        <v>0</v>
      </c>
      <c r="N124" s="200">
        <v>0</v>
      </c>
      <c r="O124" s="253"/>
      <c r="P124" s="251">
        <v>2108</v>
      </c>
      <c r="Q124" s="254">
        <v>7.5</v>
      </c>
      <c r="R124" s="255"/>
      <c r="S124" s="255"/>
      <c r="T124" s="255"/>
      <c r="U124" s="255"/>
      <c r="V124" s="255"/>
      <c r="W124" s="255"/>
      <c r="X124" s="214"/>
      <c r="Y124" s="251">
        <v>2108</v>
      </c>
      <c r="Z124" s="213">
        <v>0</v>
      </c>
      <c r="AA124" s="255"/>
      <c r="AB124" s="255"/>
      <c r="AC124" s="255"/>
      <c r="AD124" s="255"/>
      <c r="AE124" s="255"/>
      <c r="AF124" s="255"/>
      <c r="AG124" s="214"/>
      <c r="AH124" s="251">
        <v>2108</v>
      </c>
      <c r="AI124" s="254">
        <v>-7.5</v>
      </c>
      <c r="AJ124" s="254" t="s">
        <v>82</v>
      </c>
      <c r="AK124" s="254" t="s">
        <v>82</v>
      </c>
      <c r="AL124" s="254" t="s">
        <v>82</v>
      </c>
      <c r="AM124" s="254" t="s">
        <v>82</v>
      </c>
      <c r="AN124" s="254" t="s">
        <v>82</v>
      </c>
      <c r="AO124" s="254" t="s">
        <v>82</v>
      </c>
    </row>
    <row customFormat="1" r="125" s="205" spans="1:41" x14ac:dyDescent="0.2">
      <c r="A125" s="249">
        <v>121</v>
      </c>
      <c r="B125" s="195">
        <v>4</v>
      </c>
      <c r="C125" s="195" t="s">
        <v>178</v>
      </c>
      <c r="D125" s="195">
        <v>2</v>
      </c>
      <c r="E125" s="195" t="s">
        <v>192</v>
      </c>
      <c r="F125" s="196">
        <v>44316</v>
      </c>
      <c r="G125" s="250" t="s">
        <v>8</v>
      </c>
      <c r="H125" s="251">
        <v>2118</v>
      </c>
      <c r="I125" s="196" t="s">
        <v>590</v>
      </c>
      <c r="J125" s="199">
        <v>2330</v>
      </c>
      <c r="K125" s="199">
        <v>2414</v>
      </c>
      <c r="L125" s="252">
        <v>2332</v>
      </c>
      <c r="M125" s="249">
        <v>0</v>
      </c>
      <c r="N125" s="200">
        <v>0</v>
      </c>
      <c r="O125" s="253"/>
      <c r="P125" s="251">
        <v>2118</v>
      </c>
      <c r="Q125" s="254">
        <v>8.1</v>
      </c>
      <c r="R125" s="255"/>
      <c r="S125" s="255"/>
      <c r="T125" s="255"/>
      <c r="U125" s="255"/>
      <c r="V125" s="255"/>
      <c r="W125" s="255"/>
      <c r="X125" s="214"/>
      <c r="Y125" s="251">
        <v>2118</v>
      </c>
      <c r="Z125" s="213">
        <v>4.5</v>
      </c>
      <c r="AA125" s="255"/>
      <c r="AB125" s="255"/>
      <c r="AC125" s="255"/>
      <c r="AD125" s="255"/>
      <c r="AE125" s="255"/>
      <c r="AF125" s="255"/>
      <c r="AG125" s="214"/>
      <c r="AH125" s="251">
        <v>2118</v>
      </c>
      <c r="AI125" s="254">
        <v>-3.5999999999999996</v>
      </c>
      <c r="AJ125" s="254" t="s">
        <v>82</v>
      </c>
      <c r="AK125" s="254" t="s">
        <v>82</v>
      </c>
      <c r="AL125" s="254" t="s">
        <v>82</v>
      </c>
      <c r="AM125" s="254" t="s">
        <v>82</v>
      </c>
      <c r="AN125" s="254" t="s">
        <v>82</v>
      </c>
      <c r="AO125" s="254" t="s">
        <v>82</v>
      </c>
    </row>
    <row customFormat="1" r="126" s="205" spans="1:41" x14ac:dyDescent="0.2">
      <c r="A126" s="249">
        <v>122</v>
      </c>
      <c r="B126" s="195">
        <v>4</v>
      </c>
      <c r="C126" s="195" t="s">
        <v>178</v>
      </c>
      <c r="D126" s="195">
        <v>3</v>
      </c>
      <c r="E126" s="195" t="s">
        <v>591</v>
      </c>
      <c r="F126" s="196">
        <v>43937</v>
      </c>
      <c r="G126" s="250" t="s">
        <v>7</v>
      </c>
      <c r="H126" s="251">
        <v>2016</v>
      </c>
      <c r="I126" s="196" t="s">
        <v>356</v>
      </c>
      <c r="J126" s="199">
        <v>525</v>
      </c>
      <c r="K126" s="199">
        <v>609</v>
      </c>
      <c r="L126" s="252">
        <v>527</v>
      </c>
      <c r="M126" s="249">
        <v>0</v>
      </c>
      <c r="N126" s="200">
        <v>0</v>
      </c>
      <c r="O126" s="253"/>
      <c r="P126" s="251">
        <v>2016</v>
      </c>
      <c r="Q126" s="254">
        <v>1.1000000000000001</v>
      </c>
      <c r="R126" s="255"/>
      <c r="S126" s="255"/>
      <c r="T126" s="255"/>
      <c r="U126" s="255"/>
      <c r="V126" s="255"/>
      <c r="W126" s="255"/>
      <c r="X126" s="214"/>
      <c r="Y126" s="251">
        <v>2016</v>
      </c>
      <c r="Z126" s="213">
        <v>0</v>
      </c>
      <c r="AA126" s="255"/>
      <c r="AB126" s="255"/>
      <c r="AC126" s="255"/>
      <c r="AD126" s="255"/>
      <c r="AE126" s="255"/>
      <c r="AF126" s="255"/>
      <c r="AG126" s="214"/>
      <c r="AH126" s="251">
        <v>2016</v>
      </c>
      <c r="AI126" s="254">
        <v>-1.1000000000000001</v>
      </c>
      <c r="AJ126" s="254" t="s">
        <v>82</v>
      </c>
      <c r="AK126" s="254" t="s">
        <v>82</v>
      </c>
      <c r="AL126" s="254" t="s">
        <v>82</v>
      </c>
      <c r="AM126" s="254" t="s">
        <v>82</v>
      </c>
      <c r="AN126" s="254" t="s">
        <v>82</v>
      </c>
      <c r="AO126" s="254" t="s">
        <v>82</v>
      </c>
    </row>
    <row customFormat="1" r="127" s="205" spans="1:41" x14ac:dyDescent="0.2">
      <c r="A127" s="249">
        <v>123</v>
      </c>
      <c r="B127" s="195">
        <v>4</v>
      </c>
      <c r="C127" s="195" t="s">
        <v>178</v>
      </c>
      <c r="D127" s="195">
        <v>3</v>
      </c>
      <c r="E127" s="195" t="s">
        <v>591</v>
      </c>
      <c r="F127" s="196">
        <v>43997</v>
      </c>
      <c r="G127" s="250" t="s">
        <v>4</v>
      </c>
      <c r="H127" s="251">
        <v>2025</v>
      </c>
      <c r="I127" s="196" t="s">
        <v>592</v>
      </c>
      <c r="J127" s="199">
        <v>1055</v>
      </c>
      <c r="K127" s="199">
        <v>1114</v>
      </c>
      <c r="L127" s="252">
        <v>1102</v>
      </c>
      <c r="M127" s="249">
        <v>0</v>
      </c>
      <c r="N127" s="200">
        <v>0</v>
      </c>
      <c r="O127" s="253"/>
      <c r="P127" s="251">
        <v>2025</v>
      </c>
      <c r="Q127" s="254">
        <v>12.4</v>
      </c>
      <c r="R127" s="255"/>
      <c r="S127" s="255"/>
      <c r="T127" s="255"/>
      <c r="U127" s="255"/>
      <c r="V127" s="255"/>
      <c r="W127" s="255"/>
      <c r="X127" s="214"/>
      <c r="Y127" s="251">
        <v>2025</v>
      </c>
      <c r="Z127" s="213">
        <v>0</v>
      </c>
      <c r="AA127" s="255"/>
      <c r="AB127" s="255"/>
      <c r="AC127" s="255"/>
      <c r="AD127" s="255"/>
      <c r="AE127" s="255"/>
      <c r="AF127" s="255"/>
      <c r="AG127" s="214"/>
      <c r="AH127" s="251">
        <v>2025</v>
      </c>
      <c r="AI127" s="254">
        <v>-12.4</v>
      </c>
      <c r="AJ127" s="254" t="s">
        <v>82</v>
      </c>
      <c r="AK127" s="254" t="s">
        <v>82</v>
      </c>
      <c r="AL127" s="254" t="s">
        <v>82</v>
      </c>
      <c r="AM127" s="254" t="s">
        <v>82</v>
      </c>
      <c r="AN127" s="254" t="s">
        <v>82</v>
      </c>
      <c r="AO127" s="254" t="s">
        <v>82</v>
      </c>
    </row>
    <row customFormat="1" r="128" s="205" spans="1:41" x14ac:dyDescent="0.2">
      <c r="A128" s="249">
        <v>124</v>
      </c>
      <c r="B128" s="195">
        <v>4</v>
      </c>
      <c r="C128" s="195" t="s">
        <v>178</v>
      </c>
      <c r="D128" s="195">
        <v>3</v>
      </c>
      <c r="E128" s="195" t="s">
        <v>591</v>
      </c>
      <c r="F128" s="196">
        <v>44113</v>
      </c>
      <c r="G128" s="250" t="s">
        <v>8</v>
      </c>
      <c r="H128" s="251">
        <v>2041</v>
      </c>
      <c r="I128" s="196" t="s">
        <v>561</v>
      </c>
      <c r="J128" s="199">
        <v>800</v>
      </c>
      <c r="K128" s="199">
        <v>949</v>
      </c>
      <c r="L128" s="252">
        <v>807</v>
      </c>
      <c r="M128" s="249">
        <v>0</v>
      </c>
      <c r="N128" s="200">
        <v>0</v>
      </c>
      <c r="O128" s="253"/>
      <c r="P128" s="251">
        <v>2041</v>
      </c>
      <c r="Q128" s="254">
        <v>7</v>
      </c>
      <c r="R128" s="255"/>
      <c r="S128" s="255"/>
      <c r="T128" s="255"/>
      <c r="U128" s="255"/>
      <c r="V128" s="255"/>
      <c r="W128" s="255"/>
      <c r="X128" s="214"/>
      <c r="Y128" s="251">
        <v>2041</v>
      </c>
      <c r="Z128" s="213">
        <v>0</v>
      </c>
      <c r="AA128" s="255"/>
      <c r="AB128" s="255"/>
      <c r="AC128" s="255"/>
      <c r="AD128" s="255"/>
      <c r="AE128" s="255"/>
      <c r="AF128" s="255"/>
      <c r="AG128" s="214"/>
      <c r="AH128" s="251">
        <v>2041</v>
      </c>
      <c r="AI128" s="254">
        <v>-7</v>
      </c>
      <c r="AJ128" s="254" t="s">
        <v>82</v>
      </c>
      <c r="AK128" s="254" t="s">
        <v>82</v>
      </c>
      <c r="AL128" s="254" t="s">
        <v>82</v>
      </c>
      <c r="AM128" s="254" t="s">
        <v>82</v>
      </c>
      <c r="AN128" s="254" t="s">
        <v>82</v>
      </c>
      <c r="AO128" s="254" t="s">
        <v>82</v>
      </c>
    </row>
    <row customFormat="1" r="129" s="205" spans="1:41" x14ac:dyDescent="0.2">
      <c r="A129" s="249">
        <v>125</v>
      </c>
      <c r="B129" s="195">
        <v>4</v>
      </c>
      <c r="C129" s="195" t="s">
        <v>178</v>
      </c>
      <c r="D129" s="195">
        <v>3</v>
      </c>
      <c r="E129" s="195" t="s">
        <v>591</v>
      </c>
      <c r="F129" s="196">
        <v>44223</v>
      </c>
      <c r="G129" s="250" t="s">
        <v>6</v>
      </c>
      <c r="H129" s="251">
        <v>2105</v>
      </c>
      <c r="I129" s="196" t="s">
        <v>539</v>
      </c>
      <c r="J129" s="199">
        <v>1130</v>
      </c>
      <c r="K129" s="199">
        <v>1154</v>
      </c>
      <c r="L129" s="252">
        <v>1132</v>
      </c>
      <c r="M129" s="249">
        <v>0</v>
      </c>
      <c r="N129" s="200">
        <v>0</v>
      </c>
      <c r="O129" s="253"/>
      <c r="P129" s="251">
        <v>2105</v>
      </c>
      <c r="Q129" s="254">
        <v>4.7</v>
      </c>
      <c r="R129" s="255"/>
      <c r="S129" s="255"/>
      <c r="T129" s="255"/>
      <c r="U129" s="255"/>
      <c r="V129" s="255"/>
      <c r="W129" s="255"/>
      <c r="X129" s="214"/>
      <c r="Y129" s="251">
        <v>2105</v>
      </c>
      <c r="Z129" s="213">
        <v>0</v>
      </c>
      <c r="AA129" s="255"/>
      <c r="AB129" s="255"/>
      <c r="AC129" s="255"/>
      <c r="AD129" s="255"/>
      <c r="AE129" s="255"/>
      <c r="AF129" s="255"/>
      <c r="AG129" s="214"/>
      <c r="AH129" s="251">
        <v>2105</v>
      </c>
      <c r="AI129" s="254">
        <v>-4.7</v>
      </c>
      <c r="AJ129" s="254" t="s">
        <v>82</v>
      </c>
      <c r="AK129" s="254" t="s">
        <v>82</v>
      </c>
      <c r="AL129" s="254" t="s">
        <v>82</v>
      </c>
      <c r="AM129" s="254" t="s">
        <v>82</v>
      </c>
      <c r="AN129" s="254" t="s">
        <v>82</v>
      </c>
      <c r="AO129" s="254" t="s">
        <v>82</v>
      </c>
    </row>
    <row customFormat="1" r="130" s="205" spans="1:41" x14ac:dyDescent="0.2">
      <c r="A130" s="249">
        <v>126</v>
      </c>
      <c r="B130" s="195">
        <v>4</v>
      </c>
      <c r="C130" s="195" t="s">
        <v>178</v>
      </c>
      <c r="D130" s="195">
        <v>3</v>
      </c>
      <c r="E130" s="195" t="s">
        <v>591</v>
      </c>
      <c r="F130" s="196">
        <v>44349</v>
      </c>
      <c r="G130" s="250" t="s">
        <v>6</v>
      </c>
      <c r="H130" s="251">
        <v>2123</v>
      </c>
      <c r="I130" s="196" t="s">
        <v>539</v>
      </c>
      <c r="J130" s="199">
        <v>1130</v>
      </c>
      <c r="K130" s="199">
        <v>1154</v>
      </c>
      <c r="L130" s="252">
        <v>1132</v>
      </c>
      <c r="M130" s="249">
        <v>0</v>
      </c>
      <c r="N130" s="200">
        <v>0</v>
      </c>
      <c r="O130" s="253"/>
      <c r="P130" s="251">
        <v>2123</v>
      </c>
      <c r="Q130" s="254">
        <v>1.7</v>
      </c>
      <c r="R130" s="255"/>
      <c r="S130" s="255"/>
      <c r="T130" s="255"/>
      <c r="U130" s="255"/>
      <c r="V130" s="255"/>
      <c r="W130" s="255"/>
      <c r="X130" s="214"/>
      <c r="Y130" s="251">
        <v>2123</v>
      </c>
      <c r="Z130" s="213">
        <v>0</v>
      </c>
      <c r="AA130" s="255"/>
      <c r="AB130" s="255"/>
      <c r="AC130" s="255"/>
      <c r="AD130" s="255"/>
      <c r="AE130" s="255"/>
      <c r="AF130" s="255"/>
      <c r="AG130" s="214"/>
      <c r="AH130" s="251">
        <v>2123</v>
      </c>
      <c r="AI130" s="254">
        <v>-1.7</v>
      </c>
      <c r="AJ130" s="254" t="s">
        <v>82</v>
      </c>
      <c r="AK130" s="254" t="s">
        <v>82</v>
      </c>
      <c r="AL130" s="254" t="s">
        <v>82</v>
      </c>
      <c r="AM130" s="254" t="s">
        <v>82</v>
      </c>
      <c r="AN130" s="254" t="s">
        <v>82</v>
      </c>
      <c r="AO130" s="254" t="s">
        <v>82</v>
      </c>
    </row>
    <row customFormat="1" r="131" s="205" spans="1:41" x14ac:dyDescent="0.2">
      <c r="A131" s="249">
        <v>127</v>
      </c>
      <c r="B131" s="195">
        <v>4</v>
      </c>
      <c r="C131" s="195" t="s">
        <v>178</v>
      </c>
      <c r="D131" s="195">
        <v>4</v>
      </c>
      <c r="E131" s="195" t="s">
        <v>549</v>
      </c>
      <c r="F131" s="196">
        <v>43978</v>
      </c>
      <c r="G131" s="250" t="s">
        <v>6</v>
      </c>
      <c r="H131" s="251">
        <v>2022</v>
      </c>
      <c r="I131" s="196" t="s">
        <v>577</v>
      </c>
      <c r="J131" s="199">
        <v>1500</v>
      </c>
      <c r="K131" s="199">
        <v>1507</v>
      </c>
      <c r="L131" s="252">
        <v>1502</v>
      </c>
      <c r="M131" s="249">
        <v>0</v>
      </c>
      <c r="N131" s="200">
        <v>0</v>
      </c>
      <c r="O131" s="253"/>
      <c r="P131" s="251">
        <v>2022</v>
      </c>
      <c r="Q131" s="254">
        <v>1.9</v>
      </c>
      <c r="R131" s="255"/>
      <c r="S131" s="255"/>
      <c r="T131" s="255"/>
      <c r="U131" s="255"/>
      <c r="V131" s="255"/>
      <c r="W131" s="255"/>
      <c r="X131" s="214"/>
      <c r="Y131" s="251">
        <v>2022</v>
      </c>
      <c r="Z131" s="213">
        <v>0</v>
      </c>
      <c r="AA131" s="255"/>
      <c r="AB131" s="255"/>
      <c r="AC131" s="255"/>
      <c r="AD131" s="255"/>
      <c r="AE131" s="255"/>
      <c r="AF131" s="255"/>
      <c r="AG131" s="214"/>
      <c r="AH131" s="251">
        <v>2022</v>
      </c>
      <c r="AI131" s="254">
        <v>-1.9</v>
      </c>
      <c r="AJ131" s="254" t="s">
        <v>82</v>
      </c>
      <c r="AK131" s="254" t="s">
        <v>82</v>
      </c>
      <c r="AL131" s="254" t="s">
        <v>82</v>
      </c>
      <c r="AM131" s="254" t="s">
        <v>82</v>
      </c>
      <c r="AN131" s="254" t="s">
        <v>82</v>
      </c>
      <c r="AO131" s="254" t="s">
        <v>82</v>
      </c>
    </row>
    <row customFormat="1" r="132" s="205" spans="1:41" x14ac:dyDescent="0.2">
      <c r="A132" s="249">
        <v>128</v>
      </c>
      <c r="B132" s="195">
        <v>4</v>
      </c>
      <c r="C132" s="195" t="s">
        <v>178</v>
      </c>
      <c r="D132" s="195">
        <v>4</v>
      </c>
      <c r="E132" s="195" t="s">
        <v>549</v>
      </c>
      <c r="F132" s="196">
        <v>44125</v>
      </c>
      <c r="G132" s="250" t="s">
        <v>6</v>
      </c>
      <c r="H132" s="251">
        <v>2043</v>
      </c>
      <c r="I132" s="196" t="s">
        <v>577</v>
      </c>
      <c r="J132" s="199">
        <v>1600</v>
      </c>
      <c r="K132" s="199">
        <v>1604</v>
      </c>
      <c r="L132" s="252">
        <v>1602</v>
      </c>
      <c r="M132" s="249">
        <v>0</v>
      </c>
      <c r="N132" s="200">
        <v>0</v>
      </c>
      <c r="O132" s="253"/>
      <c r="P132" s="251">
        <v>2043</v>
      </c>
      <c r="Q132" s="254">
        <v>2.1</v>
      </c>
      <c r="R132" s="255"/>
      <c r="S132" s="255"/>
      <c r="T132" s="255"/>
      <c r="U132" s="255"/>
      <c r="V132" s="255"/>
      <c r="W132" s="255"/>
      <c r="X132" s="214"/>
      <c r="Y132" s="251">
        <v>2043</v>
      </c>
      <c r="Z132" s="213">
        <v>0</v>
      </c>
      <c r="AA132" s="255"/>
      <c r="AB132" s="255"/>
      <c r="AC132" s="255"/>
      <c r="AD132" s="255"/>
      <c r="AE132" s="255"/>
      <c r="AF132" s="255"/>
      <c r="AG132" s="214"/>
      <c r="AH132" s="251">
        <v>2043</v>
      </c>
      <c r="AI132" s="254">
        <v>-2.1</v>
      </c>
      <c r="AJ132" s="254" t="s">
        <v>82</v>
      </c>
      <c r="AK132" s="254" t="s">
        <v>82</v>
      </c>
      <c r="AL132" s="254" t="s">
        <v>82</v>
      </c>
      <c r="AM132" s="254" t="s">
        <v>82</v>
      </c>
      <c r="AN132" s="254" t="s">
        <v>82</v>
      </c>
      <c r="AO132" s="254" t="s">
        <v>82</v>
      </c>
    </row>
    <row customFormat="1" r="133" s="205" spans="1:41" x14ac:dyDescent="0.2">
      <c r="A133" s="249">
        <v>129</v>
      </c>
      <c r="B133" s="195">
        <v>4</v>
      </c>
      <c r="C133" s="195" t="s">
        <v>178</v>
      </c>
      <c r="D133" s="195">
        <v>4</v>
      </c>
      <c r="E133" s="195" t="s">
        <v>549</v>
      </c>
      <c r="F133" s="196">
        <v>44126</v>
      </c>
      <c r="G133" s="250" t="s">
        <v>7</v>
      </c>
      <c r="H133" s="251">
        <v>2043</v>
      </c>
      <c r="I133" s="196" t="s">
        <v>593</v>
      </c>
      <c r="J133" s="199">
        <v>1900</v>
      </c>
      <c r="K133" s="199">
        <v>1929</v>
      </c>
      <c r="L133" s="252">
        <v>1902</v>
      </c>
      <c r="M133" s="249">
        <v>0</v>
      </c>
      <c r="N133" s="200">
        <v>0</v>
      </c>
      <c r="O133" s="253"/>
      <c r="P133" s="251">
        <v>2043</v>
      </c>
      <c r="Q133" s="254">
        <v>3.9</v>
      </c>
      <c r="R133" s="255"/>
      <c r="S133" s="255"/>
      <c r="T133" s="255"/>
      <c r="U133" s="255"/>
      <c r="V133" s="255"/>
      <c r="W133" s="255"/>
      <c r="X133" s="214"/>
      <c r="Y133" s="251">
        <v>2043</v>
      </c>
      <c r="Z133" s="213">
        <v>0</v>
      </c>
      <c r="AA133" s="255"/>
      <c r="AB133" s="255"/>
      <c r="AC133" s="255"/>
      <c r="AD133" s="255"/>
      <c r="AE133" s="255"/>
      <c r="AF133" s="255"/>
      <c r="AG133" s="214"/>
      <c r="AH133" s="251">
        <v>2043</v>
      </c>
      <c r="AI133" s="254">
        <v>-3.9</v>
      </c>
      <c r="AJ133" s="254" t="s">
        <v>82</v>
      </c>
      <c r="AK133" s="254" t="s">
        <v>82</v>
      </c>
      <c r="AL133" s="254" t="s">
        <v>82</v>
      </c>
      <c r="AM133" s="254" t="s">
        <v>82</v>
      </c>
      <c r="AN133" s="254" t="s">
        <v>82</v>
      </c>
      <c r="AO133" s="254" t="s">
        <v>82</v>
      </c>
    </row>
    <row customFormat="1" r="134" s="205" spans="1:41" x14ac:dyDescent="0.2">
      <c r="A134" s="249">
        <v>130</v>
      </c>
      <c r="B134" s="195">
        <v>4</v>
      </c>
      <c r="C134" s="195" t="s">
        <v>178</v>
      </c>
      <c r="D134" s="195">
        <v>4</v>
      </c>
      <c r="E134" s="195" t="s">
        <v>549</v>
      </c>
      <c r="F134" s="196">
        <v>44146</v>
      </c>
      <c r="G134" s="250" t="s">
        <v>6</v>
      </c>
      <c r="H134" s="251">
        <v>2046</v>
      </c>
      <c r="I134" s="196" t="s">
        <v>577</v>
      </c>
      <c r="J134" s="199">
        <v>1500</v>
      </c>
      <c r="K134" s="199">
        <v>1507</v>
      </c>
      <c r="L134" s="252">
        <v>1502</v>
      </c>
      <c r="M134" s="249">
        <v>0</v>
      </c>
      <c r="N134" s="200">
        <v>0</v>
      </c>
      <c r="O134" s="253"/>
      <c r="P134" s="251">
        <v>2046</v>
      </c>
      <c r="Q134" s="254">
        <v>1.2</v>
      </c>
      <c r="R134" s="255"/>
      <c r="S134" s="255"/>
      <c r="T134" s="255"/>
      <c r="U134" s="255"/>
      <c r="V134" s="255"/>
      <c r="W134" s="255"/>
      <c r="X134" s="214"/>
      <c r="Y134" s="251">
        <v>2046</v>
      </c>
      <c r="Z134" s="213">
        <v>0</v>
      </c>
      <c r="AA134" s="255"/>
      <c r="AB134" s="255"/>
      <c r="AC134" s="255"/>
      <c r="AD134" s="255"/>
      <c r="AE134" s="255"/>
      <c r="AF134" s="255"/>
      <c r="AG134" s="214"/>
      <c r="AH134" s="251">
        <v>2046</v>
      </c>
      <c r="AI134" s="254">
        <v>-1.2</v>
      </c>
      <c r="AJ134" s="254" t="s">
        <v>82</v>
      </c>
      <c r="AK134" s="254" t="s">
        <v>82</v>
      </c>
      <c r="AL134" s="254" t="s">
        <v>82</v>
      </c>
      <c r="AM134" s="254" t="s">
        <v>82</v>
      </c>
      <c r="AN134" s="254" t="s">
        <v>82</v>
      </c>
      <c r="AO134" s="254" t="s">
        <v>82</v>
      </c>
    </row>
    <row customFormat="1" r="135" s="205" spans="1:41" x14ac:dyDescent="0.2">
      <c r="A135" s="249">
        <v>131</v>
      </c>
      <c r="B135" s="195">
        <v>4</v>
      </c>
      <c r="C135" s="195" t="s">
        <v>178</v>
      </c>
      <c r="D135" s="195">
        <v>4</v>
      </c>
      <c r="E135" s="195" t="s">
        <v>549</v>
      </c>
      <c r="F135" s="196">
        <v>44162</v>
      </c>
      <c r="G135" s="250" t="s">
        <v>8</v>
      </c>
      <c r="H135" s="251">
        <v>2048</v>
      </c>
      <c r="I135" s="196" t="s">
        <v>594</v>
      </c>
      <c r="J135" s="199">
        <v>1810</v>
      </c>
      <c r="K135" s="199">
        <v>1859</v>
      </c>
      <c r="L135" s="252">
        <v>1814</v>
      </c>
      <c r="M135" s="249">
        <v>0</v>
      </c>
      <c r="N135" s="200">
        <v>0</v>
      </c>
      <c r="O135" s="253"/>
      <c r="P135" s="251">
        <v>2048</v>
      </c>
      <c r="Q135" s="254">
        <v>4.2</v>
      </c>
      <c r="R135" s="255"/>
      <c r="S135" s="255"/>
      <c r="T135" s="255"/>
      <c r="U135" s="255"/>
      <c r="V135" s="255"/>
      <c r="W135" s="255"/>
      <c r="X135" s="214"/>
      <c r="Y135" s="251">
        <v>2048</v>
      </c>
      <c r="Z135" s="213">
        <v>0</v>
      </c>
      <c r="AA135" s="255"/>
      <c r="AB135" s="255"/>
      <c r="AC135" s="255"/>
      <c r="AD135" s="255"/>
      <c r="AE135" s="255"/>
      <c r="AF135" s="255"/>
      <c r="AG135" s="214"/>
      <c r="AH135" s="251">
        <v>2048</v>
      </c>
      <c r="AI135" s="254">
        <v>-4.2</v>
      </c>
      <c r="AJ135" s="254" t="s">
        <v>82</v>
      </c>
      <c r="AK135" s="254" t="s">
        <v>82</v>
      </c>
      <c r="AL135" s="254" t="s">
        <v>82</v>
      </c>
      <c r="AM135" s="254" t="s">
        <v>82</v>
      </c>
      <c r="AN135" s="254" t="s">
        <v>82</v>
      </c>
      <c r="AO135" s="254" t="s">
        <v>82</v>
      </c>
    </row>
    <row customFormat="1" r="136" s="205" spans="1:41" x14ac:dyDescent="0.2">
      <c r="A136" s="249">
        <v>132</v>
      </c>
      <c r="B136" s="195">
        <v>4</v>
      </c>
      <c r="C136" s="195" t="s">
        <v>178</v>
      </c>
      <c r="D136" s="195">
        <v>4</v>
      </c>
      <c r="E136" s="195" t="s">
        <v>549</v>
      </c>
      <c r="F136" s="196">
        <v>44211</v>
      </c>
      <c r="G136" s="250" t="s">
        <v>8</v>
      </c>
      <c r="H136" s="251">
        <v>2103</v>
      </c>
      <c r="I136" s="196" t="s">
        <v>566</v>
      </c>
      <c r="J136" s="199">
        <v>1700</v>
      </c>
      <c r="K136" s="199">
        <v>1703</v>
      </c>
      <c r="L136" s="252">
        <v>1702</v>
      </c>
      <c r="M136" s="249">
        <v>0</v>
      </c>
      <c r="N136" s="200">
        <v>0</v>
      </c>
      <c r="O136" s="253"/>
      <c r="P136" s="251">
        <v>2103</v>
      </c>
      <c r="Q136" s="254">
        <v>1.7</v>
      </c>
      <c r="R136" s="255"/>
      <c r="S136" s="255"/>
      <c r="T136" s="255"/>
      <c r="U136" s="255"/>
      <c r="V136" s="255"/>
      <c r="W136" s="255"/>
      <c r="X136" s="214"/>
      <c r="Y136" s="251">
        <v>2103</v>
      </c>
      <c r="Z136" s="213">
        <v>0</v>
      </c>
      <c r="AA136" s="255"/>
      <c r="AB136" s="255"/>
      <c r="AC136" s="255"/>
      <c r="AD136" s="255"/>
      <c r="AE136" s="255"/>
      <c r="AF136" s="255"/>
      <c r="AG136" s="214"/>
      <c r="AH136" s="251">
        <v>2103</v>
      </c>
      <c r="AI136" s="254">
        <v>-1.7</v>
      </c>
      <c r="AJ136" s="254" t="s">
        <v>82</v>
      </c>
      <c r="AK136" s="254" t="s">
        <v>82</v>
      </c>
      <c r="AL136" s="254" t="s">
        <v>82</v>
      </c>
      <c r="AM136" s="254" t="s">
        <v>82</v>
      </c>
      <c r="AN136" s="254" t="s">
        <v>82</v>
      </c>
      <c r="AO136" s="254" t="s">
        <v>82</v>
      </c>
    </row>
    <row customFormat="1" r="137" s="205" spans="1:41" x14ac:dyDescent="0.2">
      <c r="A137" s="249">
        <v>133</v>
      </c>
      <c r="B137" s="195">
        <v>4</v>
      </c>
      <c r="C137" s="195" t="s">
        <v>178</v>
      </c>
      <c r="D137" s="195">
        <v>4</v>
      </c>
      <c r="E137" s="195" t="s">
        <v>549</v>
      </c>
      <c r="F137" s="196">
        <v>44234</v>
      </c>
      <c r="G137" s="250" t="s">
        <v>10</v>
      </c>
      <c r="H137" s="251">
        <v>2106</v>
      </c>
      <c r="I137" s="196" t="s">
        <v>577</v>
      </c>
      <c r="J137" s="199">
        <v>2400</v>
      </c>
      <c r="K137" s="199">
        <v>2404</v>
      </c>
      <c r="L137" s="252">
        <v>2402</v>
      </c>
      <c r="M137" s="249">
        <v>0</v>
      </c>
      <c r="N137" s="200">
        <v>0</v>
      </c>
      <c r="O137" s="253"/>
      <c r="P137" s="251">
        <v>2106</v>
      </c>
      <c r="Q137" s="254">
        <v>2.6</v>
      </c>
      <c r="R137" s="255"/>
      <c r="S137" s="255"/>
      <c r="T137" s="255"/>
      <c r="U137" s="255"/>
      <c r="V137" s="255"/>
      <c r="W137" s="255"/>
      <c r="X137" s="214"/>
      <c r="Y137" s="251">
        <v>2106</v>
      </c>
      <c r="Z137" s="213">
        <v>0</v>
      </c>
      <c r="AA137" s="255"/>
      <c r="AB137" s="255"/>
      <c r="AC137" s="255"/>
      <c r="AD137" s="255"/>
      <c r="AE137" s="255"/>
      <c r="AF137" s="255"/>
      <c r="AG137" s="214"/>
      <c r="AH137" s="251">
        <v>2106</v>
      </c>
      <c r="AI137" s="254">
        <v>-2.6</v>
      </c>
      <c r="AJ137" s="254" t="s">
        <v>82</v>
      </c>
      <c r="AK137" s="254" t="s">
        <v>82</v>
      </c>
      <c r="AL137" s="254" t="s">
        <v>82</v>
      </c>
      <c r="AM137" s="254" t="s">
        <v>82</v>
      </c>
      <c r="AN137" s="254" t="s">
        <v>82</v>
      </c>
      <c r="AO137" s="254" t="s">
        <v>82</v>
      </c>
    </row>
    <row customFormat="1" r="138" s="205" spans="1:41" x14ac:dyDescent="0.2">
      <c r="A138" s="249">
        <v>134</v>
      </c>
      <c r="B138" s="195">
        <v>4</v>
      </c>
      <c r="C138" s="195" t="s">
        <v>178</v>
      </c>
      <c r="D138" s="195">
        <v>4</v>
      </c>
      <c r="E138" s="195" t="s">
        <v>549</v>
      </c>
      <c r="F138" s="196">
        <v>44244</v>
      </c>
      <c r="G138" s="250" t="s">
        <v>6</v>
      </c>
      <c r="H138" s="251">
        <v>2108</v>
      </c>
      <c r="I138" s="196" t="s">
        <v>595</v>
      </c>
      <c r="J138" s="199">
        <v>1300</v>
      </c>
      <c r="K138" s="199">
        <v>1706</v>
      </c>
      <c r="L138" s="252">
        <v>1702</v>
      </c>
      <c r="M138" s="249">
        <v>0</v>
      </c>
      <c r="N138" s="200">
        <v>0</v>
      </c>
      <c r="O138" s="253"/>
      <c r="P138" s="251">
        <v>2108</v>
      </c>
      <c r="Q138" s="254">
        <v>1.9</v>
      </c>
      <c r="R138" s="255"/>
      <c r="S138" s="255"/>
      <c r="T138" s="255"/>
      <c r="U138" s="255"/>
      <c r="V138" s="255"/>
      <c r="W138" s="255"/>
      <c r="X138" s="214"/>
      <c r="Y138" s="251">
        <v>2108</v>
      </c>
      <c r="Z138" s="213">
        <v>0</v>
      </c>
      <c r="AA138" s="255"/>
      <c r="AB138" s="255"/>
      <c r="AC138" s="255"/>
      <c r="AD138" s="255"/>
      <c r="AE138" s="255"/>
      <c r="AF138" s="255"/>
      <c r="AG138" s="214"/>
      <c r="AH138" s="251">
        <v>2108</v>
      </c>
      <c r="AI138" s="254">
        <v>-1.9</v>
      </c>
      <c r="AJ138" s="254" t="s">
        <v>82</v>
      </c>
      <c r="AK138" s="254" t="s">
        <v>82</v>
      </c>
      <c r="AL138" s="254" t="s">
        <v>82</v>
      </c>
      <c r="AM138" s="254" t="s">
        <v>82</v>
      </c>
      <c r="AN138" s="254" t="s">
        <v>82</v>
      </c>
      <c r="AO138" s="254" t="s">
        <v>82</v>
      </c>
    </row>
    <row customFormat="1" r="139" s="205" spans="1:41" x14ac:dyDescent="0.2">
      <c r="A139" s="249">
        <v>135</v>
      </c>
      <c r="B139" s="195">
        <v>4</v>
      </c>
      <c r="C139" s="195" t="s">
        <v>178</v>
      </c>
      <c r="D139" s="195">
        <v>4</v>
      </c>
      <c r="E139" s="195" t="s">
        <v>549</v>
      </c>
      <c r="F139" s="196">
        <v>44286</v>
      </c>
      <c r="G139" s="250" t="s">
        <v>6</v>
      </c>
      <c r="H139" s="251">
        <v>2114</v>
      </c>
      <c r="I139" s="196" t="s">
        <v>577</v>
      </c>
      <c r="J139" s="199">
        <v>1600</v>
      </c>
      <c r="K139" s="199">
        <v>1604</v>
      </c>
      <c r="L139" s="252">
        <v>1602</v>
      </c>
      <c r="M139" s="249">
        <v>0</v>
      </c>
      <c r="N139" s="200">
        <v>0</v>
      </c>
      <c r="O139" s="253"/>
      <c r="P139" s="251">
        <v>2114</v>
      </c>
      <c r="Q139" s="254">
        <v>4.5</v>
      </c>
      <c r="R139" s="255"/>
      <c r="S139" s="255"/>
      <c r="T139" s="255"/>
      <c r="U139" s="255"/>
      <c r="V139" s="255"/>
      <c r="W139" s="255"/>
      <c r="X139" s="214"/>
      <c r="Y139" s="251">
        <v>2114</v>
      </c>
      <c r="Z139" s="213">
        <v>0</v>
      </c>
      <c r="AA139" s="255"/>
      <c r="AB139" s="255"/>
      <c r="AC139" s="255"/>
      <c r="AD139" s="255"/>
      <c r="AE139" s="255"/>
      <c r="AF139" s="255"/>
      <c r="AG139" s="214"/>
      <c r="AH139" s="251">
        <v>2114</v>
      </c>
      <c r="AI139" s="254">
        <v>-4.5</v>
      </c>
      <c r="AJ139" s="254" t="s">
        <v>82</v>
      </c>
      <c r="AK139" s="254" t="s">
        <v>82</v>
      </c>
      <c r="AL139" s="254" t="s">
        <v>82</v>
      </c>
      <c r="AM139" s="254" t="s">
        <v>82</v>
      </c>
      <c r="AN139" s="254" t="s">
        <v>82</v>
      </c>
      <c r="AO139" s="254" t="s">
        <v>82</v>
      </c>
    </row>
    <row customFormat="1" r="140" s="205" spans="1:41" x14ac:dyDescent="0.2">
      <c r="A140" s="249">
        <v>136</v>
      </c>
      <c r="B140" s="195">
        <v>4</v>
      </c>
      <c r="C140" s="195" t="s">
        <v>178</v>
      </c>
      <c r="D140" s="195">
        <v>4</v>
      </c>
      <c r="E140" s="195" t="s">
        <v>549</v>
      </c>
      <c r="F140" s="196">
        <v>44299</v>
      </c>
      <c r="G140" s="250" t="s">
        <v>5</v>
      </c>
      <c r="H140" s="251">
        <v>2116</v>
      </c>
      <c r="I140" s="196" t="s">
        <v>578</v>
      </c>
      <c r="J140" s="199">
        <v>2200</v>
      </c>
      <c r="K140" s="199">
        <v>2229</v>
      </c>
      <c r="L140" s="252">
        <v>2204</v>
      </c>
      <c r="M140" s="249">
        <v>0</v>
      </c>
      <c r="N140" s="200">
        <v>0</v>
      </c>
      <c r="O140" s="253"/>
      <c r="P140" s="251">
        <v>2116</v>
      </c>
      <c r="Q140" s="254">
        <v>3.5</v>
      </c>
      <c r="R140" s="255"/>
      <c r="S140" s="255"/>
      <c r="T140" s="255"/>
      <c r="U140" s="255"/>
      <c r="V140" s="255"/>
      <c r="W140" s="255"/>
      <c r="X140" s="214"/>
      <c r="Y140" s="251">
        <v>2116</v>
      </c>
      <c r="Z140" s="213">
        <v>0</v>
      </c>
      <c r="AA140" s="255"/>
      <c r="AB140" s="255"/>
      <c r="AC140" s="255"/>
      <c r="AD140" s="255"/>
      <c r="AE140" s="255"/>
      <c r="AF140" s="255"/>
      <c r="AG140" s="214"/>
      <c r="AH140" s="251">
        <v>2116</v>
      </c>
      <c r="AI140" s="254">
        <v>-3.5</v>
      </c>
      <c r="AJ140" s="254" t="s">
        <v>82</v>
      </c>
      <c r="AK140" s="254" t="s">
        <v>82</v>
      </c>
      <c r="AL140" s="254" t="s">
        <v>82</v>
      </c>
      <c r="AM140" s="254" t="s">
        <v>82</v>
      </c>
      <c r="AN140" s="254" t="s">
        <v>82</v>
      </c>
      <c r="AO140" s="254" t="s">
        <v>82</v>
      </c>
    </row>
    <row customFormat="1" r="141" s="205" spans="1:41" x14ac:dyDescent="0.2">
      <c r="A141" s="249">
        <v>137</v>
      </c>
      <c r="B141" s="195">
        <v>4</v>
      </c>
      <c r="C141" s="195" t="s">
        <v>178</v>
      </c>
      <c r="D141" s="195">
        <v>4</v>
      </c>
      <c r="E141" s="195" t="s">
        <v>549</v>
      </c>
      <c r="F141" s="196">
        <v>44321</v>
      </c>
      <c r="G141" s="250" t="s">
        <v>6</v>
      </c>
      <c r="H141" s="251">
        <v>2119</v>
      </c>
      <c r="I141" s="196" t="s">
        <v>566</v>
      </c>
      <c r="J141" s="199">
        <v>1800</v>
      </c>
      <c r="K141" s="199">
        <v>1804</v>
      </c>
      <c r="L141" s="252">
        <v>1802</v>
      </c>
      <c r="M141" s="249">
        <v>0</v>
      </c>
      <c r="N141" s="200">
        <v>0</v>
      </c>
      <c r="O141" s="253"/>
      <c r="P141" s="251">
        <v>2119</v>
      </c>
      <c r="Q141" s="254">
        <v>1.7</v>
      </c>
      <c r="R141" s="255"/>
      <c r="S141" s="255"/>
      <c r="T141" s="255"/>
      <c r="U141" s="255"/>
      <c r="V141" s="255"/>
      <c r="W141" s="255"/>
      <c r="X141" s="214"/>
      <c r="Y141" s="251">
        <v>2119</v>
      </c>
      <c r="Z141" s="213">
        <v>0</v>
      </c>
      <c r="AA141" s="255"/>
      <c r="AB141" s="255"/>
      <c r="AC141" s="255"/>
      <c r="AD141" s="255"/>
      <c r="AE141" s="255"/>
      <c r="AF141" s="255"/>
      <c r="AG141" s="214"/>
      <c r="AH141" s="251">
        <v>2119</v>
      </c>
      <c r="AI141" s="254">
        <v>-1.7</v>
      </c>
      <c r="AJ141" s="254" t="s">
        <v>82</v>
      </c>
      <c r="AK141" s="254" t="s">
        <v>82</v>
      </c>
      <c r="AL141" s="254" t="s">
        <v>82</v>
      </c>
      <c r="AM141" s="254" t="s">
        <v>82</v>
      </c>
      <c r="AN141" s="254" t="s">
        <v>82</v>
      </c>
      <c r="AO141" s="254" t="s">
        <v>82</v>
      </c>
    </row>
    <row customFormat="1" r="142" s="205" spans="1:41" x14ac:dyDescent="0.2">
      <c r="A142" s="249">
        <v>138</v>
      </c>
      <c r="B142" s="195">
        <v>4</v>
      </c>
      <c r="C142" s="195" t="s">
        <v>178</v>
      </c>
      <c r="D142" s="195">
        <v>5</v>
      </c>
      <c r="E142" s="195" t="s">
        <v>553</v>
      </c>
      <c r="F142" s="196">
        <v>44153</v>
      </c>
      <c r="G142" s="250" t="s">
        <v>6</v>
      </c>
      <c r="H142" s="251">
        <v>2047</v>
      </c>
      <c r="I142" s="196" t="s">
        <v>579</v>
      </c>
      <c r="J142" s="199">
        <v>1350</v>
      </c>
      <c r="K142" s="199">
        <v>1359</v>
      </c>
      <c r="L142" s="252">
        <v>1354</v>
      </c>
      <c r="M142" s="249">
        <v>0</v>
      </c>
      <c r="N142" s="200">
        <v>0</v>
      </c>
      <c r="O142" s="253"/>
      <c r="P142" s="251">
        <v>2047</v>
      </c>
      <c r="Q142" s="254">
        <v>3.4</v>
      </c>
      <c r="R142" s="255"/>
      <c r="S142" s="255"/>
      <c r="T142" s="255"/>
      <c r="U142" s="255"/>
      <c r="V142" s="255"/>
      <c r="W142" s="255"/>
      <c r="X142" s="214"/>
      <c r="Y142" s="251">
        <v>2047</v>
      </c>
      <c r="Z142" s="213">
        <v>0</v>
      </c>
      <c r="AA142" s="255"/>
      <c r="AB142" s="255"/>
      <c r="AC142" s="255"/>
      <c r="AD142" s="255"/>
      <c r="AE142" s="255"/>
      <c r="AF142" s="255"/>
      <c r="AG142" s="214"/>
      <c r="AH142" s="251">
        <v>2047</v>
      </c>
      <c r="AI142" s="254">
        <v>-3.4</v>
      </c>
      <c r="AJ142" s="254" t="s">
        <v>82</v>
      </c>
      <c r="AK142" s="254" t="s">
        <v>82</v>
      </c>
      <c r="AL142" s="254" t="s">
        <v>82</v>
      </c>
      <c r="AM142" s="254" t="s">
        <v>82</v>
      </c>
      <c r="AN142" s="254" t="s">
        <v>82</v>
      </c>
      <c r="AO142" s="254" t="s">
        <v>82</v>
      </c>
    </row>
    <row customFormat="1" r="143" s="205" spans="1:41" x14ac:dyDescent="0.2">
      <c r="A143" s="249">
        <v>139</v>
      </c>
      <c r="B143" s="195">
        <v>4</v>
      </c>
      <c r="C143" s="195" t="s">
        <v>178</v>
      </c>
      <c r="D143" s="195">
        <v>5</v>
      </c>
      <c r="E143" s="195" t="s">
        <v>553</v>
      </c>
      <c r="F143" s="196">
        <v>44176</v>
      </c>
      <c r="G143" s="250" t="s">
        <v>8</v>
      </c>
      <c r="H143" s="251">
        <v>2050</v>
      </c>
      <c r="I143" s="196" t="s">
        <v>596</v>
      </c>
      <c r="J143" s="199">
        <v>1605</v>
      </c>
      <c r="K143" s="199">
        <v>1619</v>
      </c>
      <c r="L143" s="252">
        <v>1617</v>
      </c>
      <c r="M143" s="249">
        <v>0</v>
      </c>
      <c r="N143" s="200">
        <v>0</v>
      </c>
      <c r="O143" s="253"/>
      <c r="P143" s="251">
        <v>2050</v>
      </c>
      <c r="Q143" s="254">
        <v>7.8</v>
      </c>
      <c r="R143" s="255"/>
      <c r="S143" s="255"/>
      <c r="T143" s="255"/>
      <c r="U143" s="255"/>
      <c r="V143" s="255"/>
      <c r="W143" s="255"/>
      <c r="X143" s="214"/>
      <c r="Y143" s="251">
        <v>2050</v>
      </c>
      <c r="Z143" s="213">
        <v>0</v>
      </c>
      <c r="AA143" s="255"/>
      <c r="AB143" s="255"/>
      <c r="AC143" s="255"/>
      <c r="AD143" s="255"/>
      <c r="AE143" s="255"/>
      <c r="AF143" s="255"/>
      <c r="AG143" s="214"/>
      <c r="AH143" s="251">
        <v>2050</v>
      </c>
      <c r="AI143" s="254">
        <v>-7.8</v>
      </c>
      <c r="AJ143" s="254" t="s">
        <v>82</v>
      </c>
      <c r="AK143" s="254" t="s">
        <v>82</v>
      </c>
      <c r="AL143" s="254" t="s">
        <v>82</v>
      </c>
      <c r="AM143" s="254" t="s">
        <v>82</v>
      </c>
      <c r="AN143" s="254" t="s">
        <v>82</v>
      </c>
      <c r="AO143" s="254" t="s">
        <v>82</v>
      </c>
    </row>
    <row customFormat="1" r="144" s="205" spans="1:41" x14ac:dyDescent="0.2">
      <c r="A144" s="249">
        <v>140</v>
      </c>
      <c r="B144" s="195">
        <v>4</v>
      </c>
      <c r="C144" s="195" t="s">
        <v>178</v>
      </c>
      <c r="D144" s="195">
        <v>5</v>
      </c>
      <c r="E144" s="195" t="s">
        <v>553</v>
      </c>
      <c r="F144" s="196">
        <v>44202</v>
      </c>
      <c r="G144" s="250" t="s">
        <v>6</v>
      </c>
      <c r="H144" s="251">
        <v>2102</v>
      </c>
      <c r="I144" s="196" t="s">
        <v>555</v>
      </c>
      <c r="J144" s="199">
        <v>2045</v>
      </c>
      <c r="K144" s="199">
        <v>2059</v>
      </c>
      <c r="L144" s="252">
        <v>2049</v>
      </c>
      <c r="M144" s="249">
        <v>0</v>
      </c>
      <c r="N144" s="200">
        <v>0</v>
      </c>
      <c r="O144" s="253"/>
      <c r="P144" s="251">
        <v>2102</v>
      </c>
      <c r="Q144" s="254">
        <v>7</v>
      </c>
      <c r="R144" s="255"/>
      <c r="S144" s="255"/>
      <c r="T144" s="255"/>
      <c r="U144" s="255"/>
      <c r="V144" s="255"/>
      <c r="W144" s="255"/>
      <c r="X144" s="214"/>
      <c r="Y144" s="251">
        <v>2102</v>
      </c>
      <c r="Z144" s="213">
        <v>0</v>
      </c>
      <c r="AA144" s="255"/>
      <c r="AB144" s="255"/>
      <c r="AC144" s="255"/>
      <c r="AD144" s="255"/>
      <c r="AE144" s="255"/>
      <c r="AF144" s="255"/>
      <c r="AG144" s="214"/>
      <c r="AH144" s="251">
        <v>2102</v>
      </c>
      <c r="AI144" s="254">
        <v>-7</v>
      </c>
      <c r="AJ144" s="254" t="s">
        <v>82</v>
      </c>
      <c r="AK144" s="254" t="s">
        <v>82</v>
      </c>
      <c r="AL144" s="254" t="s">
        <v>82</v>
      </c>
      <c r="AM144" s="254" t="s">
        <v>82</v>
      </c>
      <c r="AN144" s="254" t="s">
        <v>82</v>
      </c>
      <c r="AO144" s="254" t="s">
        <v>82</v>
      </c>
    </row>
    <row customFormat="1" r="145" s="205" spans="1:41" x14ac:dyDescent="0.2">
      <c r="A145" s="249">
        <v>141</v>
      </c>
      <c r="B145" s="195">
        <v>4</v>
      </c>
      <c r="C145" s="195" t="s">
        <v>178</v>
      </c>
      <c r="D145" s="195">
        <v>5</v>
      </c>
      <c r="E145" s="195" t="s">
        <v>553</v>
      </c>
      <c r="F145" s="196">
        <v>44210</v>
      </c>
      <c r="G145" s="250" t="s">
        <v>7</v>
      </c>
      <c r="H145" s="251">
        <v>2103</v>
      </c>
      <c r="I145" s="196" t="s">
        <v>597</v>
      </c>
      <c r="J145" s="199">
        <v>955</v>
      </c>
      <c r="K145" s="199">
        <v>1004</v>
      </c>
      <c r="L145" s="252">
        <v>1002</v>
      </c>
      <c r="M145" s="249">
        <v>0</v>
      </c>
      <c r="N145" s="200">
        <v>0</v>
      </c>
      <c r="O145" s="253"/>
      <c r="P145" s="251">
        <v>2103</v>
      </c>
      <c r="Q145" s="254">
        <v>14.2</v>
      </c>
      <c r="R145" s="255"/>
      <c r="S145" s="255"/>
      <c r="T145" s="255"/>
      <c r="U145" s="255"/>
      <c r="V145" s="255"/>
      <c r="W145" s="255"/>
      <c r="X145" s="214"/>
      <c r="Y145" s="251">
        <v>2103</v>
      </c>
      <c r="Z145" s="213">
        <v>0</v>
      </c>
      <c r="AA145" s="255"/>
      <c r="AB145" s="255"/>
      <c r="AC145" s="255"/>
      <c r="AD145" s="255"/>
      <c r="AE145" s="255"/>
      <c r="AF145" s="255"/>
      <c r="AG145" s="214"/>
      <c r="AH145" s="251">
        <v>2103</v>
      </c>
      <c r="AI145" s="254">
        <v>-14.2</v>
      </c>
      <c r="AJ145" s="254" t="s">
        <v>82</v>
      </c>
      <c r="AK145" s="254" t="s">
        <v>82</v>
      </c>
      <c r="AL145" s="254" t="s">
        <v>82</v>
      </c>
      <c r="AM145" s="254" t="s">
        <v>82</v>
      </c>
      <c r="AN145" s="254" t="s">
        <v>82</v>
      </c>
      <c r="AO145" s="254" t="s">
        <v>82</v>
      </c>
    </row>
    <row customFormat="1" r="146" s="205" spans="1:41" x14ac:dyDescent="0.2">
      <c r="A146" s="249">
        <v>142</v>
      </c>
      <c r="B146" s="195">
        <v>4</v>
      </c>
      <c r="C146" s="195" t="s">
        <v>178</v>
      </c>
      <c r="D146" s="195">
        <v>5</v>
      </c>
      <c r="E146" s="195" t="s">
        <v>553</v>
      </c>
      <c r="F146" s="196">
        <v>44221</v>
      </c>
      <c r="G146" s="250" t="s">
        <v>4</v>
      </c>
      <c r="H146" s="251">
        <v>2105</v>
      </c>
      <c r="I146" s="196" t="s">
        <v>579</v>
      </c>
      <c r="J146" s="199">
        <v>1350</v>
      </c>
      <c r="K146" s="199">
        <v>1359</v>
      </c>
      <c r="L146" s="252">
        <v>1354</v>
      </c>
      <c r="M146" s="249">
        <v>0</v>
      </c>
      <c r="N146" s="200">
        <v>0</v>
      </c>
      <c r="O146" s="253"/>
      <c r="P146" s="251">
        <v>2105</v>
      </c>
      <c r="Q146" s="254">
        <v>4.9000000000000004</v>
      </c>
      <c r="R146" s="255"/>
      <c r="S146" s="255"/>
      <c r="T146" s="255"/>
      <c r="U146" s="255"/>
      <c r="V146" s="255"/>
      <c r="W146" s="255"/>
      <c r="X146" s="214"/>
      <c r="Y146" s="251">
        <v>2105</v>
      </c>
      <c r="Z146" s="213">
        <v>0</v>
      </c>
      <c r="AA146" s="255"/>
      <c r="AB146" s="255"/>
      <c r="AC146" s="255"/>
      <c r="AD146" s="255"/>
      <c r="AE146" s="255"/>
      <c r="AF146" s="255"/>
      <c r="AG146" s="214"/>
      <c r="AH146" s="251">
        <v>2105</v>
      </c>
      <c r="AI146" s="254">
        <v>-4.9000000000000004</v>
      </c>
      <c r="AJ146" s="254" t="s">
        <v>82</v>
      </c>
      <c r="AK146" s="254" t="s">
        <v>82</v>
      </c>
      <c r="AL146" s="254" t="s">
        <v>82</v>
      </c>
      <c r="AM146" s="254" t="s">
        <v>82</v>
      </c>
      <c r="AN146" s="254" t="s">
        <v>82</v>
      </c>
      <c r="AO146" s="254" t="s">
        <v>82</v>
      </c>
    </row>
    <row customFormat="1" r="147" s="205" spans="1:41" x14ac:dyDescent="0.2">
      <c r="A147" s="249">
        <v>143</v>
      </c>
      <c r="B147" s="195">
        <v>4</v>
      </c>
      <c r="C147" s="195" t="s">
        <v>178</v>
      </c>
      <c r="D147" s="195">
        <v>5</v>
      </c>
      <c r="E147" s="195" t="s">
        <v>553</v>
      </c>
      <c r="F147" s="196">
        <v>44252</v>
      </c>
      <c r="G147" s="250" t="s">
        <v>7</v>
      </c>
      <c r="H147" s="251">
        <v>2109</v>
      </c>
      <c r="I147" s="196" t="s">
        <v>598</v>
      </c>
      <c r="J147" s="199">
        <v>930</v>
      </c>
      <c r="K147" s="199">
        <v>949</v>
      </c>
      <c r="L147" s="252">
        <v>934</v>
      </c>
      <c r="M147" s="249">
        <v>0</v>
      </c>
      <c r="N147" s="200">
        <v>0</v>
      </c>
      <c r="O147" s="253"/>
      <c r="P147" s="251">
        <v>2109</v>
      </c>
      <c r="Q147" s="254">
        <v>5</v>
      </c>
      <c r="R147" s="255"/>
      <c r="S147" s="255"/>
      <c r="T147" s="255"/>
      <c r="U147" s="255"/>
      <c r="V147" s="255"/>
      <c r="W147" s="255"/>
      <c r="X147" s="214"/>
      <c r="Y147" s="251">
        <v>2109</v>
      </c>
      <c r="Z147" s="213">
        <v>0</v>
      </c>
      <c r="AA147" s="255"/>
      <c r="AB147" s="255"/>
      <c r="AC147" s="255"/>
      <c r="AD147" s="255"/>
      <c r="AE147" s="255"/>
      <c r="AF147" s="255"/>
      <c r="AG147" s="214"/>
      <c r="AH147" s="251">
        <v>2109</v>
      </c>
      <c r="AI147" s="254">
        <v>-5</v>
      </c>
      <c r="AJ147" s="254" t="s">
        <v>82</v>
      </c>
      <c r="AK147" s="254" t="s">
        <v>82</v>
      </c>
      <c r="AL147" s="254" t="s">
        <v>82</v>
      </c>
      <c r="AM147" s="254" t="s">
        <v>82</v>
      </c>
      <c r="AN147" s="254" t="s">
        <v>82</v>
      </c>
      <c r="AO147" s="254" t="s">
        <v>82</v>
      </c>
    </row>
    <row customFormat="1" r="148" s="205" spans="1:41" x14ac:dyDescent="0.2">
      <c r="A148" s="249">
        <v>144</v>
      </c>
      <c r="B148" s="195">
        <v>4</v>
      </c>
      <c r="C148" s="195" t="s">
        <v>178</v>
      </c>
      <c r="D148" s="195">
        <v>5</v>
      </c>
      <c r="E148" s="195" t="s">
        <v>553</v>
      </c>
      <c r="F148" s="196">
        <v>44272</v>
      </c>
      <c r="G148" s="250" t="s">
        <v>6</v>
      </c>
      <c r="H148" s="251">
        <v>2112</v>
      </c>
      <c r="I148" s="196" t="s">
        <v>599</v>
      </c>
      <c r="J148" s="199">
        <v>1645</v>
      </c>
      <c r="K148" s="199">
        <v>1659</v>
      </c>
      <c r="L148" s="252">
        <v>1647</v>
      </c>
      <c r="M148" s="249">
        <v>0</v>
      </c>
      <c r="N148" s="200">
        <v>0</v>
      </c>
      <c r="O148" s="253"/>
      <c r="P148" s="251">
        <v>2112</v>
      </c>
      <c r="Q148" s="254">
        <v>11</v>
      </c>
      <c r="R148" s="255"/>
      <c r="S148" s="255"/>
      <c r="T148" s="255"/>
      <c r="U148" s="255"/>
      <c r="V148" s="255"/>
      <c r="W148" s="255"/>
      <c r="X148" s="214"/>
      <c r="Y148" s="251">
        <v>2112</v>
      </c>
      <c r="Z148" s="213">
        <v>0</v>
      </c>
      <c r="AA148" s="255"/>
      <c r="AB148" s="255"/>
      <c r="AC148" s="255"/>
      <c r="AD148" s="255"/>
      <c r="AE148" s="255"/>
      <c r="AF148" s="255"/>
      <c r="AG148" s="214"/>
      <c r="AH148" s="251">
        <v>2112</v>
      </c>
      <c r="AI148" s="254">
        <v>-11</v>
      </c>
      <c r="AJ148" s="254" t="s">
        <v>82</v>
      </c>
      <c r="AK148" s="254" t="s">
        <v>82</v>
      </c>
      <c r="AL148" s="254" t="s">
        <v>82</v>
      </c>
      <c r="AM148" s="254" t="s">
        <v>82</v>
      </c>
      <c r="AN148" s="254" t="s">
        <v>82</v>
      </c>
      <c r="AO148" s="254" t="s">
        <v>82</v>
      </c>
    </row>
    <row customFormat="1" r="149" s="205" spans="1:41" x14ac:dyDescent="0.2">
      <c r="A149" s="249">
        <v>145</v>
      </c>
      <c r="B149" s="195">
        <v>4</v>
      </c>
      <c r="C149" s="195" t="s">
        <v>178</v>
      </c>
      <c r="D149" s="195">
        <v>5</v>
      </c>
      <c r="E149" s="195" t="s">
        <v>553</v>
      </c>
      <c r="F149" s="196">
        <v>44272</v>
      </c>
      <c r="G149" s="250" t="s">
        <v>6</v>
      </c>
      <c r="H149" s="251">
        <v>2112</v>
      </c>
      <c r="I149" s="196" t="s">
        <v>600</v>
      </c>
      <c r="J149" s="199">
        <v>2400</v>
      </c>
      <c r="K149" s="199">
        <v>2501</v>
      </c>
      <c r="L149" s="252">
        <v>2402</v>
      </c>
      <c r="M149" s="249">
        <v>0</v>
      </c>
      <c r="N149" s="200">
        <v>0</v>
      </c>
      <c r="O149" s="253"/>
      <c r="P149" s="251">
        <v>2112</v>
      </c>
      <c r="Q149" s="254">
        <v>5</v>
      </c>
      <c r="R149" s="255"/>
      <c r="S149" s="255"/>
      <c r="T149" s="255"/>
      <c r="U149" s="255"/>
      <c r="V149" s="255"/>
      <c r="W149" s="255"/>
      <c r="X149" s="214"/>
      <c r="Y149" s="251">
        <v>2112</v>
      </c>
      <c r="Z149" s="213">
        <v>0</v>
      </c>
      <c r="AA149" s="255"/>
      <c r="AB149" s="255"/>
      <c r="AC149" s="255"/>
      <c r="AD149" s="255"/>
      <c r="AE149" s="255"/>
      <c r="AF149" s="255"/>
      <c r="AG149" s="214"/>
      <c r="AH149" s="251">
        <v>2112</v>
      </c>
      <c r="AI149" s="254">
        <v>-5</v>
      </c>
      <c r="AJ149" s="254" t="s">
        <v>82</v>
      </c>
      <c r="AK149" s="254" t="s">
        <v>82</v>
      </c>
      <c r="AL149" s="254" t="s">
        <v>82</v>
      </c>
      <c r="AM149" s="254" t="s">
        <v>82</v>
      </c>
      <c r="AN149" s="254" t="s">
        <v>82</v>
      </c>
      <c r="AO149" s="254" t="s">
        <v>82</v>
      </c>
    </row>
    <row customFormat="1" r="150" s="205" spans="1:41" x14ac:dyDescent="0.2">
      <c r="A150" s="249">
        <v>146</v>
      </c>
      <c r="B150" s="195">
        <v>4</v>
      </c>
      <c r="C150" s="195" t="s">
        <v>178</v>
      </c>
      <c r="D150" s="195">
        <v>5</v>
      </c>
      <c r="E150" s="195" t="s">
        <v>553</v>
      </c>
      <c r="F150" s="196">
        <v>44307</v>
      </c>
      <c r="G150" s="250" t="s">
        <v>6</v>
      </c>
      <c r="H150" s="251">
        <v>2117</v>
      </c>
      <c r="I150" s="196" t="s">
        <v>601</v>
      </c>
      <c r="J150" s="199">
        <v>2200</v>
      </c>
      <c r="K150" s="199">
        <v>2244</v>
      </c>
      <c r="L150" s="252">
        <v>2202</v>
      </c>
      <c r="M150" s="249">
        <v>0</v>
      </c>
      <c r="N150" s="200">
        <v>0</v>
      </c>
      <c r="O150" s="253"/>
      <c r="P150" s="251">
        <v>2117</v>
      </c>
      <c r="Q150" s="254">
        <v>2.7</v>
      </c>
      <c r="R150" s="255"/>
      <c r="S150" s="255"/>
      <c r="T150" s="255"/>
      <c r="U150" s="255"/>
      <c r="V150" s="255"/>
      <c r="W150" s="255"/>
      <c r="X150" s="214"/>
      <c r="Y150" s="251">
        <v>2117</v>
      </c>
      <c r="Z150" s="213">
        <v>0</v>
      </c>
      <c r="AA150" s="255"/>
      <c r="AB150" s="255"/>
      <c r="AC150" s="255"/>
      <c r="AD150" s="255"/>
      <c r="AE150" s="255"/>
      <c r="AF150" s="255"/>
      <c r="AG150" s="214"/>
      <c r="AH150" s="251">
        <v>2117</v>
      </c>
      <c r="AI150" s="254">
        <v>-2.7</v>
      </c>
      <c r="AJ150" s="254" t="s">
        <v>82</v>
      </c>
      <c r="AK150" s="254" t="s">
        <v>82</v>
      </c>
      <c r="AL150" s="254" t="s">
        <v>82</v>
      </c>
      <c r="AM150" s="254" t="s">
        <v>82</v>
      </c>
      <c r="AN150" s="254" t="s">
        <v>82</v>
      </c>
      <c r="AO150" s="254" t="s">
        <v>82</v>
      </c>
    </row>
    <row customFormat="1" r="151" s="205" spans="1:41" x14ac:dyDescent="0.2">
      <c r="A151" s="249">
        <v>147</v>
      </c>
      <c r="B151" s="195">
        <v>4</v>
      </c>
      <c r="C151" s="195" t="s">
        <v>178</v>
      </c>
      <c r="D151" s="195">
        <v>5</v>
      </c>
      <c r="E151" s="195" t="s">
        <v>553</v>
      </c>
      <c r="F151" s="196">
        <v>44339</v>
      </c>
      <c r="G151" s="250" t="s">
        <v>10</v>
      </c>
      <c r="H151" s="251">
        <v>2121</v>
      </c>
      <c r="I151" s="196" t="s">
        <v>602</v>
      </c>
      <c r="J151" s="199">
        <v>2300</v>
      </c>
      <c r="K151" s="199">
        <v>2329</v>
      </c>
      <c r="L151" s="252">
        <v>2302</v>
      </c>
      <c r="M151" s="249">
        <v>0</v>
      </c>
      <c r="N151" s="200">
        <v>0</v>
      </c>
      <c r="O151" s="253"/>
      <c r="P151" s="251">
        <v>2121</v>
      </c>
      <c r="Q151" s="254">
        <v>2</v>
      </c>
      <c r="R151" s="255"/>
      <c r="S151" s="255"/>
      <c r="T151" s="255"/>
      <c r="U151" s="255"/>
      <c r="V151" s="255"/>
      <c r="W151" s="255"/>
      <c r="X151" s="214"/>
      <c r="Y151" s="251">
        <v>2121</v>
      </c>
      <c r="Z151" s="213">
        <v>0.3</v>
      </c>
      <c r="AA151" s="255"/>
      <c r="AB151" s="255"/>
      <c r="AC151" s="255"/>
      <c r="AD151" s="255"/>
      <c r="AE151" s="255"/>
      <c r="AF151" s="255"/>
      <c r="AG151" s="214"/>
      <c r="AH151" s="251">
        <v>2121</v>
      </c>
      <c r="AI151" s="254">
        <v>-1.7</v>
      </c>
      <c r="AJ151" s="254" t="s">
        <v>82</v>
      </c>
      <c r="AK151" s="254" t="s">
        <v>82</v>
      </c>
      <c r="AL151" s="254" t="s">
        <v>82</v>
      </c>
      <c r="AM151" s="254" t="s">
        <v>82</v>
      </c>
      <c r="AN151" s="254" t="s">
        <v>82</v>
      </c>
      <c r="AO151" s="254" t="s">
        <v>82</v>
      </c>
    </row>
    <row customFormat="1" r="152" s="205" spans="1:41" x14ac:dyDescent="0.2">
      <c r="A152" s="249">
        <v>148</v>
      </c>
      <c r="B152" s="195">
        <v>4</v>
      </c>
      <c r="C152" s="195" t="s">
        <v>178</v>
      </c>
      <c r="D152" s="195">
        <v>5</v>
      </c>
      <c r="E152" s="195" t="s">
        <v>553</v>
      </c>
      <c r="F152" s="196">
        <v>44401</v>
      </c>
      <c r="G152" s="250" t="s">
        <v>9</v>
      </c>
      <c r="H152" s="251">
        <v>2130</v>
      </c>
      <c r="I152" s="196" t="s">
        <v>603</v>
      </c>
      <c r="J152" s="199">
        <v>2400</v>
      </c>
      <c r="K152" s="199">
        <v>2429</v>
      </c>
      <c r="L152" s="252">
        <v>2404</v>
      </c>
      <c r="M152" s="249">
        <v>0</v>
      </c>
      <c r="N152" s="200">
        <v>0</v>
      </c>
      <c r="O152" s="253"/>
      <c r="P152" s="251">
        <v>2130</v>
      </c>
      <c r="Q152" s="254">
        <v>6.8</v>
      </c>
      <c r="R152" s="255"/>
      <c r="S152" s="255"/>
      <c r="T152" s="255"/>
      <c r="U152" s="255"/>
      <c r="V152" s="255"/>
      <c r="W152" s="255"/>
      <c r="X152" s="214"/>
      <c r="Y152" s="251">
        <v>2130</v>
      </c>
      <c r="Z152" s="213">
        <v>0</v>
      </c>
      <c r="AA152" s="255"/>
      <c r="AB152" s="255"/>
      <c r="AC152" s="255"/>
      <c r="AD152" s="255"/>
      <c r="AE152" s="255"/>
      <c r="AF152" s="255"/>
      <c r="AG152" s="214"/>
      <c r="AH152" s="251">
        <v>2130</v>
      </c>
      <c r="AI152" s="254">
        <v>-6.8</v>
      </c>
      <c r="AJ152" s="254" t="s">
        <v>82</v>
      </c>
      <c r="AK152" s="254" t="s">
        <v>82</v>
      </c>
      <c r="AL152" s="254" t="s">
        <v>82</v>
      </c>
      <c r="AM152" s="254" t="s">
        <v>82</v>
      </c>
      <c r="AN152" s="254" t="s">
        <v>82</v>
      </c>
      <c r="AO152" s="254" t="s">
        <v>82</v>
      </c>
    </row>
    <row customFormat="1" r="153" s="205" spans="1:41" x14ac:dyDescent="0.2">
      <c r="A153" s="249">
        <v>149</v>
      </c>
      <c r="B153" s="195">
        <v>4</v>
      </c>
      <c r="C153" s="195" t="s">
        <v>178</v>
      </c>
      <c r="D153" s="195">
        <v>5</v>
      </c>
      <c r="E153" s="195" t="s">
        <v>553</v>
      </c>
      <c r="F153" s="196">
        <v>44459</v>
      </c>
      <c r="G153" s="250" t="s">
        <v>4</v>
      </c>
      <c r="H153" s="251">
        <v>2139</v>
      </c>
      <c r="I153" s="196" t="s">
        <v>579</v>
      </c>
      <c r="J153" s="199">
        <v>1350</v>
      </c>
      <c r="K153" s="199">
        <v>1359</v>
      </c>
      <c r="L153" s="252">
        <v>1354</v>
      </c>
      <c r="M153" s="249">
        <v>0</v>
      </c>
      <c r="N153" s="200">
        <v>0</v>
      </c>
      <c r="O153" s="253"/>
      <c r="P153" s="251">
        <v>2139</v>
      </c>
      <c r="Q153" s="254">
        <v>2.8</v>
      </c>
      <c r="R153" s="255"/>
      <c r="S153" s="255"/>
      <c r="T153" s="255"/>
      <c r="U153" s="255"/>
      <c r="V153" s="255"/>
      <c r="W153" s="255"/>
      <c r="X153" s="214"/>
      <c r="Y153" s="251">
        <v>2139</v>
      </c>
      <c r="Z153" s="213">
        <v>0</v>
      </c>
      <c r="AA153" s="255"/>
      <c r="AB153" s="255"/>
      <c r="AC153" s="255"/>
      <c r="AD153" s="255"/>
      <c r="AE153" s="255"/>
      <c r="AF153" s="255"/>
      <c r="AG153" s="214"/>
      <c r="AH153" s="251">
        <v>2139</v>
      </c>
      <c r="AI153" s="254">
        <v>-2.8</v>
      </c>
      <c r="AJ153" s="254" t="s">
        <v>82</v>
      </c>
      <c r="AK153" s="254" t="s">
        <v>82</v>
      </c>
      <c r="AL153" s="254" t="s">
        <v>82</v>
      </c>
      <c r="AM153" s="254" t="s">
        <v>82</v>
      </c>
      <c r="AN153" s="254" t="s">
        <v>82</v>
      </c>
      <c r="AO153" s="254" t="s">
        <v>82</v>
      </c>
    </row>
    <row customFormat="1" r="154" s="205" spans="1:41" x14ac:dyDescent="0.2">
      <c r="A154" s="249">
        <v>150</v>
      </c>
      <c r="B154" s="195">
        <v>4</v>
      </c>
      <c r="C154" s="195" t="s">
        <v>178</v>
      </c>
      <c r="D154" s="195">
        <v>5</v>
      </c>
      <c r="E154" s="195" t="s">
        <v>553</v>
      </c>
      <c r="F154" s="196">
        <v>44597</v>
      </c>
      <c r="G154" s="250" t="s">
        <v>9</v>
      </c>
      <c r="H154" s="251">
        <v>2206</v>
      </c>
      <c r="I154" s="196" t="s">
        <v>569</v>
      </c>
      <c r="J154" s="199">
        <v>1140</v>
      </c>
      <c r="K154" s="199">
        <v>1159</v>
      </c>
      <c r="L154" s="252">
        <v>1144</v>
      </c>
      <c r="M154" s="249">
        <v>0</v>
      </c>
      <c r="N154" s="200">
        <v>0</v>
      </c>
      <c r="O154" s="253"/>
      <c r="P154" s="251">
        <v>2206</v>
      </c>
      <c r="Q154" s="254">
        <v>2.7</v>
      </c>
      <c r="R154" s="255"/>
      <c r="S154" s="255"/>
      <c r="T154" s="255"/>
      <c r="U154" s="255"/>
      <c r="V154" s="255"/>
      <c r="W154" s="255"/>
      <c r="X154" s="214"/>
      <c r="Y154" s="251">
        <v>2206</v>
      </c>
      <c r="Z154" s="213">
        <v>0</v>
      </c>
      <c r="AA154" s="255"/>
      <c r="AB154" s="255"/>
      <c r="AC154" s="255"/>
      <c r="AD154" s="255"/>
      <c r="AE154" s="255"/>
      <c r="AF154" s="255"/>
      <c r="AG154" s="214"/>
      <c r="AH154" s="251">
        <v>2206</v>
      </c>
      <c r="AI154" s="254">
        <v>-2.7</v>
      </c>
      <c r="AJ154" s="254" t="s">
        <v>82</v>
      </c>
      <c r="AK154" s="254" t="s">
        <v>82</v>
      </c>
      <c r="AL154" s="254" t="s">
        <v>82</v>
      </c>
      <c r="AM154" s="254" t="s">
        <v>82</v>
      </c>
      <c r="AN154" s="254" t="s">
        <v>82</v>
      </c>
      <c r="AO154" s="254" t="s">
        <v>82</v>
      </c>
    </row>
    <row customFormat="1" r="155" s="205" spans="1:41" x14ac:dyDescent="0.2">
      <c r="A155" s="249">
        <v>151</v>
      </c>
      <c r="B155" s="195">
        <v>4</v>
      </c>
      <c r="C155" s="195" t="s">
        <v>178</v>
      </c>
      <c r="D155" s="195">
        <v>6</v>
      </c>
      <c r="E155" s="195" t="s">
        <v>604</v>
      </c>
      <c r="F155" s="196">
        <v>44179</v>
      </c>
      <c r="G155" s="250" t="s">
        <v>4</v>
      </c>
      <c r="H155" s="251">
        <v>2051</v>
      </c>
      <c r="I155" s="196" t="s">
        <v>605</v>
      </c>
      <c r="J155" s="199">
        <v>2604</v>
      </c>
      <c r="K155" s="199">
        <v>2633</v>
      </c>
      <c r="L155" s="252">
        <v>2607</v>
      </c>
      <c r="M155" s="249">
        <v>0</v>
      </c>
      <c r="N155" s="200">
        <v>0</v>
      </c>
      <c r="O155" s="253"/>
      <c r="P155" s="251">
        <v>2051</v>
      </c>
      <c r="Q155" s="254">
        <v>8.8000000000000007</v>
      </c>
      <c r="R155" s="255"/>
      <c r="S155" s="255"/>
      <c r="T155" s="255"/>
      <c r="U155" s="255"/>
      <c r="V155" s="255"/>
      <c r="W155" s="255"/>
      <c r="X155" s="214"/>
      <c r="Y155" s="251">
        <v>2051</v>
      </c>
      <c r="Z155" s="213">
        <v>0.1</v>
      </c>
      <c r="AA155" s="255"/>
      <c r="AB155" s="255"/>
      <c r="AC155" s="255"/>
      <c r="AD155" s="255"/>
      <c r="AE155" s="255"/>
      <c r="AF155" s="255"/>
      <c r="AG155" s="214"/>
      <c r="AH155" s="251">
        <v>2051</v>
      </c>
      <c r="AI155" s="254">
        <v>-8.7000000000000011</v>
      </c>
      <c r="AJ155" s="254" t="s">
        <v>82</v>
      </c>
      <c r="AK155" s="254" t="s">
        <v>82</v>
      </c>
      <c r="AL155" s="254" t="s">
        <v>82</v>
      </c>
      <c r="AM155" s="254" t="s">
        <v>82</v>
      </c>
      <c r="AN155" s="254" t="s">
        <v>82</v>
      </c>
      <c r="AO155" s="254" t="s">
        <v>82</v>
      </c>
    </row>
    <row customFormat="1" r="156" s="205" spans="1:41" x14ac:dyDescent="0.2">
      <c r="A156" s="249">
        <v>152</v>
      </c>
      <c r="B156" s="195">
        <v>4</v>
      </c>
      <c r="C156" s="195" t="s">
        <v>178</v>
      </c>
      <c r="D156" s="195">
        <v>7</v>
      </c>
      <c r="E156" s="195" t="s">
        <v>606</v>
      </c>
      <c r="F156" s="196">
        <v>43970</v>
      </c>
      <c r="G156" s="250" t="s">
        <v>5</v>
      </c>
      <c r="H156" s="251">
        <v>2021</v>
      </c>
      <c r="I156" s="196" t="s">
        <v>607</v>
      </c>
      <c r="J156" s="199">
        <v>2605</v>
      </c>
      <c r="K156" s="199">
        <v>2634</v>
      </c>
      <c r="L156" s="252">
        <v>2625</v>
      </c>
      <c r="M156" s="249">
        <v>0</v>
      </c>
      <c r="N156" s="200">
        <v>0</v>
      </c>
      <c r="O156" s="253"/>
      <c r="P156" s="251">
        <v>2021</v>
      </c>
      <c r="Q156" s="254">
        <v>5.3</v>
      </c>
      <c r="R156" s="255"/>
      <c r="S156" s="255"/>
      <c r="T156" s="255"/>
      <c r="U156" s="255"/>
      <c r="V156" s="255"/>
      <c r="W156" s="255"/>
      <c r="X156" s="214"/>
      <c r="Y156" s="251">
        <v>2021</v>
      </c>
      <c r="Z156" s="213">
        <v>0.3</v>
      </c>
      <c r="AA156" s="255"/>
      <c r="AB156" s="255"/>
      <c r="AC156" s="255"/>
      <c r="AD156" s="255"/>
      <c r="AE156" s="255"/>
      <c r="AF156" s="255"/>
      <c r="AG156" s="214"/>
      <c r="AH156" s="251">
        <v>2021</v>
      </c>
      <c r="AI156" s="254">
        <v>-5</v>
      </c>
      <c r="AJ156" s="254" t="s">
        <v>82</v>
      </c>
      <c r="AK156" s="254" t="s">
        <v>82</v>
      </c>
      <c r="AL156" s="254" t="s">
        <v>82</v>
      </c>
      <c r="AM156" s="254" t="s">
        <v>82</v>
      </c>
      <c r="AN156" s="254" t="s">
        <v>82</v>
      </c>
      <c r="AO156" s="254" t="s">
        <v>82</v>
      </c>
    </row>
    <row customFormat="1" r="157" s="205" spans="1:41" x14ac:dyDescent="0.2">
      <c r="A157" s="249">
        <v>153</v>
      </c>
      <c r="B157" s="195">
        <v>4</v>
      </c>
      <c r="C157" s="195" t="s">
        <v>178</v>
      </c>
      <c r="D157" s="195">
        <v>7</v>
      </c>
      <c r="E157" s="195" t="s">
        <v>606</v>
      </c>
      <c r="F157" s="196">
        <v>44210</v>
      </c>
      <c r="G157" s="250" t="s">
        <v>7</v>
      </c>
      <c r="H157" s="251">
        <v>2103</v>
      </c>
      <c r="I157" s="196" t="s">
        <v>608</v>
      </c>
      <c r="J157" s="199">
        <v>2300</v>
      </c>
      <c r="K157" s="199">
        <v>2357</v>
      </c>
      <c r="L157" s="252">
        <v>2302</v>
      </c>
      <c r="M157" s="249">
        <v>0</v>
      </c>
      <c r="N157" s="200">
        <v>0</v>
      </c>
      <c r="O157" s="253"/>
      <c r="P157" s="251">
        <v>2103</v>
      </c>
      <c r="Q157" s="254">
        <v>1.8</v>
      </c>
      <c r="R157" s="255"/>
      <c r="S157" s="255"/>
      <c r="T157" s="255"/>
      <c r="U157" s="255"/>
      <c r="V157" s="255"/>
      <c r="W157" s="255"/>
      <c r="X157" s="214"/>
      <c r="Y157" s="251">
        <v>2103</v>
      </c>
      <c r="Z157" s="213">
        <v>0</v>
      </c>
      <c r="AA157" s="255"/>
      <c r="AB157" s="255"/>
      <c r="AC157" s="255"/>
      <c r="AD157" s="255"/>
      <c r="AE157" s="255"/>
      <c r="AF157" s="255"/>
      <c r="AG157" s="214"/>
      <c r="AH157" s="251">
        <v>2103</v>
      </c>
      <c r="AI157" s="254">
        <v>-1.8</v>
      </c>
      <c r="AJ157" s="254" t="s">
        <v>82</v>
      </c>
      <c r="AK157" s="254" t="s">
        <v>82</v>
      </c>
      <c r="AL157" s="254" t="s">
        <v>82</v>
      </c>
      <c r="AM157" s="254" t="s">
        <v>82</v>
      </c>
      <c r="AN157" s="254" t="s">
        <v>82</v>
      </c>
      <c r="AO157" s="254" t="s">
        <v>82</v>
      </c>
    </row>
    <row customFormat="1" r="158" s="205" spans="1:41" x14ac:dyDescent="0.2">
      <c r="A158" s="249">
        <v>154</v>
      </c>
      <c r="B158" s="195">
        <v>4</v>
      </c>
      <c r="C158" s="195" t="s">
        <v>178</v>
      </c>
      <c r="D158" s="195">
        <v>7</v>
      </c>
      <c r="E158" s="195" t="s">
        <v>606</v>
      </c>
      <c r="F158" s="196">
        <v>44315</v>
      </c>
      <c r="G158" s="250" t="s">
        <v>7</v>
      </c>
      <c r="H158" s="251">
        <v>2118</v>
      </c>
      <c r="I158" s="196" t="s">
        <v>290</v>
      </c>
      <c r="J158" s="199">
        <v>900</v>
      </c>
      <c r="K158" s="199">
        <v>929</v>
      </c>
      <c r="L158" s="252">
        <v>903</v>
      </c>
      <c r="M158" s="249">
        <v>0</v>
      </c>
      <c r="N158" s="200">
        <v>0</v>
      </c>
      <c r="O158" s="253"/>
      <c r="P158" s="251">
        <v>2118</v>
      </c>
      <c r="Q158" s="254">
        <v>3.6</v>
      </c>
      <c r="R158" s="255"/>
      <c r="S158" s="255"/>
      <c r="T158" s="255"/>
      <c r="U158" s="255"/>
      <c r="V158" s="255"/>
      <c r="W158" s="255"/>
      <c r="X158" s="214"/>
      <c r="Y158" s="251">
        <v>2118</v>
      </c>
      <c r="Z158" s="213">
        <v>0</v>
      </c>
      <c r="AA158" s="255"/>
      <c r="AB158" s="255"/>
      <c r="AC158" s="255"/>
      <c r="AD158" s="255"/>
      <c r="AE158" s="255"/>
      <c r="AF158" s="255"/>
      <c r="AG158" s="214"/>
      <c r="AH158" s="251">
        <v>2118</v>
      </c>
      <c r="AI158" s="254">
        <v>-3.6</v>
      </c>
      <c r="AJ158" s="254" t="s">
        <v>82</v>
      </c>
      <c r="AK158" s="254" t="s">
        <v>82</v>
      </c>
      <c r="AL158" s="254" t="s">
        <v>82</v>
      </c>
      <c r="AM158" s="254" t="s">
        <v>82</v>
      </c>
      <c r="AN158" s="254" t="s">
        <v>82</v>
      </c>
      <c r="AO158" s="254" t="s">
        <v>82</v>
      </c>
    </row>
    <row customFormat="1" r="159" s="205" spans="1:41" x14ac:dyDescent="0.2">
      <c r="A159" s="249">
        <v>155</v>
      </c>
      <c r="B159" s="195">
        <v>4</v>
      </c>
      <c r="C159" s="195" t="s">
        <v>178</v>
      </c>
      <c r="D159" s="195">
        <v>7</v>
      </c>
      <c r="E159" s="195" t="s">
        <v>606</v>
      </c>
      <c r="F159" s="196">
        <v>44322</v>
      </c>
      <c r="G159" s="250" t="s">
        <v>7</v>
      </c>
      <c r="H159" s="251">
        <v>2119</v>
      </c>
      <c r="I159" s="196" t="s">
        <v>609</v>
      </c>
      <c r="J159" s="199">
        <v>1300</v>
      </c>
      <c r="K159" s="199">
        <v>1459</v>
      </c>
      <c r="L159" s="252">
        <v>1437</v>
      </c>
      <c r="M159" s="249">
        <v>0</v>
      </c>
      <c r="N159" s="200">
        <v>0</v>
      </c>
      <c r="O159" s="253"/>
      <c r="P159" s="251">
        <v>2119</v>
      </c>
      <c r="Q159" s="254">
        <v>7.1</v>
      </c>
      <c r="R159" s="255"/>
      <c r="S159" s="255"/>
      <c r="T159" s="255"/>
      <c r="U159" s="255"/>
      <c r="V159" s="255"/>
      <c r="W159" s="255"/>
      <c r="X159" s="214"/>
      <c r="Y159" s="251">
        <v>2119</v>
      </c>
      <c r="Z159" s="213">
        <v>0.2</v>
      </c>
      <c r="AA159" s="255"/>
      <c r="AB159" s="255"/>
      <c r="AC159" s="255"/>
      <c r="AD159" s="255"/>
      <c r="AE159" s="255"/>
      <c r="AF159" s="255"/>
      <c r="AG159" s="214"/>
      <c r="AH159" s="251">
        <v>2119</v>
      </c>
      <c r="AI159" s="254">
        <v>-6.8999999999999995</v>
      </c>
      <c r="AJ159" s="254" t="s">
        <v>82</v>
      </c>
      <c r="AK159" s="254" t="s">
        <v>82</v>
      </c>
      <c r="AL159" s="254" t="s">
        <v>82</v>
      </c>
      <c r="AM159" s="254" t="s">
        <v>82</v>
      </c>
      <c r="AN159" s="254" t="s">
        <v>82</v>
      </c>
      <c r="AO159" s="254" t="s">
        <v>82</v>
      </c>
    </row>
    <row customFormat="1" r="160" s="205" spans="1:41" x14ac:dyDescent="0.2">
      <c r="A160" s="249">
        <v>156</v>
      </c>
      <c r="B160" s="195">
        <v>5</v>
      </c>
      <c r="C160" s="195" t="s">
        <v>194</v>
      </c>
      <c r="D160" s="195">
        <v>1</v>
      </c>
      <c r="E160" s="195" t="s">
        <v>195</v>
      </c>
      <c r="F160" s="196">
        <v>44186</v>
      </c>
      <c r="G160" s="250" t="s">
        <v>4</v>
      </c>
      <c r="H160" s="251">
        <v>2052</v>
      </c>
      <c r="I160" s="196" t="s">
        <v>610</v>
      </c>
      <c r="J160" s="199">
        <v>1900</v>
      </c>
      <c r="K160" s="199">
        <v>2256</v>
      </c>
      <c r="L160" s="252">
        <v>2248</v>
      </c>
      <c r="M160" s="249">
        <v>1</v>
      </c>
      <c r="N160" s="200">
        <v>0</v>
      </c>
      <c r="O160" s="253"/>
      <c r="P160" s="251">
        <v>2052</v>
      </c>
      <c r="Q160" s="254">
        <v>4.8</v>
      </c>
      <c r="R160" s="213">
        <v>7.4</v>
      </c>
      <c r="S160" s="213">
        <v>6.8</v>
      </c>
      <c r="T160" s="213">
        <v>0.6</v>
      </c>
      <c r="U160" s="213">
        <v>5.0999999999999996</v>
      </c>
      <c r="V160" s="213">
        <v>4.8</v>
      </c>
      <c r="W160" s="213">
        <v>0.3</v>
      </c>
      <c r="X160" s="214"/>
      <c r="Y160" s="251">
        <v>2052</v>
      </c>
      <c r="Z160" s="213">
        <v>0.4</v>
      </c>
      <c r="AA160" s="213">
        <v>7.3</v>
      </c>
      <c r="AB160" s="213">
        <v>6.8</v>
      </c>
      <c r="AC160" s="213">
        <v>0.5</v>
      </c>
      <c r="AD160" s="213">
        <v>5.0999999999999996</v>
      </c>
      <c r="AE160" s="213">
        <v>4.8</v>
      </c>
      <c r="AF160" s="213">
        <v>0.3</v>
      </c>
      <c r="AG160" s="214"/>
      <c r="AH160" s="251">
        <v>2052</v>
      </c>
      <c r="AI160" s="254">
        <v>-4.3999999999999995</v>
      </c>
      <c r="AJ160" s="254">
        <v>-0.10000000000000053</v>
      </c>
      <c r="AK160" s="254" t="s">
        <v>82</v>
      </c>
      <c r="AL160" s="254">
        <v>-9.9999999999999978E-2</v>
      </c>
      <c r="AM160" s="254" t="s">
        <v>82</v>
      </c>
      <c r="AN160" s="254" t="s">
        <v>82</v>
      </c>
      <c r="AO160" s="254" t="s">
        <v>82</v>
      </c>
    </row>
    <row customFormat="1" r="161" s="205" spans="1:41" x14ac:dyDescent="0.2">
      <c r="A161" s="249">
        <v>157</v>
      </c>
      <c r="B161" s="195">
        <v>5</v>
      </c>
      <c r="C161" s="195" t="s">
        <v>194</v>
      </c>
      <c r="D161" s="195">
        <v>1</v>
      </c>
      <c r="E161" s="195" t="s">
        <v>195</v>
      </c>
      <c r="F161" s="196">
        <v>44331</v>
      </c>
      <c r="G161" s="250" t="s">
        <v>9</v>
      </c>
      <c r="H161" s="251">
        <v>2120</v>
      </c>
      <c r="I161" s="196" t="s">
        <v>200</v>
      </c>
      <c r="J161" s="199">
        <v>925</v>
      </c>
      <c r="K161" s="199">
        <v>926</v>
      </c>
      <c r="L161" s="252">
        <v>926</v>
      </c>
      <c r="M161" s="249">
        <v>1</v>
      </c>
      <c r="N161" s="200">
        <v>1</v>
      </c>
      <c r="O161" s="253"/>
      <c r="P161" s="251">
        <v>2120</v>
      </c>
      <c r="Q161" s="254">
        <v>10.1</v>
      </c>
      <c r="R161" s="213">
        <v>14.4</v>
      </c>
      <c r="S161" s="213">
        <v>4.3</v>
      </c>
      <c r="T161" s="213">
        <v>10.1</v>
      </c>
      <c r="U161" s="213">
        <v>14.5</v>
      </c>
      <c r="V161" s="213">
        <v>4.4000000000000004</v>
      </c>
      <c r="W161" s="213">
        <v>10.1</v>
      </c>
      <c r="X161" s="214"/>
      <c r="Y161" s="251">
        <v>2120</v>
      </c>
      <c r="Z161" s="213">
        <v>0</v>
      </c>
      <c r="AA161" s="213">
        <v>4.3</v>
      </c>
      <c r="AB161" s="213">
        <v>4.3</v>
      </c>
      <c r="AC161" s="213">
        <v>0</v>
      </c>
      <c r="AD161" s="213">
        <v>4.4000000000000004</v>
      </c>
      <c r="AE161" s="213">
        <v>4.4000000000000004</v>
      </c>
      <c r="AF161" s="213">
        <v>0</v>
      </c>
      <c r="AG161" s="214"/>
      <c r="AH161" s="251">
        <v>2120</v>
      </c>
      <c r="AI161" s="254">
        <v>-10.1</v>
      </c>
      <c r="AJ161" s="254">
        <v>-10.100000000000001</v>
      </c>
      <c r="AK161" s="254" t="s">
        <v>82</v>
      </c>
      <c r="AL161" s="254">
        <v>-10.1</v>
      </c>
      <c r="AM161" s="254">
        <v>-10.1</v>
      </c>
      <c r="AN161" s="254" t="s">
        <v>82</v>
      </c>
      <c r="AO161" s="254">
        <v>-10.1</v>
      </c>
    </row>
    <row customFormat="1" r="162" s="205" spans="1:41" x14ac:dyDescent="0.2">
      <c r="A162" s="249">
        <v>158</v>
      </c>
      <c r="B162" s="195">
        <v>5</v>
      </c>
      <c r="C162" s="195" t="s">
        <v>194</v>
      </c>
      <c r="D162" s="195">
        <v>1</v>
      </c>
      <c r="E162" s="195" t="s">
        <v>195</v>
      </c>
      <c r="F162" s="196">
        <v>44331</v>
      </c>
      <c r="G162" s="250" t="s">
        <v>9</v>
      </c>
      <c r="H162" s="251">
        <v>2120</v>
      </c>
      <c r="I162" s="196" t="s">
        <v>201</v>
      </c>
      <c r="J162" s="199">
        <v>927</v>
      </c>
      <c r="K162" s="199">
        <v>929</v>
      </c>
      <c r="L162" s="252">
        <v>927</v>
      </c>
      <c r="M162" s="249">
        <v>1</v>
      </c>
      <c r="N162" s="200">
        <v>0</v>
      </c>
      <c r="O162" s="253"/>
      <c r="P162" s="251">
        <v>2120</v>
      </c>
      <c r="Q162" s="254">
        <v>89.5</v>
      </c>
      <c r="R162" s="213">
        <v>49.3</v>
      </c>
      <c r="S162" s="213">
        <v>4.5</v>
      </c>
      <c r="T162" s="213">
        <v>44.8</v>
      </c>
      <c r="U162" s="213">
        <v>4.5</v>
      </c>
      <c r="V162" s="213">
        <v>4.5</v>
      </c>
      <c r="W162" s="213">
        <v>0</v>
      </c>
      <c r="X162" s="214"/>
      <c r="Y162" s="251">
        <v>2120</v>
      </c>
      <c r="Z162" s="213">
        <v>0</v>
      </c>
      <c r="AA162" s="213">
        <v>4.5</v>
      </c>
      <c r="AB162" s="213">
        <v>4.5</v>
      </c>
      <c r="AC162" s="213">
        <v>0</v>
      </c>
      <c r="AD162" s="213">
        <v>4.5</v>
      </c>
      <c r="AE162" s="213">
        <v>4.5</v>
      </c>
      <c r="AF162" s="213">
        <v>0</v>
      </c>
      <c r="AG162" s="214"/>
      <c r="AH162" s="251">
        <v>2120</v>
      </c>
      <c r="AI162" s="254">
        <v>-89.5</v>
      </c>
      <c r="AJ162" s="254">
        <v>-44.8</v>
      </c>
      <c r="AK162" s="254" t="s">
        <v>82</v>
      </c>
      <c r="AL162" s="254">
        <v>-44.8</v>
      </c>
      <c r="AM162" s="254" t="s">
        <v>82</v>
      </c>
      <c r="AN162" s="254" t="s">
        <v>82</v>
      </c>
      <c r="AO162" s="254" t="s">
        <v>82</v>
      </c>
    </row>
    <row customFormat="1" r="163" s="205" spans="1:41" x14ac:dyDescent="0.2">
      <c r="A163" s="249">
        <v>159</v>
      </c>
      <c r="B163" s="195">
        <v>5</v>
      </c>
      <c r="C163" s="195" t="s">
        <v>194</v>
      </c>
      <c r="D163" s="195">
        <v>1</v>
      </c>
      <c r="E163" s="195" t="s">
        <v>195</v>
      </c>
      <c r="F163" s="196">
        <v>44566</v>
      </c>
      <c r="G163" s="250" t="s">
        <v>6</v>
      </c>
      <c r="H163" s="251">
        <v>2202</v>
      </c>
      <c r="I163" s="196" t="s">
        <v>202</v>
      </c>
      <c r="J163" s="199">
        <v>1750</v>
      </c>
      <c r="K163" s="199">
        <v>1814</v>
      </c>
      <c r="L163" s="252">
        <v>1803</v>
      </c>
      <c r="M163" s="249">
        <v>1</v>
      </c>
      <c r="N163" s="200">
        <v>0</v>
      </c>
      <c r="O163" s="253"/>
      <c r="P163" s="251">
        <v>2202</v>
      </c>
      <c r="Q163" s="254">
        <v>2.4</v>
      </c>
      <c r="R163" s="213">
        <v>4.5</v>
      </c>
      <c r="S163" s="213">
        <v>3.9</v>
      </c>
      <c r="T163" s="213">
        <v>0.6</v>
      </c>
      <c r="U163" s="213">
        <v>3.7</v>
      </c>
      <c r="V163" s="213">
        <v>3.7</v>
      </c>
      <c r="W163" s="213" t="s">
        <v>84</v>
      </c>
      <c r="X163" s="214"/>
      <c r="Y163" s="251">
        <v>2202</v>
      </c>
      <c r="Z163" s="213">
        <v>0</v>
      </c>
      <c r="AA163" s="213">
        <v>3.9</v>
      </c>
      <c r="AB163" s="213">
        <v>3.9</v>
      </c>
      <c r="AC163" s="213">
        <v>0</v>
      </c>
      <c r="AD163" s="213">
        <v>3.7</v>
      </c>
      <c r="AE163" s="213">
        <v>3.7</v>
      </c>
      <c r="AF163" s="213" t="s">
        <v>84</v>
      </c>
      <c r="AG163" s="214"/>
      <c r="AH163" s="251">
        <v>2202</v>
      </c>
      <c r="AI163" s="254">
        <v>-2.4</v>
      </c>
      <c r="AJ163" s="254">
        <v>-0.60000000000000009</v>
      </c>
      <c r="AK163" s="254" t="s">
        <v>82</v>
      </c>
      <c r="AL163" s="254">
        <v>-0.6</v>
      </c>
      <c r="AM163" s="254" t="s">
        <v>82</v>
      </c>
      <c r="AN163" s="254" t="s">
        <v>82</v>
      </c>
      <c r="AO163" s="254" t="s">
        <v>82</v>
      </c>
    </row>
    <row customFormat="1" r="164" s="205" spans="1:41" x14ac:dyDescent="0.2">
      <c r="A164" s="249">
        <v>160</v>
      </c>
      <c r="B164" s="195">
        <v>5</v>
      </c>
      <c r="C164" s="195" t="s">
        <v>194</v>
      </c>
      <c r="D164" s="195">
        <v>2</v>
      </c>
      <c r="E164" s="195" t="s">
        <v>203</v>
      </c>
      <c r="F164" s="196">
        <v>43931</v>
      </c>
      <c r="G164" s="250" t="s">
        <v>8</v>
      </c>
      <c r="H164" s="251">
        <v>2015</v>
      </c>
      <c r="I164" s="196" t="s">
        <v>611</v>
      </c>
      <c r="J164" s="199">
        <v>1900</v>
      </c>
      <c r="K164" s="199">
        <v>2053</v>
      </c>
      <c r="L164" s="252">
        <v>2015</v>
      </c>
      <c r="M164" s="249">
        <v>0</v>
      </c>
      <c r="N164" s="200">
        <v>0</v>
      </c>
      <c r="O164" s="253"/>
      <c r="P164" s="251">
        <v>2015</v>
      </c>
      <c r="Q164" s="254">
        <v>8.8000000000000007</v>
      </c>
      <c r="R164" s="255"/>
      <c r="S164" s="255"/>
      <c r="T164" s="255"/>
      <c r="U164" s="255"/>
      <c r="V164" s="255"/>
      <c r="W164" s="255"/>
      <c r="X164" s="214"/>
      <c r="Y164" s="251">
        <v>2015</v>
      </c>
      <c r="Z164" s="213">
        <v>0.5</v>
      </c>
      <c r="AA164" s="255"/>
      <c r="AB164" s="255"/>
      <c r="AC164" s="255"/>
      <c r="AD164" s="255"/>
      <c r="AE164" s="255"/>
      <c r="AF164" s="255"/>
      <c r="AG164" s="214"/>
      <c r="AH164" s="251">
        <v>2015</v>
      </c>
      <c r="AI164" s="254">
        <v>-8.3000000000000007</v>
      </c>
      <c r="AJ164" s="254" t="s">
        <v>82</v>
      </c>
      <c r="AK164" s="254" t="s">
        <v>82</v>
      </c>
      <c r="AL164" s="254" t="s">
        <v>82</v>
      </c>
      <c r="AM164" s="254" t="s">
        <v>82</v>
      </c>
      <c r="AN164" s="254" t="s">
        <v>82</v>
      </c>
      <c r="AO164" s="254" t="s">
        <v>82</v>
      </c>
    </row>
    <row customFormat="1" r="165" s="205" spans="1:41" x14ac:dyDescent="0.2">
      <c r="A165" s="249">
        <v>161</v>
      </c>
      <c r="B165" s="195">
        <v>5</v>
      </c>
      <c r="C165" s="195" t="s">
        <v>194</v>
      </c>
      <c r="D165" s="195">
        <v>2</v>
      </c>
      <c r="E165" s="195" t="s">
        <v>203</v>
      </c>
      <c r="F165" s="196">
        <v>44106</v>
      </c>
      <c r="G165" s="250" t="s">
        <v>8</v>
      </c>
      <c r="H165" s="251">
        <v>2040</v>
      </c>
      <c r="I165" s="196" t="s">
        <v>176</v>
      </c>
      <c r="J165" s="199">
        <v>800</v>
      </c>
      <c r="K165" s="199">
        <v>929</v>
      </c>
      <c r="L165" s="252">
        <v>806</v>
      </c>
      <c r="M165" s="249">
        <v>0</v>
      </c>
      <c r="N165" s="200">
        <v>0</v>
      </c>
      <c r="O165" s="253"/>
      <c r="P165" s="251">
        <v>2040</v>
      </c>
      <c r="Q165" s="254">
        <v>4</v>
      </c>
      <c r="R165" s="255"/>
      <c r="S165" s="255"/>
      <c r="T165" s="255"/>
      <c r="U165" s="255"/>
      <c r="V165" s="255"/>
      <c r="W165" s="255"/>
      <c r="X165" s="214"/>
      <c r="Y165" s="251">
        <v>2040</v>
      </c>
      <c r="Z165" s="213">
        <v>0</v>
      </c>
      <c r="AA165" s="255"/>
      <c r="AB165" s="255"/>
      <c r="AC165" s="255"/>
      <c r="AD165" s="255"/>
      <c r="AE165" s="255"/>
      <c r="AF165" s="255"/>
      <c r="AG165" s="214"/>
      <c r="AH165" s="251">
        <v>2040</v>
      </c>
      <c r="AI165" s="254">
        <v>-4</v>
      </c>
      <c r="AJ165" s="254" t="s">
        <v>82</v>
      </c>
      <c r="AK165" s="254" t="s">
        <v>82</v>
      </c>
      <c r="AL165" s="254" t="s">
        <v>82</v>
      </c>
      <c r="AM165" s="254" t="s">
        <v>82</v>
      </c>
      <c r="AN165" s="254" t="s">
        <v>82</v>
      </c>
      <c r="AO165" s="254" t="s">
        <v>82</v>
      </c>
    </row>
    <row customFormat="1" r="166" s="205" spans="1:41" x14ac:dyDescent="0.2">
      <c r="A166" s="249">
        <v>162</v>
      </c>
      <c r="B166" s="195">
        <v>5</v>
      </c>
      <c r="C166" s="195" t="s">
        <v>194</v>
      </c>
      <c r="D166" s="195">
        <v>2</v>
      </c>
      <c r="E166" s="195" t="s">
        <v>203</v>
      </c>
      <c r="F166" s="196">
        <v>44142</v>
      </c>
      <c r="G166" s="250" t="s">
        <v>9</v>
      </c>
      <c r="H166" s="251">
        <v>2045</v>
      </c>
      <c r="I166" s="196" t="s">
        <v>612</v>
      </c>
      <c r="J166" s="199">
        <v>628</v>
      </c>
      <c r="K166" s="199">
        <v>759</v>
      </c>
      <c r="L166" s="252">
        <v>649</v>
      </c>
      <c r="M166" s="249">
        <v>0</v>
      </c>
      <c r="N166" s="200">
        <v>0</v>
      </c>
      <c r="O166" s="253"/>
      <c r="P166" s="251">
        <v>2045</v>
      </c>
      <c r="Q166" s="254">
        <v>2.2000000000000002</v>
      </c>
      <c r="R166" s="255"/>
      <c r="S166" s="255"/>
      <c r="T166" s="255"/>
      <c r="U166" s="255"/>
      <c r="V166" s="255"/>
      <c r="W166" s="255"/>
      <c r="X166" s="214"/>
      <c r="Y166" s="251">
        <v>2045</v>
      </c>
      <c r="Z166" s="213">
        <v>0</v>
      </c>
      <c r="AA166" s="255"/>
      <c r="AB166" s="255"/>
      <c r="AC166" s="255"/>
      <c r="AD166" s="255"/>
      <c r="AE166" s="255"/>
      <c r="AF166" s="255"/>
      <c r="AG166" s="214"/>
      <c r="AH166" s="251">
        <v>2045</v>
      </c>
      <c r="AI166" s="254">
        <v>-2.2000000000000002</v>
      </c>
      <c r="AJ166" s="254" t="s">
        <v>82</v>
      </c>
      <c r="AK166" s="254" t="s">
        <v>82</v>
      </c>
      <c r="AL166" s="254" t="s">
        <v>82</v>
      </c>
      <c r="AM166" s="254" t="s">
        <v>82</v>
      </c>
      <c r="AN166" s="254" t="s">
        <v>82</v>
      </c>
      <c r="AO166" s="254" t="s">
        <v>82</v>
      </c>
    </row>
    <row customFormat="1" r="167" s="205" spans="1:41" x14ac:dyDescent="0.2">
      <c r="A167" s="249">
        <v>163</v>
      </c>
      <c r="B167" s="195">
        <v>5</v>
      </c>
      <c r="C167" s="195" t="s">
        <v>194</v>
      </c>
      <c r="D167" s="195">
        <v>2</v>
      </c>
      <c r="E167" s="195" t="s">
        <v>203</v>
      </c>
      <c r="F167" s="196">
        <v>44445</v>
      </c>
      <c r="G167" s="250" t="s">
        <v>4</v>
      </c>
      <c r="H167" s="251">
        <v>2137</v>
      </c>
      <c r="I167" s="196" t="s">
        <v>204</v>
      </c>
      <c r="J167" s="199">
        <v>1650</v>
      </c>
      <c r="K167" s="199">
        <v>1752</v>
      </c>
      <c r="L167" s="252">
        <v>1743</v>
      </c>
      <c r="M167" s="249">
        <v>1</v>
      </c>
      <c r="N167" s="200">
        <v>0</v>
      </c>
      <c r="O167" s="253"/>
      <c r="P167" s="251">
        <v>2137</v>
      </c>
      <c r="Q167" s="254">
        <v>2.4</v>
      </c>
      <c r="R167" s="213">
        <v>8.1</v>
      </c>
      <c r="S167" s="213">
        <v>8</v>
      </c>
      <c r="T167" s="213">
        <v>0.1</v>
      </c>
      <c r="U167" s="213">
        <v>9.1</v>
      </c>
      <c r="V167" s="213">
        <v>9.1</v>
      </c>
      <c r="W167" s="213" t="s">
        <v>84</v>
      </c>
      <c r="X167" s="214"/>
      <c r="Y167" s="251">
        <v>2137</v>
      </c>
      <c r="Z167" s="213">
        <v>0</v>
      </c>
      <c r="AA167" s="213">
        <v>8</v>
      </c>
      <c r="AB167" s="213">
        <v>8</v>
      </c>
      <c r="AC167" s="213">
        <v>0</v>
      </c>
      <c r="AD167" s="213">
        <v>9.1</v>
      </c>
      <c r="AE167" s="213">
        <v>9.1</v>
      </c>
      <c r="AF167" s="213" t="s">
        <v>84</v>
      </c>
      <c r="AG167" s="214"/>
      <c r="AH167" s="251">
        <v>2137</v>
      </c>
      <c r="AI167" s="254">
        <v>-2.4</v>
      </c>
      <c r="AJ167" s="254">
        <v>-9.9999999999999645E-2</v>
      </c>
      <c r="AK167" s="254" t="s">
        <v>82</v>
      </c>
      <c r="AL167" s="254">
        <v>-0.1</v>
      </c>
      <c r="AM167" s="254" t="s">
        <v>82</v>
      </c>
      <c r="AN167" s="254" t="s">
        <v>82</v>
      </c>
      <c r="AO167" s="254" t="s">
        <v>82</v>
      </c>
    </row>
    <row customFormat="1" r="168" s="205" spans="1:41" x14ac:dyDescent="0.2">
      <c r="A168" s="249">
        <v>164</v>
      </c>
      <c r="B168" s="195">
        <v>5</v>
      </c>
      <c r="C168" s="195" t="s">
        <v>194</v>
      </c>
      <c r="D168" s="195">
        <v>2</v>
      </c>
      <c r="E168" s="195" t="s">
        <v>203</v>
      </c>
      <c r="F168" s="196">
        <v>44446</v>
      </c>
      <c r="G168" s="250" t="s">
        <v>5</v>
      </c>
      <c r="H168" s="251">
        <v>2137</v>
      </c>
      <c r="I168" s="196" t="s">
        <v>205</v>
      </c>
      <c r="J168" s="199">
        <v>1355</v>
      </c>
      <c r="K168" s="199">
        <v>1547</v>
      </c>
      <c r="L168" s="252">
        <v>1429</v>
      </c>
      <c r="M168" s="249">
        <v>1</v>
      </c>
      <c r="N168" s="200">
        <v>0</v>
      </c>
      <c r="O168" s="253"/>
      <c r="P168" s="251">
        <v>2137</v>
      </c>
      <c r="Q168" s="254">
        <v>124.6</v>
      </c>
      <c r="R168" s="213">
        <v>9.1</v>
      </c>
      <c r="S168" s="213">
        <v>3.4</v>
      </c>
      <c r="T168" s="213">
        <v>5.7</v>
      </c>
      <c r="U168" s="213">
        <v>4.2</v>
      </c>
      <c r="V168" s="213">
        <v>4.0999999999999996</v>
      </c>
      <c r="W168" s="213">
        <v>0.1</v>
      </c>
      <c r="X168" s="214"/>
      <c r="Y168" s="251">
        <v>2137</v>
      </c>
      <c r="Z168" s="213">
        <v>0</v>
      </c>
      <c r="AA168" s="213">
        <v>3.4</v>
      </c>
      <c r="AB168" s="213">
        <v>3.4</v>
      </c>
      <c r="AC168" s="213">
        <v>0</v>
      </c>
      <c r="AD168" s="213">
        <v>4.2</v>
      </c>
      <c r="AE168" s="213">
        <v>4.0999999999999996</v>
      </c>
      <c r="AF168" s="213">
        <v>0.1</v>
      </c>
      <c r="AG168" s="214"/>
      <c r="AH168" s="251">
        <v>2137</v>
      </c>
      <c r="AI168" s="254">
        <v>-124.6</v>
      </c>
      <c r="AJ168" s="254">
        <v>-5.6999999999999993</v>
      </c>
      <c r="AK168" s="254" t="s">
        <v>82</v>
      </c>
      <c r="AL168" s="254">
        <v>-5.7</v>
      </c>
      <c r="AM168" s="254" t="s">
        <v>82</v>
      </c>
      <c r="AN168" s="254" t="s">
        <v>82</v>
      </c>
      <c r="AO168" s="254" t="s">
        <v>82</v>
      </c>
    </row>
    <row customFormat="1" r="169" s="205" spans="1:41" x14ac:dyDescent="0.2">
      <c r="A169" s="249">
        <v>165</v>
      </c>
      <c r="B169" s="195">
        <v>5</v>
      </c>
      <c r="C169" s="195" t="s">
        <v>194</v>
      </c>
      <c r="D169" s="195">
        <v>3</v>
      </c>
      <c r="E169" s="195" t="s">
        <v>206</v>
      </c>
      <c r="F169" s="196">
        <v>43948</v>
      </c>
      <c r="G169" s="250" t="s">
        <v>4</v>
      </c>
      <c r="H169" s="251">
        <v>2018</v>
      </c>
      <c r="I169" s="196" t="s">
        <v>613</v>
      </c>
      <c r="J169" s="199">
        <v>2445</v>
      </c>
      <c r="K169" s="199">
        <v>2449</v>
      </c>
      <c r="L169" s="252">
        <v>2447</v>
      </c>
      <c r="M169" s="249">
        <v>0</v>
      </c>
      <c r="N169" s="200">
        <v>0</v>
      </c>
      <c r="O169" s="253"/>
      <c r="P169" s="251">
        <v>2018</v>
      </c>
      <c r="Q169" s="254">
        <v>1.9</v>
      </c>
      <c r="R169" s="255"/>
      <c r="S169" s="255"/>
      <c r="T169" s="255"/>
      <c r="U169" s="255"/>
      <c r="V169" s="255"/>
      <c r="W169" s="255"/>
      <c r="X169" s="214"/>
      <c r="Y169" s="251">
        <v>2018</v>
      </c>
      <c r="Z169" s="213">
        <v>0</v>
      </c>
      <c r="AA169" s="255"/>
      <c r="AB169" s="255"/>
      <c r="AC169" s="255"/>
      <c r="AD169" s="255"/>
      <c r="AE169" s="255"/>
      <c r="AF169" s="255"/>
      <c r="AG169" s="214"/>
      <c r="AH169" s="251">
        <v>2018</v>
      </c>
      <c r="AI169" s="254">
        <v>-1.9</v>
      </c>
      <c r="AJ169" s="254" t="s">
        <v>82</v>
      </c>
      <c r="AK169" s="254" t="s">
        <v>82</v>
      </c>
      <c r="AL169" s="254" t="s">
        <v>82</v>
      </c>
      <c r="AM169" s="254" t="s">
        <v>82</v>
      </c>
      <c r="AN169" s="254" t="s">
        <v>82</v>
      </c>
      <c r="AO169" s="254" t="s">
        <v>82</v>
      </c>
    </row>
    <row customFormat="1" r="170" s="205" spans="1:41" x14ac:dyDescent="0.2">
      <c r="A170" s="249">
        <v>166</v>
      </c>
      <c r="B170" s="195">
        <v>5</v>
      </c>
      <c r="C170" s="195" t="s">
        <v>194</v>
      </c>
      <c r="D170" s="195">
        <v>3</v>
      </c>
      <c r="E170" s="195" t="s">
        <v>206</v>
      </c>
      <c r="F170" s="196">
        <v>44309</v>
      </c>
      <c r="G170" s="250" t="s">
        <v>8</v>
      </c>
      <c r="H170" s="251">
        <v>2117</v>
      </c>
      <c r="I170" s="196" t="s">
        <v>614</v>
      </c>
      <c r="J170" s="199">
        <v>2435</v>
      </c>
      <c r="K170" s="199">
        <v>2454</v>
      </c>
      <c r="L170" s="252">
        <v>2442</v>
      </c>
      <c r="M170" s="249">
        <v>0</v>
      </c>
      <c r="N170" s="200">
        <v>0</v>
      </c>
      <c r="O170" s="253"/>
      <c r="P170" s="251">
        <v>2117</v>
      </c>
      <c r="Q170" s="254">
        <v>5.2</v>
      </c>
      <c r="R170" s="255"/>
      <c r="S170" s="255"/>
      <c r="T170" s="255"/>
      <c r="U170" s="255"/>
      <c r="V170" s="255"/>
      <c r="W170" s="255"/>
      <c r="X170" s="214"/>
      <c r="Y170" s="251">
        <v>2117</v>
      </c>
      <c r="Z170" s="213">
        <v>0.7</v>
      </c>
      <c r="AA170" s="255"/>
      <c r="AB170" s="255"/>
      <c r="AC170" s="255"/>
      <c r="AD170" s="255"/>
      <c r="AE170" s="255"/>
      <c r="AF170" s="255"/>
      <c r="AG170" s="214"/>
      <c r="AH170" s="251">
        <v>2117</v>
      </c>
      <c r="AI170" s="254">
        <v>-4.5</v>
      </c>
      <c r="AJ170" s="254" t="s">
        <v>82</v>
      </c>
      <c r="AK170" s="254" t="s">
        <v>82</v>
      </c>
      <c r="AL170" s="254" t="s">
        <v>82</v>
      </c>
      <c r="AM170" s="254" t="s">
        <v>82</v>
      </c>
      <c r="AN170" s="254" t="s">
        <v>82</v>
      </c>
      <c r="AO170" s="254" t="s">
        <v>82</v>
      </c>
    </row>
    <row customFormat="1" r="171" s="205" spans="1:41" x14ac:dyDescent="0.2">
      <c r="A171" s="249">
        <v>167</v>
      </c>
      <c r="B171" s="195">
        <v>5</v>
      </c>
      <c r="C171" s="195" t="s">
        <v>194</v>
      </c>
      <c r="D171" s="195">
        <v>3</v>
      </c>
      <c r="E171" s="195" t="s">
        <v>206</v>
      </c>
      <c r="F171" s="196">
        <v>44350</v>
      </c>
      <c r="G171" s="250" t="s">
        <v>7</v>
      </c>
      <c r="H171" s="251">
        <v>2123</v>
      </c>
      <c r="I171" s="196" t="s">
        <v>207</v>
      </c>
      <c r="J171" s="199">
        <v>2000</v>
      </c>
      <c r="K171" s="199">
        <v>2053</v>
      </c>
      <c r="L171" s="252">
        <v>2027</v>
      </c>
      <c r="M171" s="249">
        <v>1</v>
      </c>
      <c r="N171" s="200">
        <v>0</v>
      </c>
      <c r="O171" s="253"/>
      <c r="P171" s="251">
        <v>2123</v>
      </c>
      <c r="Q171" s="254">
        <v>2.2999999999999998</v>
      </c>
      <c r="R171" s="213">
        <v>5.7</v>
      </c>
      <c r="S171" s="213">
        <v>4.7</v>
      </c>
      <c r="T171" s="213">
        <v>1</v>
      </c>
      <c r="U171" s="213">
        <v>3.1</v>
      </c>
      <c r="V171" s="213">
        <v>2.6</v>
      </c>
      <c r="W171" s="213">
        <v>0.5</v>
      </c>
      <c r="X171" s="214"/>
      <c r="Y171" s="251">
        <v>2123</v>
      </c>
      <c r="Z171" s="213">
        <v>0.9</v>
      </c>
      <c r="AA171" s="213">
        <v>5.6</v>
      </c>
      <c r="AB171" s="213">
        <v>4.7</v>
      </c>
      <c r="AC171" s="213">
        <v>0.9</v>
      </c>
      <c r="AD171" s="213">
        <v>3.1</v>
      </c>
      <c r="AE171" s="213">
        <v>2.6</v>
      </c>
      <c r="AF171" s="213">
        <v>0.5</v>
      </c>
      <c r="AG171" s="214"/>
      <c r="AH171" s="251">
        <v>2123</v>
      </c>
      <c r="AI171" s="254">
        <v>-1.4</v>
      </c>
      <c r="AJ171" s="254">
        <v>-0.10000000000000053</v>
      </c>
      <c r="AK171" s="254" t="s">
        <v>82</v>
      </c>
      <c r="AL171" s="254">
        <v>-9.9999999999999978E-2</v>
      </c>
      <c r="AM171" s="254" t="s">
        <v>82</v>
      </c>
      <c r="AN171" s="254" t="s">
        <v>82</v>
      </c>
      <c r="AO171" s="254" t="s">
        <v>82</v>
      </c>
    </row>
    <row customFormat="1" r="172" s="205" spans="1:41" x14ac:dyDescent="0.2">
      <c r="A172" s="249">
        <v>168</v>
      </c>
      <c r="B172" s="195">
        <v>5</v>
      </c>
      <c r="C172" s="195" t="s">
        <v>194</v>
      </c>
      <c r="D172" s="195">
        <v>3</v>
      </c>
      <c r="E172" s="195" t="s">
        <v>206</v>
      </c>
      <c r="F172" s="196">
        <v>44375</v>
      </c>
      <c r="G172" s="250" t="s">
        <v>4</v>
      </c>
      <c r="H172" s="251">
        <v>2127</v>
      </c>
      <c r="I172" s="196" t="s">
        <v>134</v>
      </c>
      <c r="J172" s="199">
        <v>1900</v>
      </c>
      <c r="K172" s="199">
        <v>2052</v>
      </c>
      <c r="L172" s="252">
        <v>2049</v>
      </c>
      <c r="M172" s="249">
        <v>0</v>
      </c>
      <c r="N172" s="200">
        <v>0</v>
      </c>
      <c r="O172" s="253"/>
      <c r="P172" s="251">
        <v>2127</v>
      </c>
      <c r="Q172" s="254">
        <v>3.3</v>
      </c>
      <c r="R172" s="255"/>
      <c r="S172" s="255"/>
      <c r="T172" s="255"/>
      <c r="U172" s="255"/>
      <c r="V172" s="255"/>
      <c r="W172" s="255"/>
      <c r="X172" s="214"/>
      <c r="Y172" s="251">
        <v>2127</v>
      </c>
      <c r="Z172" s="213">
        <v>0.3</v>
      </c>
      <c r="AA172" s="255"/>
      <c r="AB172" s="255"/>
      <c r="AC172" s="255"/>
      <c r="AD172" s="255"/>
      <c r="AE172" s="255"/>
      <c r="AF172" s="255"/>
      <c r="AG172" s="214"/>
      <c r="AH172" s="251">
        <v>2127</v>
      </c>
      <c r="AI172" s="254">
        <v>-3</v>
      </c>
      <c r="AJ172" s="254" t="s">
        <v>82</v>
      </c>
      <c r="AK172" s="254" t="s">
        <v>82</v>
      </c>
      <c r="AL172" s="254" t="s">
        <v>82</v>
      </c>
      <c r="AM172" s="254" t="s">
        <v>82</v>
      </c>
      <c r="AN172" s="254" t="s">
        <v>82</v>
      </c>
      <c r="AO172" s="254" t="s">
        <v>82</v>
      </c>
    </row>
    <row customFormat="1" r="173" s="205" spans="1:41" x14ac:dyDescent="0.2">
      <c r="A173" s="249">
        <v>169</v>
      </c>
      <c r="B173" s="195">
        <v>5</v>
      </c>
      <c r="C173" s="195" t="s">
        <v>194</v>
      </c>
      <c r="D173" s="195">
        <v>3</v>
      </c>
      <c r="E173" s="195" t="s">
        <v>206</v>
      </c>
      <c r="F173" s="196">
        <v>44662</v>
      </c>
      <c r="G173" s="250" t="s">
        <v>4</v>
      </c>
      <c r="H173" s="251">
        <v>2216</v>
      </c>
      <c r="I173" s="196" t="s">
        <v>615</v>
      </c>
      <c r="J173" s="199">
        <v>1750</v>
      </c>
      <c r="K173" s="199">
        <v>1814</v>
      </c>
      <c r="L173" s="252">
        <v>1753</v>
      </c>
      <c r="M173" s="249">
        <v>0</v>
      </c>
      <c r="N173" s="200">
        <v>0</v>
      </c>
      <c r="O173" s="253"/>
      <c r="P173" s="251">
        <v>2216</v>
      </c>
      <c r="Q173" s="254">
        <v>2.2999999999999998</v>
      </c>
      <c r="R173" s="255"/>
      <c r="S173" s="255"/>
      <c r="T173" s="255"/>
      <c r="U173" s="255"/>
      <c r="V173" s="255"/>
      <c r="W173" s="255"/>
      <c r="X173" s="214"/>
      <c r="Y173" s="251">
        <v>2216</v>
      </c>
      <c r="Z173" s="213">
        <v>0</v>
      </c>
      <c r="AA173" s="255"/>
      <c r="AB173" s="255"/>
      <c r="AC173" s="255"/>
      <c r="AD173" s="255"/>
      <c r="AE173" s="255"/>
      <c r="AF173" s="255"/>
      <c r="AG173" s="214"/>
      <c r="AH173" s="251">
        <v>2216</v>
      </c>
      <c r="AI173" s="254">
        <v>-2.2999999999999998</v>
      </c>
      <c r="AJ173" s="254" t="s">
        <v>82</v>
      </c>
      <c r="AK173" s="254" t="s">
        <v>82</v>
      </c>
      <c r="AL173" s="254" t="s">
        <v>82</v>
      </c>
      <c r="AM173" s="254" t="s">
        <v>82</v>
      </c>
      <c r="AN173" s="254" t="s">
        <v>82</v>
      </c>
      <c r="AO173" s="254" t="s">
        <v>82</v>
      </c>
    </row>
    <row customFormat="1" r="174" s="205" spans="1:41" x14ac:dyDescent="0.2">
      <c r="A174" s="249">
        <v>170</v>
      </c>
      <c r="B174" s="195">
        <v>5</v>
      </c>
      <c r="C174" s="195" t="s">
        <v>194</v>
      </c>
      <c r="D174" s="195">
        <v>3</v>
      </c>
      <c r="E174" s="195" t="s">
        <v>206</v>
      </c>
      <c r="F174" s="196">
        <v>44663</v>
      </c>
      <c r="G174" s="250" t="s">
        <v>5</v>
      </c>
      <c r="H174" s="251">
        <v>2216</v>
      </c>
      <c r="I174" s="196" t="s">
        <v>187</v>
      </c>
      <c r="J174" s="199">
        <v>500</v>
      </c>
      <c r="K174" s="199">
        <v>559</v>
      </c>
      <c r="L174" s="252">
        <v>504</v>
      </c>
      <c r="M174" s="249">
        <v>0</v>
      </c>
      <c r="N174" s="200">
        <v>0</v>
      </c>
      <c r="O174" s="253"/>
      <c r="P174" s="251">
        <v>2216</v>
      </c>
      <c r="Q174" s="254">
        <v>4</v>
      </c>
      <c r="R174" s="255"/>
      <c r="S174" s="255"/>
      <c r="T174" s="255"/>
      <c r="U174" s="255"/>
      <c r="V174" s="255"/>
      <c r="W174" s="255"/>
      <c r="X174" s="214"/>
      <c r="Y174" s="251">
        <v>2216</v>
      </c>
      <c r="Z174" s="213">
        <v>0</v>
      </c>
      <c r="AA174" s="255"/>
      <c r="AB174" s="255"/>
      <c r="AC174" s="255"/>
      <c r="AD174" s="255"/>
      <c r="AE174" s="255"/>
      <c r="AF174" s="255"/>
      <c r="AG174" s="214"/>
      <c r="AH174" s="251">
        <v>2216</v>
      </c>
      <c r="AI174" s="254">
        <v>-4</v>
      </c>
      <c r="AJ174" s="254" t="s">
        <v>82</v>
      </c>
      <c r="AK174" s="254" t="s">
        <v>82</v>
      </c>
      <c r="AL174" s="254" t="s">
        <v>82</v>
      </c>
      <c r="AM174" s="254" t="s">
        <v>82</v>
      </c>
      <c r="AN174" s="254" t="s">
        <v>82</v>
      </c>
      <c r="AO174" s="254" t="s">
        <v>82</v>
      </c>
    </row>
    <row customFormat="1" r="175" s="205" spans="1:41" x14ac:dyDescent="0.2">
      <c r="A175" s="249">
        <v>171</v>
      </c>
      <c r="B175" s="195">
        <v>5</v>
      </c>
      <c r="C175" s="195" t="s">
        <v>194</v>
      </c>
      <c r="D175" s="195">
        <v>3</v>
      </c>
      <c r="E175" s="195" t="s">
        <v>206</v>
      </c>
      <c r="F175" s="196">
        <v>44672</v>
      </c>
      <c r="G175" s="250" t="s">
        <v>7</v>
      </c>
      <c r="H175" s="251">
        <v>2217</v>
      </c>
      <c r="I175" s="196" t="s">
        <v>616</v>
      </c>
      <c r="J175" s="199">
        <v>600</v>
      </c>
      <c r="K175" s="199">
        <v>659</v>
      </c>
      <c r="L175" s="252">
        <v>645</v>
      </c>
      <c r="M175" s="249">
        <v>0</v>
      </c>
      <c r="N175" s="200">
        <v>0</v>
      </c>
      <c r="O175" s="253"/>
      <c r="P175" s="251">
        <v>2217</v>
      </c>
      <c r="Q175" s="254">
        <v>4.9000000000000004</v>
      </c>
      <c r="R175" s="255"/>
      <c r="S175" s="255"/>
      <c r="T175" s="255"/>
      <c r="U175" s="255"/>
      <c r="V175" s="255"/>
      <c r="W175" s="255"/>
      <c r="X175" s="214"/>
      <c r="Y175" s="251">
        <v>2217</v>
      </c>
      <c r="Z175" s="213">
        <v>0</v>
      </c>
      <c r="AA175" s="255"/>
      <c r="AB175" s="255"/>
      <c r="AC175" s="255"/>
      <c r="AD175" s="255"/>
      <c r="AE175" s="255"/>
      <c r="AF175" s="255"/>
      <c r="AG175" s="214"/>
      <c r="AH175" s="251">
        <v>2217</v>
      </c>
      <c r="AI175" s="254">
        <v>-4.9000000000000004</v>
      </c>
      <c r="AJ175" s="254" t="s">
        <v>82</v>
      </c>
      <c r="AK175" s="254" t="s">
        <v>82</v>
      </c>
      <c r="AL175" s="254" t="s">
        <v>82</v>
      </c>
      <c r="AM175" s="254" t="s">
        <v>82</v>
      </c>
      <c r="AN175" s="254" t="s">
        <v>82</v>
      </c>
      <c r="AO175" s="254" t="s">
        <v>82</v>
      </c>
    </row>
    <row customFormat="1" r="176" s="205" spans="1:41" x14ac:dyDescent="0.2">
      <c r="A176" s="257">
        <v>172</v>
      </c>
      <c r="B176" s="207">
        <v>5</v>
      </c>
      <c r="C176" s="207" t="s">
        <v>194</v>
      </c>
      <c r="D176" s="207">
        <v>4</v>
      </c>
      <c r="E176" s="207" t="s">
        <v>211</v>
      </c>
      <c r="F176" s="208">
        <v>43935</v>
      </c>
      <c r="G176" s="258" t="s">
        <v>5</v>
      </c>
      <c r="H176" s="259">
        <v>2016</v>
      </c>
      <c r="I176" s="208" t="s">
        <v>617</v>
      </c>
      <c r="J176" s="259">
        <v>2000</v>
      </c>
      <c r="K176" s="259">
        <v>2059</v>
      </c>
      <c r="L176" s="259">
        <v>2052</v>
      </c>
      <c r="M176" s="260">
        <v>0</v>
      </c>
      <c r="N176" s="217" t="s">
        <v>618</v>
      </c>
      <c r="O176" s="253"/>
      <c r="P176" s="252">
        <v>2016</v>
      </c>
      <c r="Q176" s="261">
        <v>2.1</v>
      </c>
      <c r="R176" s="255"/>
      <c r="S176" s="255"/>
      <c r="T176" s="255"/>
      <c r="U176" s="255"/>
      <c r="V176" s="255"/>
      <c r="W176" s="255"/>
      <c r="Y176" s="252">
        <v>2016</v>
      </c>
      <c r="Z176" s="203">
        <v>1.3</v>
      </c>
      <c r="AA176" s="255"/>
      <c r="AB176" s="255"/>
      <c r="AC176" s="255"/>
      <c r="AD176" s="255"/>
      <c r="AE176" s="255"/>
      <c r="AF176" s="255"/>
      <c r="AH176" s="252">
        <v>2016</v>
      </c>
      <c r="AI176" s="261">
        <v>-0.8</v>
      </c>
      <c r="AJ176" s="261" t="s">
        <v>82</v>
      </c>
      <c r="AK176" s="261" t="s">
        <v>82</v>
      </c>
      <c r="AL176" s="261" t="s">
        <v>82</v>
      </c>
      <c r="AM176" s="261" t="s">
        <v>82</v>
      </c>
      <c r="AN176" s="261" t="s">
        <v>82</v>
      </c>
      <c r="AO176" s="261" t="s">
        <v>82</v>
      </c>
    </row>
    <row customFormat="1" r="177" s="205" spans="1:41" x14ac:dyDescent="0.2">
      <c r="A177" s="249">
        <v>173</v>
      </c>
      <c r="B177" s="195">
        <v>5</v>
      </c>
      <c r="C177" s="195" t="s">
        <v>194</v>
      </c>
      <c r="D177" s="195">
        <v>4</v>
      </c>
      <c r="E177" s="195" t="s">
        <v>211</v>
      </c>
      <c r="F177" s="196">
        <v>44054</v>
      </c>
      <c r="G177" s="250" t="s">
        <v>5</v>
      </c>
      <c r="H177" s="251">
        <v>2033</v>
      </c>
      <c r="I177" s="196" t="s">
        <v>619</v>
      </c>
      <c r="J177" s="199">
        <v>500</v>
      </c>
      <c r="K177" s="199">
        <v>524</v>
      </c>
      <c r="L177" s="252">
        <v>524</v>
      </c>
      <c r="M177" s="249">
        <v>0</v>
      </c>
      <c r="N177" s="200">
        <v>1</v>
      </c>
      <c r="O177" s="253"/>
      <c r="P177" s="251">
        <v>2033</v>
      </c>
      <c r="Q177" s="254">
        <v>13.1</v>
      </c>
      <c r="R177" s="255"/>
      <c r="S177" s="255"/>
      <c r="T177" s="255"/>
      <c r="U177" s="255"/>
      <c r="V177" s="255"/>
      <c r="W177" s="255"/>
      <c r="X177" s="214"/>
      <c r="Y177" s="251">
        <v>2033</v>
      </c>
      <c r="Z177" s="213">
        <v>0</v>
      </c>
      <c r="AA177" s="255"/>
      <c r="AB177" s="255"/>
      <c r="AC177" s="255"/>
      <c r="AD177" s="255"/>
      <c r="AE177" s="255"/>
      <c r="AF177" s="255"/>
      <c r="AG177" s="214"/>
      <c r="AH177" s="251">
        <v>2033</v>
      </c>
      <c r="AI177" s="254">
        <v>-13.1</v>
      </c>
      <c r="AJ177" s="254" t="s">
        <v>82</v>
      </c>
      <c r="AK177" s="254" t="s">
        <v>82</v>
      </c>
      <c r="AL177" s="254" t="s">
        <v>82</v>
      </c>
      <c r="AM177" s="254" t="s">
        <v>82</v>
      </c>
      <c r="AN177" s="254" t="s">
        <v>82</v>
      </c>
      <c r="AO177" s="254" t="s">
        <v>82</v>
      </c>
    </row>
    <row customFormat="1" r="178" s="205" spans="1:41" x14ac:dyDescent="0.2">
      <c r="A178" s="249">
        <v>174</v>
      </c>
      <c r="B178" s="195">
        <v>5</v>
      </c>
      <c r="C178" s="195" t="s">
        <v>194</v>
      </c>
      <c r="D178" s="195">
        <v>4</v>
      </c>
      <c r="E178" s="195" t="s">
        <v>211</v>
      </c>
      <c r="F178" s="196">
        <v>44060</v>
      </c>
      <c r="G178" s="250" t="s">
        <v>4</v>
      </c>
      <c r="H178" s="251">
        <v>2034</v>
      </c>
      <c r="I178" s="196" t="s">
        <v>356</v>
      </c>
      <c r="J178" s="199">
        <v>525</v>
      </c>
      <c r="K178" s="199">
        <v>609</v>
      </c>
      <c r="L178" s="252">
        <v>527</v>
      </c>
      <c r="M178" s="249">
        <v>0</v>
      </c>
      <c r="N178" s="200">
        <v>0</v>
      </c>
      <c r="O178" s="253"/>
      <c r="P178" s="251">
        <v>2034</v>
      </c>
      <c r="Q178" s="254">
        <v>1.7</v>
      </c>
      <c r="R178" s="255"/>
      <c r="S178" s="255"/>
      <c r="T178" s="255"/>
      <c r="U178" s="255"/>
      <c r="V178" s="255"/>
      <c r="W178" s="255"/>
      <c r="X178" s="214"/>
      <c r="Y178" s="251">
        <v>2034</v>
      </c>
      <c r="Z178" s="213">
        <v>0</v>
      </c>
      <c r="AA178" s="255"/>
      <c r="AB178" s="255"/>
      <c r="AC178" s="255"/>
      <c r="AD178" s="255"/>
      <c r="AE178" s="255"/>
      <c r="AF178" s="255"/>
      <c r="AG178" s="214"/>
      <c r="AH178" s="251">
        <v>2034</v>
      </c>
      <c r="AI178" s="254">
        <v>-1.7</v>
      </c>
      <c r="AJ178" s="254" t="s">
        <v>82</v>
      </c>
      <c r="AK178" s="254" t="s">
        <v>82</v>
      </c>
      <c r="AL178" s="254" t="s">
        <v>82</v>
      </c>
      <c r="AM178" s="254" t="s">
        <v>82</v>
      </c>
      <c r="AN178" s="254" t="s">
        <v>82</v>
      </c>
      <c r="AO178" s="254" t="s">
        <v>82</v>
      </c>
    </row>
    <row customFormat="1" r="179" s="205" spans="1:41" x14ac:dyDescent="0.2">
      <c r="A179" s="249">
        <v>175</v>
      </c>
      <c r="B179" s="195">
        <v>5</v>
      </c>
      <c r="C179" s="195" t="s">
        <v>194</v>
      </c>
      <c r="D179" s="195">
        <v>4</v>
      </c>
      <c r="E179" s="195" t="s">
        <v>211</v>
      </c>
      <c r="F179" s="196">
        <v>44303</v>
      </c>
      <c r="G179" s="250" t="s">
        <v>9</v>
      </c>
      <c r="H179" s="251">
        <v>2116</v>
      </c>
      <c r="I179" s="196" t="s">
        <v>620</v>
      </c>
      <c r="J179" s="199">
        <v>2340</v>
      </c>
      <c r="K179" s="199">
        <v>2434</v>
      </c>
      <c r="L179" s="252">
        <v>2422</v>
      </c>
      <c r="M179" s="249">
        <v>0</v>
      </c>
      <c r="N179" s="200">
        <v>0</v>
      </c>
      <c r="O179" s="253"/>
      <c r="P179" s="251">
        <v>2116</v>
      </c>
      <c r="Q179" s="254">
        <v>33.4</v>
      </c>
      <c r="R179" s="255"/>
      <c r="S179" s="255"/>
      <c r="T179" s="255"/>
      <c r="U179" s="255"/>
      <c r="V179" s="255"/>
      <c r="W179" s="255"/>
      <c r="X179" s="214"/>
      <c r="Y179" s="251">
        <v>2116</v>
      </c>
      <c r="Z179" s="213">
        <v>6.9</v>
      </c>
      <c r="AA179" s="255"/>
      <c r="AB179" s="255"/>
      <c r="AC179" s="255"/>
      <c r="AD179" s="255"/>
      <c r="AE179" s="255"/>
      <c r="AF179" s="255"/>
      <c r="AG179" s="214"/>
      <c r="AH179" s="251">
        <v>2116</v>
      </c>
      <c r="AI179" s="254">
        <v>-26.5</v>
      </c>
      <c r="AJ179" s="254" t="s">
        <v>82</v>
      </c>
      <c r="AK179" s="254" t="s">
        <v>82</v>
      </c>
      <c r="AL179" s="254" t="s">
        <v>82</v>
      </c>
      <c r="AM179" s="254" t="s">
        <v>82</v>
      </c>
      <c r="AN179" s="254" t="s">
        <v>82</v>
      </c>
      <c r="AO179" s="254" t="s">
        <v>82</v>
      </c>
    </row>
    <row customFormat="1" r="180" s="205" spans="1:41" x14ac:dyDescent="0.2">
      <c r="A180" s="249">
        <v>176</v>
      </c>
      <c r="B180" s="195">
        <v>5</v>
      </c>
      <c r="C180" s="195" t="s">
        <v>194</v>
      </c>
      <c r="D180" s="195">
        <v>4</v>
      </c>
      <c r="E180" s="195" t="s">
        <v>211</v>
      </c>
      <c r="F180" s="196">
        <v>44379</v>
      </c>
      <c r="G180" s="250" t="s">
        <v>8</v>
      </c>
      <c r="H180" s="251">
        <v>2127</v>
      </c>
      <c r="I180" s="196" t="s">
        <v>539</v>
      </c>
      <c r="J180" s="199">
        <v>1130</v>
      </c>
      <c r="K180" s="199">
        <v>1154</v>
      </c>
      <c r="L180" s="252">
        <v>1145</v>
      </c>
      <c r="M180" s="249">
        <v>0</v>
      </c>
      <c r="N180" s="200">
        <v>0</v>
      </c>
      <c r="O180" s="253"/>
      <c r="P180" s="251">
        <v>2127</v>
      </c>
      <c r="Q180" s="254">
        <v>1.4</v>
      </c>
      <c r="R180" s="255"/>
      <c r="S180" s="255"/>
      <c r="T180" s="255"/>
      <c r="U180" s="255"/>
      <c r="V180" s="255"/>
      <c r="W180" s="255"/>
      <c r="X180" s="214"/>
      <c r="Y180" s="251">
        <v>2127</v>
      </c>
      <c r="Z180" s="213">
        <v>0</v>
      </c>
      <c r="AA180" s="255"/>
      <c r="AB180" s="255"/>
      <c r="AC180" s="255"/>
      <c r="AD180" s="255"/>
      <c r="AE180" s="255"/>
      <c r="AF180" s="255"/>
      <c r="AG180" s="214"/>
      <c r="AH180" s="251">
        <v>2127</v>
      </c>
      <c r="AI180" s="254">
        <v>-1.4</v>
      </c>
      <c r="AJ180" s="254" t="s">
        <v>82</v>
      </c>
      <c r="AK180" s="254" t="s">
        <v>82</v>
      </c>
      <c r="AL180" s="254" t="s">
        <v>82</v>
      </c>
      <c r="AM180" s="254" t="s">
        <v>82</v>
      </c>
      <c r="AN180" s="254" t="s">
        <v>82</v>
      </c>
      <c r="AO180" s="254" t="s">
        <v>82</v>
      </c>
    </row>
    <row customFormat="1" r="181" s="205" spans="1:41" x14ac:dyDescent="0.2">
      <c r="A181" s="249">
        <v>177</v>
      </c>
      <c r="B181" s="195">
        <v>5</v>
      </c>
      <c r="C181" s="195" t="s">
        <v>194</v>
      </c>
      <c r="D181" s="195">
        <v>4</v>
      </c>
      <c r="E181" s="195" t="s">
        <v>211</v>
      </c>
      <c r="F181" s="196">
        <v>44414</v>
      </c>
      <c r="G181" s="250" t="s">
        <v>8</v>
      </c>
      <c r="H181" s="251">
        <v>2132</v>
      </c>
      <c r="I181" s="196" t="s">
        <v>216</v>
      </c>
      <c r="J181" s="199">
        <v>1450</v>
      </c>
      <c r="K181" s="199">
        <v>1519</v>
      </c>
      <c r="L181" s="252">
        <v>1515</v>
      </c>
      <c r="M181" s="249">
        <v>1</v>
      </c>
      <c r="N181" s="200">
        <v>0</v>
      </c>
      <c r="O181" s="253"/>
      <c r="P181" s="251">
        <v>2132</v>
      </c>
      <c r="Q181" s="254">
        <v>112.3</v>
      </c>
      <c r="R181" s="213">
        <v>15</v>
      </c>
      <c r="S181" s="213">
        <v>1</v>
      </c>
      <c r="T181" s="213">
        <v>14</v>
      </c>
      <c r="U181" s="213">
        <v>0.9</v>
      </c>
      <c r="V181" s="213">
        <v>0.9</v>
      </c>
      <c r="W181" s="213" t="s">
        <v>84</v>
      </c>
      <c r="X181" s="214"/>
      <c r="Y181" s="251">
        <v>2132</v>
      </c>
      <c r="Z181" s="213">
        <v>0</v>
      </c>
      <c r="AA181" s="213">
        <v>1</v>
      </c>
      <c r="AB181" s="213">
        <v>1</v>
      </c>
      <c r="AC181" s="213">
        <v>0</v>
      </c>
      <c r="AD181" s="213">
        <v>0.9</v>
      </c>
      <c r="AE181" s="213">
        <v>0.9</v>
      </c>
      <c r="AF181" s="213" t="s">
        <v>84</v>
      </c>
      <c r="AG181" s="214"/>
      <c r="AH181" s="251">
        <v>2132</v>
      </c>
      <c r="AI181" s="254">
        <v>-112.3</v>
      </c>
      <c r="AJ181" s="254">
        <v>-14</v>
      </c>
      <c r="AK181" s="254" t="s">
        <v>82</v>
      </c>
      <c r="AL181" s="254">
        <v>-14</v>
      </c>
      <c r="AM181" s="254" t="s">
        <v>82</v>
      </c>
      <c r="AN181" s="254" t="s">
        <v>82</v>
      </c>
      <c r="AO181" s="254" t="s">
        <v>82</v>
      </c>
    </row>
    <row customFormat="1" r="182" s="205" spans="1:41" x14ac:dyDescent="0.2">
      <c r="A182" s="249">
        <v>178</v>
      </c>
      <c r="B182" s="195">
        <v>5</v>
      </c>
      <c r="C182" s="195" t="s">
        <v>194</v>
      </c>
      <c r="D182" s="195">
        <v>4</v>
      </c>
      <c r="E182" s="195" t="s">
        <v>211</v>
      </c>
      <c r="F182" s="196">
        <v>44477</v>
      </c>
      <c r="G182" s="250" t="s">
        <v>8</v>
      </c>
      <c r="H182" s="251">
        <v>2141</v>
      </c>
      <c r="I182" s="196" t="s">
        <v>216</v>
      </c>
      <c r="J182" s="199">
        <v>1445</v>
      </c>
      <c r="K182" s="199">
        <v>1514</v>
      </c>
      <c r="L182" s="252">
        <v>1455</v>
      </c>
      <c r="M182" s="249">
        <v>1</v>
      </c>
      <c r="N182" s="200">
        <v>0</v>
      </c>
      <c r="O182" s="253"/>
      <c r="P182" s="251">
        <v>2141</v>
      </c>
      <c r="Q182" s="254">
        <v>6</v>
      </c>
      <c r="R182" s="213">
        <v>1.8</v>
      </c>
      <c r="S182" s="213">
        <v>1.1000000000000001</v>
      </c>
      <c r="T182" s="213">
        <v>0.7</v>
      </c>
      <c r="U182" s="213">
        <v>0.9</v>
      </c>
      <c r="V182" s="213">
        <v>0.9</v>
      </c>
      <c r="W182" s="213" t="s">
        <v>84</v>
      </c>
      <c r="X182" s="214"/>
      <c r="Y182" s="251">
        <v>2141</v>
      </c>
      <c r="Z182" s="213">
        <v>0</v>
      </c>
      <c r="AA182" s="213">
        <v>1.1000000000000001</v>
      </c>
      <c r="AB182" s="213">
        <v>1.1000000000000001</v>
      </c>
      <c r="AC182" s="213">
        <v>0</v>
      </c>
      <c r="AD182" s="213">
        <v>0.9</v>
      </c>
      <c r="AE182" s="213">
        <v>0.9</v>
      </c>
      <c r="AF182" s="213" t="s">
        <v>84</v>
      </c>
      <c r="AG182" s="214"/>
      <c r="AH182" s="251">
        <v>2141</v>
      </c>
      <c r="AI182" s="254">
        <v>-6</v>
      </c>
      <c r="AJ182" s="254">
        <v>-0.7</v>
      </c>
      <c r="AK182" s="254" t="s">
        <v>82</v>
      </c>
      <c r="AL182" s="254">
        <v>-0.7</v>
      </c>
      <c r="AM182" s="254" t="s">
        <v>82</v>
      </c>
      <c r="AN182" s="254" t="s">
        <v>82</v>
      </c>
      <c r="AO182" s="254" t="s">
        <v>82</v>
      </c>
    </row>
    <row customFormat="1" r="183" s="205" spans="1:41" x14ac:dyDescent="0.2">
      <c r="A183" s="249">
        <v>179</v>
      </c>
      <c r="B183" s="195">
        <v>5</v>
      </c>
      <c r="C183" s="195" t="s">
        <v>194</v>
      </c>
      <c r="D183" s="195">
        <v>4</v>
      </c>
      <c r="E183" s="195" t="s">
        <v>211</v>
      </c>
      <c r="F183" s="196">
        <v>44627</v>
      </c>
      <c r="G183" s="250" t="s">
        <v>4</v>
      </c>
      <c r="H183" s="251">
        <v>2211</v>
      </c>
      <c r="I183" s="196" t="s">
        <v>217</v>
      </c>
      <c r="J183" s="199">
        <v>800</v>
      </c>
      <c r="K183" s="199">
        <v>949</v>
      </c>
      <c r="L183" s="252">
        <v>935</v>
      </c>
      <c r="M183" s="249">
        <v>1</v>
      </c>
      <c r="N183" s="200">
        <v>0</v>
      </c>
      <c r="O183" s="253"/>
      <c r="P183" s="251">
        <v>2211</v>
      </c>
      <c r="Q183" s="254">
        <v>1.4</v>
      </c>
      <c r="R183" s="213">
        <v>3.6</v>
      </c>
      <c r="S183" s="213">
        <v>3.5</v>
      </c>
      <c r="T183" s="213">
        <v>0.1</v>
      </c>
      <c r="U183" s="213">
        <v>2.1</v>
      </c>
      <c r="V183" s="213">
        <v>2.1</v>
      </c>
      <c r="W183" s="213">
        <v>0</v>
      </c>
      <c r="X183" s="214"/>
      <c r="Y183" s="251">
        <v>2211</v>
      </c>
      <c r="Z183" s="213">
        <v>0</v>
      </c>
      <c r="AA183" s="213">
        <v>3.5</v>
      </c>
      <c r="AB183" s="213">
        <v>3.5</v>
      </c>
      <c r="AC183" s="213">
        <v>0</v>
      </c>
      <c r="AD183" s="213">
        <v>2.1</v>
      </c>
      <c r="AE183" s="213">
        <v>2.1</v>
      </c>
      <c r="AF183" s="213">
        <v>0</v>
      </c>
      <c r="AG183" s="214"/>
      <c r="AH183" s="251">
        <v>2211</v>
      </c>
      <c r="AI183" s="254">
        <v>-1.4</v>
      </c>
      <c r="AJ183" s="254">
        <v>-0.10000000000000009</v>
      </c>
      <c r="AK183" s="254" t="s">
        <v>82</v>
      </c>
      <c r="AL183" s="254">
        <v>-0.1</v>
      </c>
      <c r="AM183" s="254" t="s">
        <v>82</v>
      </c>
      <c r="AN183" s="254" t="s">
        <v>82</v>
      </c>
      <c r="AO183" s="254" t="s">
        <v>82</v>
      </c>
    </row>
    <row customFormat="1" r="184" s="205" spans="1:41" x14ac:dyDescent="0.2">
      <c r="A184" s="249">
        <v>180</v>
      </c>
      <c r="B184" s="195">
        <v>5</v>
      </c>
      <c r="C184" s="195" t="s">
        <v>194</v>
      </c>
      <c r="D184" s="195">
        <v>5</v>
      </c>
      <c r="E184" s="195" t="s">
        <v>549</v>
      </c>
      <c r="F184" s="196">
        <v>43938</v>
      </c>
      <c r="G184" s="250" t="s">
        <v>8</v>
      </c>
      <c r="H184" s="251">
        <v>2016</v>
      </c>
      <c r="I184" s="196" t="s">
        <v>621</v>
      </c>
      <c r="J184" s="199">
        <v>800</v>
      </c>
      <c r="K184" s="199">
        <v>814</v>
      </c>
      <c r="L184" s="252">
        <v>806</v>
      </c>
      <c r="M184" s="249">
        <v>0</v>
      </c>
      <c r="N184" s="200">
        <v>0</v>
      </c>
      <c r="O184" s="253"/>
      <c r="P184" s="251">
        <v>2016</v>
      </c>
      <c r="Q184" s="254">
        <v>12.6</v>
      </c>
      <c r="R184" s="255"/>
      <c r="S184" s="255"/>
      <c r="T184" s="255"/>
      <c r="U184" s="255"/>
      <c r="V184" s="255"/>
      <c r="W184" s="255"/>
      <c r="X184" s="214"/>
      <c r="Y184" s="251">
        <v>2016</v>
      </c>
      <c r="Z184" s="213">
        <v>3.6</v>
      </c>
      <c r="AA184" s="255"/>
      <c r="AB184" s="255"/>
      <c r="AC184" s="255"/>
      <c r="AD184" s="255"/>
      <c r="AE184" s="255"/>
      <c r="AF184" s="255"/>
      <c r="AG184" s="214"/>
      <c r="AH184" s="251">
        <v>2016</v>
      </c>
      <c r="AI184" s="254">
        <v>-9</v>
      </c>
      <c r="AJ184" s="254" t="s">
        <v>82</v>
      </c>
      <c r="AK184" s="254" t="s">
        <v>82</v>
      </c>
      <c r="AL184" s="254" t="s">
        <v>82</v>
      </c>
      <c r="AM184" s="254" t="s">
        <v>82</v>
      </c>
      <c r="AN184" s="254" t="s">
        <v>82</v>
      </c>
      <c r="AO184" s="254" t="s">
        <v>82</v>
      </c>
    </row>
    <row customFormat="1" r="185" s="205" spans="1:41" x14ac:dyDescent="0.2">
      <c r="A185" s="249">
        <v>181</v>
      </c>
      <c r="B185" s="195">
        <v>5</v>
      </c>
      <c r="C185" s="195" t="s">
        <v>194</v>
      </c>
      <c r="D185" s="195">
        <v>5</v>
      </c>
      <c r="E185" s="195" t="s">
        <v>549</v>
      </c>
      <c r="F185" s="196">
        <v>44369</v>
      </c>
      <c r="G185" s="250" t="s">
        <v>5</v>
      </c>
      <c r="H185" s="251">
        <v>2126</v>
      </c>
      <c r="I185" s="196" t="s">
        <v>622</v>
      </c>
      <c r="J185" s="199">
        <v>2100</v>
      </c>
      <c r="K185" s="199">
        <v>2159</v>
      </c>
      <c r="L185" s="252">
        <v>2107</v>
      </c>
      <c r="M185" s="249">
        <v>0</v>
      </c>
      <c r="N185" s="200">
        <v>0</v>
      </c>
      <c r="O185" s="253"/>
      <c r="P185" s="251">
        <v>2126</v>
      </c>
      <c r="Q185" s="254">
        <v>19.100000000000001</v>
      </c>
      <c r="R185" s="255"/>
      <c r="S185" s="255"/>
      <c r="T185" s="255"/>
      <c r="U185" s="255"/>
      <c r="V185" s="255"/>
      <c r="W185" s="255"/>
      <c r="X185" s="214"/>
      <c r="Y185" s="251">
        <v>2126</v>
      </c>
      <c r="Z185" s="213">
        <v>0</v>
      </c>
      <c r="AA185" s="255"/>
      <c r="AB185" s="255"/>
      <c r="AC185" s="255"/>
      <c r="AD185" s="255"/>
      <c r="AE185" s="255"/>
      <c r="AF185" s="255"/>
      <c r="AG185" s="214"/>
      <c r="AH185" s="251">
        <v>2126</v>
      </c>
      <c r="AI185" s="254">
        <v>-19.100000000000001</v>
      </c>
      <c r="AJ185" s="254" t="s">
        <v>82</v>
      </c>
      <c r="AK185" s="254" t="s">
        <v>82</v>
      </c>
      <c r="AL185" s="254" t="s">
        <v>82</v>
      </c>
      <c r="AM185" s="254" t="s">
        <v>82</v>
      </c>
      <c r="AN185" s="254" t="s">
        <v>82</v>
      </c>
      <c r="AO185" s="254" t="s">
        <v>82</v>
      </c>
    </row>
    <row customFormat="1" r="186" s="205" spans="1:41" x14ac:dyDescent="0.2">
      <c r="A186" s="249">
        <v>182</v>
      </c>
      <c r="B186" s="195">
        <v>5</v>
      </c>
      <c r="C186" s="195" t="s">
        <v>194</v>
      </c>
      <c r="D186" s="195">
        <v>6</v>
      </c>
      <c r="E186" s="195" t="s">
        <v>553</v>
      </c>
      <c r="F186" s="196">
        <v>44123</v>
      </c>
      <c r="G186" s="250" t="s">
        <v>4</v>
      </c>
      <c r="H186" s="251">
        <v>2043</v>
      </c>
      <c r="I186" s="196" t="s">
        <v>623</v>
      </c>
      <c r="J186" s="199">
        <v>1530</v>
      </c>
      <c r="K186" s="199">
        <v>1539</v>
      </c>
      <c r="L186" s="252">
        <v>1533</v>
      </c>
      <c r="M186" s="249">
        <v>0</v>
      </c>
      <c r="N186" s="200">
        <v>0</v>
      </c>
      <c r="O186" s="253"/>
      <c r="P186" s="251">
        <v>2043</v>
      </c>
      <c r="Q186" s="254">
        <v>1.7</v>
      </c>
      <c r="R186" s="255"/>
      <c r="S186" s="255"/>
      <c r="T186" s="255"/>
      <c r="U186" s="255"/>
      <c r="V186" s="255"/>
      <c r="W186" s="255"/>
      <c r="X186" s="214"/>
      <c r="Y186" s="251">
        <v>2043</v>
      </c>
      <c r="Z186" s="213">
        <v>0</v>
      </c>
      <c r="AA186" s="255"/>
      <c r="AB186" s="255"/>
      <c r="AC186" s="255"/>
      <c r="AD186" s="255"/>
      <c r="AE186" s="255"/>
      <c r="AF186" s="255"/>
      <c r="AG186" s="214"/>
      <c r="AH186" s="251">
        <v>2043</v>
      </c>
      <c r="AI186" s="254">
        <v>-1.7</v>
      </c>
      <c r="AJ186" s="254" t="s">
        <v>82</v>
      </c>
      <c r="AK186" s="254" t="s">
        <v>82</v>
      </c>
      <c r="AL186" s="254" t="s">
        <v>82</v>
      </c>
      <c r="AM186" s="254" t="s">
        <v>82</v>
      </c>
      <c r="AN186" s="254" t="s">
        <v>82</v>
      </c>
      <c r="AO186" s="254" t="s">
        <v>82</v>
      </c>
    </row>
    <row customFormat="1" r="187" s="205" spans="1:41" x14ac:dyDescent="0.2">
      <c r="A187" s="249">
        <v>183</v>
      </c>
      <c r="B187" s="195">
        <v>5</v>
      </c>
      <c r="C187" s="195" t="s">
        <v>194</v>
      </c>
      <c r="D187" s="195">
        <v>6</v>
      </c>
      <c r="E187" s="195" t="s">
        <v>553</v>
      </c>
      <c r="F187" s="196">
        <v>44459</v>
      </c>
      <c r="G187" s="250" t="s">
        <v>4</v>
      </c>
      <c r="H187" s="251">
        <v>2139</v>
      </c>
      <c r="I187" s="196" t="s">
        <v>579</v>
      </c>
      <c r="J187" s="199">
        <v>1350</v>
      </c>
      <c r="K187" s="199">
        <v>1359</v>
      </c>
      <c r="L187" s="252">
        <v>1354</v>
      </c>
      <c r="M187" s="249">
        <v>0</v>
      </c>
      <c r="N187" s="200">
        <v>0</v>
      </c>
      <c r="O187" s="253"/>
      <c r="P187" s="251">
        <v>2139</v>
      </c>
      <c r="Q187" s="254">
        <v>3.3</v>
      </c>
      <c r="R187" s="255"/>
      <c r="S187" s="255"/>
      <c r="T187" s="255"/>
      <c r="U187" s="255"/>
      <c r="V187" s="255"/>
      <c r="W187" s="255"/>
      <c r="X187" s="214"/>
      <c r="Y187" s="251">
        <v>2139</v>
      </c>
      <c r="Z187" s="213">
        <v>0</v>
      </c>
      <c r="AA187" s="255"/>
      <c r="AB187" s="255"/>
      <c r="AC187" s="255"/>
      <c r="AD187" s="255"/>
      <c r="AE187" s="255"/>
      <c r="AF187" s="255"/>
      <c r="AG187" s="214"/>
      <c r="AH187" s="251">
        <v>2139</v>
      </c>
      <c r="AI187" s="254">
        <v>-3.3</v>
      </c>
      <c r="AJ187" s="254" t="s">
        <v>82</v>
      </c>
      <c r="AK187" s="254" t="s">
        <v>82</v>
      </c>
      <c r="AL187" s="254" t="s">
        <v>82</v>
      </c>
      <c r="AM187" s="254" t="s">
        <v>82</v>
      </c>
      <c r="AN187" s="254" t="s">
        <v>82</v>
      </c>
      <c r="AO187" s="254" t="s">
        <v>82</v>
      </c>
    </row>
    <row customFormat="1" r="188" s="205" spans="1:41" x14ac:dyDescent="0.2">
      <c r="A188" s="249">
        <v>184</v>
      </c>
      <c r="B188" s="195">
        <v>5</v>
      </c>
      <c r="C188" s="195" t="s">
        <v>194</v>
      </c>
      <c r="D188" s="195">
        <v>6</v>
      </c>
      <c r="E188" s="195" t="s">
        <v>553</v>
      </c>
      <c r="F188" s="196">
        <v>44558</v>
      </c>
      <c r="G188" s="250" t="s">
        <v>5</v>
      </c>
      <c r="H188" s="256">
        <v>2201</v>
      </c>
      <c r="I188" s="196" t="s">
        <v>579</v>
      </c>
      <c r="J188" s="199">
        <v>1350</v>
      </c>
      <c r="K188" s="199">
        <v>1359</v>
      </c>
      <c r="L188" s="252">
        <v>1354</v>
      </c>
      <c r="M188" s="249">
        <v>0</v>
      </c>
      <c r="N188" s="200">
        <v>0</v>
      </c>
      <c r="O188" s="253"/>
      <c r="P188" s="251">
        <v>2201</v>
      </c>
      <c r="Q188" s="254">
        <v>2.1</v>
      </c>
      <c r="R188" s="255"/>
      <c r="S188" s="255"/>
      <c r="T188" s="255"/>
      <c r="U188" s="255"/>
      <c r="V188" s="255"/>
      <c r="W188" s="255"/>
      <c r="X188" s="214"/>
      <c r="Y188" s="251">
        <v>2201</v>
      </c>
      <c r="Z188" s="213">
        <v>0</v>
      </c>
      <c r="AA188" s="255"/>
      <c r="AB188" s="255"/>
      <c r="AC188" s="255"/>
      <c r="AD188" s="255"/>
      <c r="AE188" s="255"/>
      <c r="AF188" s="255"/>
      <c r="AG188" s="214"/>
      <c r="AH188" s="251">
        <v>2201</v>
      </c>
      <c r="AI188" s="254">
        <v>-2.1</v>
      </c>
      <c r="AJ188" s="254" t="s">
        <v>82</v>
      </c>
      <c r="AK188" s="254" t="s">
        <v>82</v>
      </c>
      <c r="AL188" s="254" t="s">
        <v>82</v>
      </c>
      <c r="AM188" s="254" t="s">
        <v>82</v>
      </c>
      <c r="AN188" s="254" t="s">
        <v>82</v>
      </c>
      <c r="AO188" s="254" t="s">
        <v>82</v>
      </c>
    </row>
    <row customFormat="1" r="189" s="205" spans="1:41" x14ac:dyDescent="0.2">
      <c r="A189" s="249">
        <v>185</v>
      </c>
      <c r="B189" s="195">
        <v>5</v>
      </c>
      <c r="C189" s="195" t="s">
        <v>194</v>
      </c>
      <c r="D189" s="195">
        <v>6</v>
      </c>
      <c r="E189" s="195" t="s">
        <v>553</v>
      </c>
      <c r="F189" s="196">
        <v>44597</v>
      </c>
      <c r="G189" s="250" t="s">
        <v>9</v>
      </c>
      <c r="H189" s="251">
        <v>2206</v>
      </c>
      <c r="I189" s="196" t="s">
        <v>569</v>
      </c>
      <c r="J189" s="199">
        <v>1140</v>
      </c>
      <c r="K189" s="199">
        <v>1159</v>
      </c>
      <c r="L189" s="252">
        <v>1144</v>
      </c>
      <c r="M189" s="249">
        <v>0</v>
      </c>
      <c r="N189" s="200">
        <v>0</v>
      </c>
      <c r="O189" s="253"/>
      <c r="P189" s="251">
        <v>2206</v>
      </c>
      <c r="Q189" s="254">
        <v>39.9</v>
      </c>
      <c r="R189" s="255"/>
      <c r="S189" s="255"/>
      <c r="T189" s="255"/>
      <c r="U189" s="255"/>
      <c r="V189" s="255"/>
      <c r="W189" s="255"/>
      <c r="X189" s="214"/>
      <c r="Y189" s="251">
        <v>2206</v>
      </c>
      <c r="Z189" s="213">
        <v>0</v>
      </c>
      <c r="AA189" s="255"/>
      <c r="AB189" s="255"/>
      <c r="AC189" s="255"/>
      <c r="AD189" s="255"/>
      <c r="AE189" s="255"/>
      <c r="AF189" s="255"/>
      <c r="AG189" s="214"/>
      <c r="AH189" s="251">
        <v>2206</v>
      </c>
      <c r="AI189" s="254">
        <v>-39.9</v>
      </c>
      <c r="AJ189" s="254" t="s">
        <v>82</v>
      </c>
      <c r="AK189" s="254" t="s">
        <v>82</v>
      </c>
      <c r="AL189" s="254" t="s">
        <v>82</v>
      </c>
      <c r="AM189" s="254" t="s">
        <v>82</v>
      </c>
      <c r="AN189" s="254" t="s">
        <v>82</v>
      </c>
      <c r="AO189" s="254" t="s">
        <v>82</v>
      </c>
    </row>
    <row customFormat="1" r="190" s="205" spans="1:41" x14ac:dyDescent="0.2">
      <c r="A190" s="249">
        <v>186</v>
      </c>
      <c r="B190" s="195">
        <v>5</v>
      </c>
      <c r="C190" s="195" t="s">
        <v>194</v>
      </c>
      <c r="D190" s="195">
        <v>6</v>
      </c>
      <c r="E190" s="195" t="s">
        <v>553</v>
      </c>
      <c r="F190" s="196">
        <v>44613</v>
      </c>
      <c r="G190" s="250" t="s">
        <v>4</v>
      </c>
      <c r="H190" s="251">
        <v>2209</v>
      </c>
      <c r="I190" s="196" t="s">
        <v>624</v>
      </c>
      <c r="J190" s="199">
        <v>935</v>
      </c>
      <c r="K190" s="199">
        <v>944</v>
      </c>
      <c r="L190" s="252">
        <v>938</v>
      </c>
      <c r="M190" s="249">
        <v>0</v>
      </c>
      <c r="N190" s="200">
        <v>0</v>
      </c>
      <c r="O190" s="253"/>
      <c r="P190" s="251">
        <v>2209</v>
      </c>
      <c r="Q190" s="254">
        <v>6.1</v>
      </c>
      <c r="R190" s="255"/>
      <c r="S190" s="255"/>
      <c r="T190" s="255"/>
      <c r="U190" s="255"/>
      <c r="V190" s="255"/>
      <c r="W190" s="255"/>
      <c r="X190" s="214"/>
      <c r="Y190" s="251">
        <v>2209</v>
      </c>
      <c r="Z190" s="213">
        <v>0</v>
      </c>
      <c r="AA190" s="255"/>
      <c r="AB190" s="255"/>
      <c r="AC190" s="255"/>
      <c r="AD190" s="255"/>
      <c r="AE190" s="255"/>
      <c r="AF190" s="255"/>
      <c r="AG190" s="214"/>
      <c r="AH190" s="251">
        <v>2209</v>
      </c>
      <c r="AI190" s="254">
        <v>-6.1</v>
      </c>
      <c r="AJ190" s="254" t="s">
        <v>82</v>
      </c>
      <c r="AK190" s="254" t="s">
        <v>82</v>
      </c>
      <c r="AL190" s="254" t="s">
        <v>82</v>
      </c>
      <c r="AM190" s="254" t="s">
        <v>82</v>
      </c>
      <c r="AN190" s="254" t="s">
        <v>82</v>
      </c>
      <c r="AO190" s="254" t="s">
        <v>82</v>
      </c>
    </row>
    <row customFormat="1" r="191" s="205" spans="1:41" x14ac:dyDescent="0.2">
      <c r="A191" s="249">
        <v>187</v>
      </c>
      <c r="B191" s="195">
        <v>5</v>
      </c>
      <c r="C191" s="195" t="s">
        <v>194</v>
      </c>
      <c r="D191" s="195">
        <v>7</v>
      </c>
      <c r="E191" s="195" t="s">
        <v>218</v>
      </c>
      <c r="F191" s="196">
        <v>43945</v>
      </c>
      <c r="G191" s="250" t="s">
        <v>8</v>
      </c>
      <c r="H191" s="251">
        <v>2017</v>
      </c>
      <c r="I191" s="196" t="s">
        <v>625</v>
      </c>
      <c r="J191" s="199">
        <v>1957</v>
      </c>
      <c r="K191" s="199">
        <v>2147</v>
      </c>
      <c r="L191" s="252">
        <v>2037</v>
      </c>
      <c r="M191" s="249">
        <v>0</v>
      </c>
      <c r="N191" s="200">
        <v>0</v>
      </c>
      <c r="O191" s="253"/>
      <c r="P191" s="251">
        <v>2017</v>
      </c>
      <c r="Q191" s="254">
        <v>44.4</v>
      </c>
      <c r="R191" s="255"/>
      <c r="S191" s="255"/>
      <c r="T191" s="255"/>
      <c r="U191" s="255"/>
      <c r="V191" s="255"/>
      <c r="W191" s="255"/>
      <c r="X191" s="214"/>
      <c r="Y191" s="251">
        <v>2017</v>
      </c>
      <c r="Z191" s="213">
        <v>3.6</v>
      </c>
      <c r="AA191" s="255"/>
      <c r="AB191" s="255"/>
      <c r="AC191" s="255"/>
      <c r="AD191" s="255"/>
      <c r="AE191" s="255"/>
      <c r="AF191" s="255"/>
      <c r="AG191" s="214"/>
      <c r="AH191" s="251">
        <v>2017</v>
      </c>
      <c r="AI191" s="254">
        <v>-40.799999999999997</v>
      </c>
      <c r="AJ191" s="254" t="s">
        <v>82</v>
      </c>
      <c r="AK191" s="254" t="s">
        <v>82</v>
      </c>
      <c r="AL191" s="254" t="s">
        <v>82</v>
      </c>
      <c r="AM191" s="254" t="s">
        <v>82</v>
      </c>
      <c r="AN191" s="254" t="s">
        <v>82</v>
      </c>
      <c r="AO191" s="254" t="s">
        <v>82</v>
      </c>
    </row>
    <row customFormat="1" r="192" s="205" spans="1:41" x14ac:dyDescent="0.2">
      <c r="A192" s="249">
        <v>188</v>
      </c>
      <c r="B192" s="195">
        <v>5</v>
      </c>
      <c r="C192" s="195" t="s">
        <v>194</v>
      </c>
      <c r="D192" s="195">
        <v>7</v>
      </c>
      <c r="E192" s="195" t="s">
        <v>218</v>
      </c>
      <c r="F192" s="196">
        <v>44124</v>
      </c>
      <c r="G192" s="250" t="s">
        <v>5</v>
      </c>
      <c r="H192" s="251">
        <v>2043</v>
      </c>
      <c r="I192" s="196" t="s">
        <v>626</v>
      </c>
      <c r="J192" s="199">
        <v>1700</v>
      </c>
      <c r="K192" s="199">
        <v>1724</v>
      </c>
      <c r="L192" s="252">
        <v>1708</v>
      </c>
      <c r="M192" s="249">
        <v>0</v>
      </c>
      <c r="N192" s="200">
        <v>0</v>
      </c>
      <c r="O192" s="253"/>
      <c r="P192" s="251">
        <v>2043</v>
      </c>
      <c r="Q192" s="254">
        <v>6</v>
      </c>
      <c r="R192" s="255"/>
      <c r="S192" s="255"/>
      <c r="T192" s="255"/>
      <c r="U192" s="255"/>
      <c r="V192" s="255"/>
      <c r="W192" s="255"/>
      <c r="X192" s="214"/>
      <c r="Y192" s="251">
        <v>2043</v>
      </c>
      <c r="Z192" s="213">
        <v>0</v>
      </c>
      <c r="AA192" s="255"/>
      <c r="AB192" s="255"/>
      <c r="AC192" s="255"/>
      <c r="AD192" s="255"/>
      <c r="AE192" s="255"/>
      <c r="AF192" s="255"/>
      <c r="AG192" s="214"/>
      <c r="AH192" s="251">
        <v>2043</v>
      </c>
      <c r="AI192" s="254">
        <v>-6</v>
      </c>
      <c r="AJ192" s="254" t="s">
        <v>82</v>
      </c>
      <c r="AK192" s="254" t="s">
        <v>82</v>
      </c>
      <c r="AL192" s="254" t="s">
        <v>82</v>
      </c>
      <c r="AM192" s="254" t="s">
        <v>82</v>
      </c>
      <c r="AN192" s="254" t="s">
        <v>82</v>
      </c>
      <c r="AO192" s="254" t="s">
        <v>82</v>
      </c>
    </row>
    <row customFormat="1" r="193" s="205" spans="1:41" x14ac:dyDescent="0.2">
      <c r="A193" s="249">
        <v>189</v>
      </c>
      <c r="B193" s="195">
        <v>5</v>
      </c>
      <c r="C193" s="195" t="s">
        <v>194</v>
      </c>
      <c r="D193" s="195">
        <v>7</v>
      </c>
      <c r="E193" s="195" t="s">
        <v>218</v>
      </c>
      <c r="F193" s="196">
        <v>44204</v>
      </c>
      <c r="G193" s="250" t="s">
        <v>8</v>
      </c>
      <c r="H193" s="251">
        <v>2102</v>
      </c>
      <c r="I193" s="196" t="s">
        <v>608</v>
      </c>
      <c r="J193" s="199">
        <v>2300</v>
      </c>
      <c r="K193" s="199">
        <v>2357</v>
      </c>
      <c r="L193" s="252">
        <v>2337</v>
      </c>
      <c r="M193" s="249">
        <v>0</v>
      </c>
      <c r="N193" s="200">
        <v>0</v>
      </c>
      <c r="O193" s="253"/>
      <c r="P193" s="251">
        <v>2102</v>
      </c>
      <c r="Q193" s="254">
        <v>5.6</v>
      </c>
      <c r="R193" s="255"/>
      <c r="S193" s="255"/>
      <c r="T193" s="255"/>
      <c r="U193" s="255"/>
      <c r="V193" s="255"/>
      <c r="W193" s="255"/>
      <c r="X193" s="214"/>
      <c r="Y193" s="251">
        <v>2102</v>
      </c>
      <c r="Z193" s="213">
        <v>0</v>
      </c>
      <c r="AA193" s="255"/>
      <c r="AB193" s="255"/>
      <c r="AC193" s="255"/>
      <c r="AD193" s="255"/>
      <c r="AE193" s="255"/>
      <c r="AF193" s="255"/>
      <c r="AG193" s="214"/>
      <c r="AH193" s="251">
        <v>2102</v>
      </c>
      <c r="AI193" s="254">
        <v>-5.6</v>
      </c>
      <c r="AJ193" s="254" t="s">
        <v>82</v>
      </c>
      <c r="AK193" s="254" t="s">
        <v>82</v>
      </c>
      <c r="AL193" s="254" t="s">
        <v>82</v>
      </c>
      <c r="AM193" s="254" t="s">
        <v>82</v>
      </c>
      <c r="AN193" s="254" t="s">
        <v>82</v>
      </c>
      <c r="AO193" s="254" t="s">
        <v>82</v>
      </c>
    </row>
    <row customFormat="1" r="194" s="205" spans="1:41" x14ac:dyDescent="0.2">
      <c r="A194" s="249">
        <v>190</v>
      </c>
      <c r="B194" s="195">
        <v>5</v>
      </c>
      <c r="C194" s="195" t="s">
        <v>194</v>
      </c>
      <c r="D194" s="195">
        <v>7</v>
      </c>
      <c r="E194" s="195" t="s">
        <v>218</v>
      </c>
      <c r="F194" s="196">
        <v>44506</v>
      </c>
      <c r="G194" s="250" t="s">
        <v>9</v>
      </c>
      <c r="H194" s="251">
        <v>2145</v>
      </c>
      <c r="I194" s="196" t="s">
        <v>219</v>
      </c>
      <c r="J194" s="199">
        <v>1200</v>
      </c>
      <c r="K194" s="199">
        <v>1356</v>
      </c>
      <c r="L194" s="252">
        <v>1226</v>
      </c>
      <c r="M194" s="249">
        <v>1</v>
      </c>
      <c r="N194" s="200">
        <v>0</v>
      </c>
      <c r="O194" s="253"/>
      <c r="P194" s="251">
        <v>2145</v>
      </c>
      <c r="Q194" s="254">
        <v>5.8</v>
      </c>
      <c r="R194" s="213">
        <v>3</v>
      </c>
      <c r="S194" s="213">
        <v>2.7</v>
      </c>
      <c r="T194" s="213">
        <v>0.3</v>
      </c>
      <c r="U194" s="213">
        <v>3</v>
      </c>
      <c r="V194" s="213">
        <v>3</v>
      </c>
      <c r="W194" s="213">
        <v>0</v>
      </c>
      <c r="X194" s="214"/>
      <c r="Y194" s="251">
        <v>2145</v>
      </c>
      <c r="Z194" s="213">
        <v>0.2</v>
      </c>
      <c r="AA194" s="213">
        <v>2.8</v>
      </c>
      <c r="AB194" s="213">
        <v>2.7</v>
      </c>
      <c r="AC194" s="213">
        <v>0.1</v>
      </c>
      <c r="AD194" s="213">
        <v>3</v>
      </c>
      <c r="AE194" s="213">
        <v>3</v>
      </c>
      <c r="AF194" s="213">
        <v>0</v>
      </c>
      <c r="AG194" s="214"/>
      <c r="AH194" s="251">
        <v>2145</v>
      </c>
      <c r="AI194" s="254">
        <v>-5.6</v>
      </c>
      <c r="AJ194" s="254">
        <v>-0.20000000000000018</v>
      </c>
      <c r="AK194" s="254" t="s">
        <v>82</v>
      </c>
      <c r="AL194" s="254">
        <v>-0.19999999999999998</v>
      </c>
      <c r="AM194" s="254" t="s">
        <v>82</v>
      </c>
      <c r="AN194" s="254" t="s">
        <v>82</v>
      </c>
      <c r="AO194" s="254" t="s">
        <v>82</v>
      </c>
    </row>
    <row customFormat="1" r="195" s="205" spans="1:41" x14ac:dyDescent="0.2">
      <c r="A195" s="249">
        <v>191</v>
      </c>
      <c r="B195" s="195">
        <v>5</v>
      </c>
      <c r="C195" s="195" t="s">
        <v>194</v>
      </c>
      <c r="D195" s="195">
        <v>7</v>
      </c>
      <c r="E195" s="195" t="s">
        <v>218</v>
      </c>
      <c r="F195" s="196">
        <v>44508</v>
      </c>
      <c r="G195" s="250" t="s">
        <v>4</v>
      </c>
      <c r="H195" s="251">
        <v>2146</v>
      </c>
      <c r="I195" s="196" t="s">
        <v>220</v>
      </c>
      <c r="J195" s="199">
        <v>930</v>
      </c>
      <c r="K195" s="199">
        <v>1025</v>
      </c>
      <c r="L195" s="252">
        <v>1005</v>
      </c>
      <c r="M195" s="249">
        <v>1</v>
      </c>
      <c r="N195" s="200">
        <v>0</v>
      </c>
      <c r="O195" s="253"/>
      <c r="P195" s="251">
        <v>2146</v>
      </c>
      <c r="Q195" s="254">
        <v>7.1</v>
      </c>
      <c r="R195" s="213">
        <v>2.1</v>
      </c>
      <c r="S195" s="213">
        <v>1.2</v>
      </c>
      <c r="T195" s="213">
        <v>0.9</v>
      </c>
      <c r="U195" s="213">
        <v>0.6</v>
      </c>
      <c r="V195" s="213">
        <v>0.3</v>
      </c>
      <c r="W195" s="213">
        <v>0.3</v>
      </c>
      <c r="X195" s="214"/>
      <c r="Y195" s="251">
        <v>2146</v>
      </c>
      <c r="Z195" s="213">
        <v>0.3</v>
      </c>
      <c r="AA195" s="213">
        <v>1.5</v>
      </c>
      <c r="AB195" s="213">
        <v>1.2</v>
      </c>
      <c r="AC195" s="213">
        <v>0.3</v>
      </c>
      <c r="AD195" s="213">
        <v>0.6</v>
      </c>
      <c r="AE195" s="213">
        <v>0.3</v>
      </c>
      <c r="AF195" s="213">
        <v>0.3</v>
      </c>
      <c r="AG195" s="214"/>
      <c r="AH195" s="251">
        <v>2146</v>
      </c>
      <c r="AI195" s="254">
        <v>-6.8</v>
      </c>
      <c r="AJ195" s="254">
        <v>-0.60000000000000009</v>
      </c>
      <c r="AK195" s="254" t="s">
        <v>82</v>
      </c>
      <c r="AL195" s="254">
        <v>-0.60000000000000009</v>
      </c>
      <c r="AM195" s="254" t="s">
        <v>82</v>
      </c>
      <c r="AN195" s="254" t="s">
        <v>82</v>
      </c>
      <c r="AO195" s="254" t="s">
        <v>82</v>
      </c>
    </row>
    <row customFormat="1" r="196" s="205" spans="1:41" x14ac:dyDescent="0.2">
      <c r="A196" s="249">
        <v>192</v>
      </c>
      <c r="B196" s="195">
        <v>6</v>
      </c>
      <c r="C196" s="195" t="s">
        <v>221</v>
      </c>
      <c r="D196" s="195">
        <v>1</v>
      </c>
      <c r="E196" s="195" t="s">
        <v>627</v>
      </c>
      <c r="F196" s="196">
        <v>43976</v>
      </c>
      <c r="G196" s="250" t="s">
        <v>4</v>
      </c>
      <c r="H196" s="251">
        <v>2022</v>
      </c>
      <c r="I196" s="196" t="s">
        <v>628</v>
      </c>
      <c r="J196" s="199">
        <v>955</v>
      </c>
      <c r="K196" s="199">
        <v>1024</v>
      </c>
      <c r="L196" s="252">
        <v>1023</v>
      </c>
      <c r="M196" s="249">
        <v>0</v>
      </c>
      <c r="N196" s="200">
        <v>0</v>
      </c>
      <c r="O196" s="253"/>
      <c r="P196" s="251">
        <v>2022</v>
      </c>
      <c r="Q196" s="254">
        <v>2.2999999999999998</v>
      </c>
      <c r="R196" s="255"/>
      <c r="S196" s="255"/>
      <c r="T196" s="255"/>
      <c r="U196" s="255"/>
      <c r="V196" s="255"/>
      <c r="W196" s="255"/>
      <c r="X196" s="214"/>
      <c r="Y196" s="251">
        <v>2022</v>
      </c>
      <c r="Z196" s="213">
        <v>0</v>
      </c>
      <c r="AA196" s="255"/>
      <c r="AB196" s="255"/>
      <c r="AC196" s="255"/>
      <c r="AD196" s="255"/>
      <c r="AE196" s="255"/>
      <c r="AF196" s="255"/>
      <c r="AG196" s="214"/>
      <c r="AH196" s="251">
        <v>2022</v>
      </c>
      <c r="AI196" s="254">
        <v>-2.2999999999999998</v>
      </c>
      <c r="AJ196" s="254" t="s">
        <v>82</v>
      </c>
      <c r="AK196" s="254" t="s">
        <v>82</v>
      </c>
      <c r="AL196" s="254" t="s">
        <v>82</v>
      </c>
      <c r="AM196" s="254" t="s">
        <v>82</v>
      </c>
      <c r="AN196" s="254" t="s">
        <v>82</v>
      </c>
      <c r="AO196" s="254" t="s">
        <v>82</v>
      </c>
    </row>
    <row customFormat="1" r="197" s="205" spans="1:41" x14ac:dyDescent="0.2">
      <c r="A197" s="249">
        <v>193</v>
      </c>
      <c r="B197" s="195">
        <v>6</v>
      </c>
      <c r="C197" s="195" t="s">
        <v>221</v>
      </c>
      <c r="D197" s="195">
        <v>1</v>
      </c>
      <c r="E197" s="195" t="s">
        <v>627</v>
      </c>
      <c r="F197" s="196">
        <v>43988</v>
      </c>
      <c r="G197" s="250" t="s">
        <v>9</v>
      </c>
      <c r="H197" s="251">
        <v>2023</v>
      </c>
      <c r="I197" s="196" t="s">
        <v>447</v>
      </c>
      <c r="J197" s="199">
        <v>2458</v>
      </c>
      <c r="K197" s="199">
        <v>2527</v>
      </c>
      <c r="L197" s="252">
        <v>2504</v>
      </c>
      <c r="M197" s="249">
        <v>0</v>
      </c>
      <c r="N197" s="200">
        <v>0</v>
      </c>
      <c r="O197" s="253"/>
      <c r="P197" s="251">
        <v>2023</v>
      </c>
      <c r="Q197" s="254">
        <v>34.200000000000003</v>
      </c>
      <c r="R197" s="255"/>
      <c r="S197" s="255"/>
      <c r="T197" s="255"/>
      <c r="U197" s="255"/>
      <c r="V197" s="255"/>
      <c r="W197" s="255"/>
      <c r="X197" s="214"/>
      <c r="Y197" s="251">
        <v>2023</v>
      </c>
      <c r="Z197" s="213">
        <v>0</v>
      </c>
      <c r="AA197" s="255"/>
      <c r="AB197" s="255"/>
      <c r="AC197" s="255"/>
      <c r="AD197" s="255"/>
      <c r="AE197" s="255"/>
      <c r="AF197" s="255"/>
      <c r="AG197" s="214"/>
      <c r="AH197" s="251">
        <v>2023</v>
      </c>
      <c r="AI197" s="254">
        <v>-34.200000000000003</v>
      </c>
      <c r="AJ197" s="254" t="s">
        <v>82</v>
      </c>
      <c r="AK197" s="254" t="s">
        <v>82</v>
      </c>
      <c r="AL197" s="254" t="s">
        <v>82</v>
      </c>
      <c r="AM197" s="254" t="s">
        <v>82</v>
      </c>
      <c r="AN197" s="254" t="s">
        <v>82</v>
      </c>
      <c r="AO197" s="254" t="s">
        <v>82</v>
      </c>
    </row>
    <row customFormat="1" r="198" s="205" spans="1:41" x14ac:dyDescent="0.2">
      <c r="A198" s="249">
        <v>194</v>
      </c>
      <c r="B198" s="195">
        <v>6</v>
      </c>
      <c r="C198" s="195" t="s">
        <v>221</v>
      </c>
      <c r="D198" s="195">
        <v>1</v>
      </c>
      <c r="E198" s="195" t="s">
        <v>627</v>
      </c>
      <c r="F198" s="196">
        <v>44420</v>
      </c>
      <c r="G198" s="250" t="s">
        <v>7</v>
      </c>
      <c r="H198" s="251">
        <v>2133</v>
      </c>
      <c r="I198" s="196" t="s">
        <v>629</v>
      </c>
      <c r="J198" s="199">
        <v>525</v>
      </c>
      <c r="K198" s="199">
        <v>559</v>
      </c>
      <c r="L198" s="252">
        <v>555</v>
      </c>
      <c r="M198" s="249">
        <v>0</v>
      </c>
      <c r="N198" s="200">
        <v>0</v>
      </c>
      <c r="O198" s="253"/>
      <c r="P198" s="251">
        <v>2133</v>
      </c>
      <c r="Q198" s="254">
        <v>2.7</v>
      </c>
      <c r="R198" s="255"/>
      <c r="S198" s="255"/>
      <c r="T198" s="255"/>
      <c r="U198" s="255"/>
      <c r="V198" s="255"/>
      <c r="W198" s="255"/>
      <c r="X198" s="214"/>
      <c r="Y198" s="251">
        <v>2133</v>
      </c>
      <c r="Z198" s="213">
        <v>0</v>
      </c>
      <c r="AA198" s="255"/>
      <c r="AB198" s="255"/>
      <c r="AC198" s="255"/>
      <c r="AD198" s="255"/>
      <c r="AE198" s="255"/>
      <c r="AF198" s="255"/>
      <c r="AG198" s="214"/>
      <c r="AH198" s="251">
        <v>2133</v>
      </c>
      <c r="AI198" s="254">
        <v>-2.7</v>
      </c>
      <c r="AJ198" s="254" t="s">
        <v>82</v>
      </c>
      <c r="AK198" s="254" t="s">
        <v>82</v>
      </c>
      <c r="AL198" s="254" t="s">
        <v>82</v>
      </c>
      <c r="AM198" s="254" t="s">
        <v>82</v>
      </c>
      <c r="AN198" s="254" t="s">
        <v>82</v>
      </c>
      <c r="AO198" s="254" t="s">
        <v>82</v>
      </c>
    </row>
    <row customFormat="1" r="199" s="205" spans="1:41" x14ac:dyDescent="0.2">
      <c r="A199" s="249">
        <v>195</v>
      </c>
      <c r="B199" s="195">
        <v>6</v>
      </c>
      <c r="C199" s="195" t="s">
        <v>221</v>
      </c>
      <c r="D199" s="195">
        <v>1</v>
      </c>
      <c r="E199" s="195" t="s">
        <v>627</v>
      </c>
      <c r="F199" s="196">
        <v>44553</v>
      </c>
      <c r="G199" s="250" t="s">
        <v>7</v>
      </c>
      <c r="H199" s="251">
        <v>2152</v>
      </c>
      <c r="I199" s="196" t="s">
        <v>109</v>
      </c>
      <c r="J199" s="199">
        <v>600</v>
      </c>
      <c r="K199" s="199">
        <v>659</v>
      </c>
      <c r="L199" s="252">
        <v>659</v>
      </c>
      <c r="M199" s="249">
        <v>0</v>
      </c>
      <c r="N199" s="200">
        <v>1</v>
      </c>
      <c r="O199" s="253"/>
      <c r="P199" s="251">
        <v>2152</v>
      </c>
      <c r="Q199" s="254">
        <v>7.3</v>
      </c>
      <c r="R199" s="255"/>
      <c r="S199" s="255"/>
      <c r="T199" s="255"/>
      <c r="U199" s="255"/>
      <c r="V199" s="255"/>
      <c r="W199" s="255"/>
      <c r="X199" s="214"/>
      <c r="Y199" s="251">
        <v>2152</v>
      </c>
      <c r="Z199" s="213">
        <v>0</v>
      </c>
      <c r="AA199" s="255"/>
      <c r="AB199" s="255"/>
      <c r="AC199" s="255"/>
      <c r="AD199" s="255"/>
      <c r="AE199" s="255"/>
      <c r="AF199" s="255"/>
      <c r="AG199" s="214"/>
      <c r="AH199" s="251">
        <v>2152</v>
      </c>
      <c r="AI199" s="254">
        <v>-7.3</v>
      </c>
      <c r="AJ199" s="254" t="s">
        <v>82</v>
      </c>
      <c r="AK199" s="254" t="s">
        <v>82</v>
      </c>
      <c r="AL199" s="254" t="s">
        <v>82</v>
      </c>
      <c r="AM199" s="254" t="s">
        <v>82</v>
      </c>
      <c r="AN199" s="254" t="s">
        <v>82</v>
      </c>
      <c r="AO199" s="254" t="s">
        <v>82</v>
      </c>
    </row>
    <row customFormat="1" r="200" s="205" spans="1:41" x14ac:dyDescent="0.2">
      <c r="A200" s="249">
        <v>196</v>
      </c>
      <c r="B200" s="195">
        <v>6</v>
      </c>
      <c r="C200" s="195" t="s">
        <v>221</v>
      </c>
      <c r="D200" s="195">
        <v>2</v>
      </c>
      <c r="E200" s="195" t="s">
        <v>222</v>
      </c>
      <c r="F200" s="196">
        <v>44154</v>
      </c>
      <c r="G200" s="250" t="s">
        <v>7</v>
      </c>
      <c r="H200" s="251">
        <v>2047</v>
      </c>
      <c r="I200" s="196" t="s">
        <v>223</v>
      </c>
      <c r="J200" s="199">
        <v>1650</v>
      </c>
      <c r="K200" s="199">
        <v>1747</v>
      </c>
      <c r="L200" s="252">
        <v>1709</v>
      </c>
      <c r="M200" s="249">
        <v>1</v>
      </c>
      <c r="N200" s="200">
        <v>0</v>
      </c>
      <c r="O200" s="253"/>
      <c r="P200" s="251">
        <v>2047</v>
      </c>
      <c r="Q200" s="254">
        <v>10.199999999999999</v>
      </c>
      <c r="R200" s="213">
        <v>2.7</v>
      </c>
      <c r="S200" s="213">
        <v>2</v>
      </c>
      <c r="T200" s="213">
        <v>0.7</v>
      </c>
      <c r="U200" s="213">
        <v>2.8</v>
      </c>
      <c r="V200" s="213">
        <v>2.8</v>
      </c>
      <c r="W200" s="213" t="s">
        <v>84</v>
      </c>
      <c r="X200" s="214"/>
      <c r="Y200" s="251">
        <v>2047</v>
      </c>
      <c r="Z200" s="213">
        <v>0</v>
      </c>
      <c r="AA200" s="213">
        <v>2</v>
      </c>
      <c r="AB200" s="213">
        <v>2</v>
      </c>
      <c r="AC200" s="213">
        <v>0</v>
      </c>
      <c r="AD200" s="213">
        <v>2.8</v>
      </c>
      <c r="AE200" s="213">
        <v>2.8</v>
      </c>
      <c r="AF200" s="213" t="s">
        <v>84</v>
      </c>
      <c r="AG200" s="214"/>
      <c r="AH200" s="251">
        <v>2047</v>
      </c>
      <c r="AI200" s="254">
        <v>-10.199999999999999</v>
      </c>
      <c r="AJ200" s="254">
        <v>-0.70000000000000018</v>
      </c>
      <c r="AK200" s="254" t="s">
        <v>82</v>
      </c>
      <c r="AL200" s="254">
        <v>-0.7</v>
      </c>
      <c r="AM200" s="254" t="s">
        <v>82</v>
      </c>
      <c r="AN200" s="254" t="s">
        <v>82</v>
      </c>
      <c r="AO200" s="254" t="s">
        <v>82</v>
      </c>
    </row>
    <row customFormat="1" r="201" s="205" spans="1:41" x14ac:dyDescent="0.2">
      <c r="A201" s="249">
        <v>197</v>
      </c>
      <c r="B201" s="195">
        <v>6</v>
      </c>
      <c r="C201" s="195" t="s">
        <v>221</v>
      </c>
      <c r="D201" s="195">
        <v>2</v>
      </c>
      <c r="E201" s="195" t="s">
        <v>222</v>
      </c>
      <c r="F201" s="196">
        <v>44240</v>
      </c>
      <c r="G201" s="250" t="s">
        <v>9</v>
      </c>
      <c r="H201" s="251">
        <v>2107</v>
      </c>
      <c r="I201" s="196" t="s">
        <v>630</v>
      </c>
      <c r="J201" s="199">
        <v>1900</v>
      </c>
      <c r="K201" s="199">
        <v>2053</v>
      </c>
      <c r="L201" s="252">
        <v>1913</v>
      </c>
      <c r="M201" s="249">
        <v>1</v>
      </c>
      <c r="N201" s="200">
        <v>0</v>
      </c>
      <c r="O201" s="253"/>
      <c r="P201" s="251">
        <v>2107</v>
      </c>
      <c r="Q201" s="254">
        <v>28.3</v>
      </c>
      <c r="R201" s="213">
        <v>8.6</v>
      </c>
      <c r="S201" s="213">
        <v>7</v>
      </c>
      <c r="T201" s="213">
        <v>1.6</v>
      </c>
      <c r="U201" s="213">
        <v>10.7</v>
      </c>
      <c r="V201" s="213">
        <v>10.7</v>
      </c>
      <c r="W201" s="213" t="s">
        <v>84</v>
      </c>
      <c r="X201" s="214"/>
      <c r="Y201" s="251">
        <v>2107</v>
      </c>
      <c r="Z201" s="213">
        <v>0</v>
      </c>
      <c r="AA201" s="213">
        <v>7.4</v>
      </c>
      <c r="AB201" s="213">
        <v>7</v>
      </c>
      <c r="AC201" s="213">
        <v>0.4</v>
      </c>
      <c r="AD201" s="213">
        <v>10.7</v>
      </c>
      <c r="AE201" s="213">
        <v>10.7</v>
      </c>
      <c r="AF201" s="213" t="s">
        <v>84</v>
      </c>
      <c r="AG201" s="214"/>
      <c r="AH201" s="251">
        <v>2107</v>
      </c>
      <c r="AI201" s="254">
        <v>-28.3</v>
      </c>
      <c r="AJ201" s="254">
        <v>-1.1999999999999993</v>
      </c>
      <c r="AK201" s="254" t="s">
        <v>82</v>
      </c>
      <c r="AL201" s="254">
        <v>-1.2000000000000002</v>
      </c>
      <c r="AM201" s="254" t="s">
        <v>82</v>
      </c>
      <c r="AN201" s="254" t="s">
        <v>82</v>
      </c>
      <c r="AO201" s="254" t="s">
        <v>82</v>
      </c>
    </row>
    <row customFormat="1" r="202" s="205" spans="1:41" x14ac:dyDescent="0.2">
      <c r="A202" s="249">
        <v>198</v>
      </c>
      <c r="B202" s="195">
        <v>6</v>
      </c>
      <c r="C202" s="195" t="s">
        <v>221</v>
      </c>
      <c r="D202" s="195">
        <v>2</v>
      </c>
      <c r="E202" s="195" t="s">
        <v>222</v>
      </c>
      <c r="F202" s="196">
        <v>44405</v>
      </c>
      <c r="G202" s="250" t="s">
        <v>6</v>
      </c>
      <c r="H202" s="251">
        <v>2131</v>
      </c>
      <c r="I202" s="196" t="s">
        <v>356</v>
      </c>
      <c r="J202" s="199">
        <v>525</v>
      </c>
      <c r="K202" s="199">
        <v>609</v>
      </c>
      <c r="L202" s="252">
        <v>546</v>
      </c>
      <c r="M202" s="249">
        <v>0</v>
      </c>
      <c r="N202" s="200">
        <v>0</v>
      </c>
      <c r="O202" s="253"/>
      <c r="P202" s="251">
        <v>2131</v>
      </c>
      <c r="Q202" s="254">
        <v>16.399999999999999</v>
      </c>
      <c r="R202" s="255"/>
      <c r="S202" s="255"/>
      <c r="T202" s="255"/>
      <c r="U202" s="255"/>
      <c r="V202" s="255"/>
      <c r="W202" s="255"/>
      <c r="X202" s="214"/>
      <c r="Y202" s="251">
        <v>2131</v>
      </c>
      <c r="Z202" s="213">
        <v>0</v>
      </c>
      <c r="AA202" s="255"/>
      <c r="AB202" s="255"/>
      <c r="AC202" s="255"/>
      <c r="AD202" s="255"/>
      <c r="AE202" s="255"/>
      <c r="AF202" s="255"/>
      <c r="AG202" s="214"/>
      <c r="AH202" s="251">
        <v>2131</v>
      </c>
      <c r="AI202" s="254">
        <v>-16.399999999999999</v>
      </c>
      <c r="AJ202" s="254" t="s">
        <v>82</v>
      </c>
      <c r="AK202" s="254" t="s">
        <v>82</v>
      </c>
      <c r="AL202" s="254" t="s">
        <v>82</v>
      </c>
      <c r="AM202" s="254" t="s">
        <v>82</v>
      </c>
      <c r="AN202" s="254" t="s">
        <v>82</v>
      </c>
      <c r="AO202" s="254" t="s">
        <v>82</v>
      </c>
    </row>
    <row customFormat="1" r="203" s="205" spans="1:41" x14ac:dyDescent="0.2">
      <c r="A203" s="249">
        <v>199</v>
      </c>
      <c r="B203" s="195">
        <v>6</v>
      </c>
      <c r="C203" s="195" t="s">
        <v>221</v>
      </c>
      <c r="D203" s="195">
        <v>3</v>
      </c>
      <c r="E203" s="195" t="s">
        <v>228</v>
      </c>
      <c r="F203" s="196">
        <v>43931</v>
      </c>
      <c r="G203" s="250" t="s">
        <v>8</v>
      </c>
      <c r="H203" s="251">
        <v>2015</v>
      </c>
      <c r="I203" s="196" t="s">
        <v>611</v>
      </c>
      <c r="J203" s="199">
        <v>1900</v>
      </c>
      <c r="K203" s="199">
        <v>2053</v>
      </c>
      <c r="L203" s="252">
        <v>2015</v>
      </c>
      <c r="M203" s="249">
        <v>0</v>
      </c>
      <c r="N203" s="200">
        <v>0</v>
      </c>
      <c r="O203" s="253"/>
      <c r="P203" s="251">
        <v>2015</v>
      </c>
      <c r="Q203" s="254">
        <v>5.0999999999999996</v>
      </c>
      <c r="R203" s="255"/>
      <c r="S203" s="255"/>
      <c r="T203" s="255"/>
      <c r="U203" s="255"/>
      <c r="V203" s="255"/>
      <c r="W203" s="255"/>
      <c r="X203" s="214"/>
      <c r="Y203" s="251">
        <v>2015</v>
      </c>
      <c r="Z203" s="213">
        <v>0.2</v>
      </c>
      <c r="AA203" s="255"/>
      <c r="AB203" s="255"/>
      <c r="AC203" s="255"/>
      <c r="AD203" s="255"/>
      <c r="AE203" s="255"/>
      <c r="AF203" s="255"/>
      <c r="AG203" s="214"/>
      <c r="AH203" s="251">
        <v>2015</v>
      </c>
      <c r="AI203" s="254">
        <v>-4.8999999999999995</v>
      </c>
      <c r="AJ203" s="254" t="s">
        <v>82</v>
      </c>
      <c r="AK203" s="254" t="s">
        <v>82</v>
      </c>
      <c r="AL203" s="254" t="s">
        <v>82</v>
      </c>
      <c r="AM203" s="254" t="s">
        <v>82</v>
      </c>
      <c r="AN203" s="254" t="s">
        <v>82</v>
      </c>
      <c r="AO203" s="254" t="s">
        <v>82</v>
      </c>
    </row>
    <row customFormat="1" r="204" s="205" spans="1:41" x14ac:dyDescent="0.2">
      <c r="A204" s="249">
        <v>200</v>
      </c>
      <c r="B204" s="195">
        <v>6</v>
      </c>
      <c r="C204" s="195" t="s">
        <v>221</v>
      </c>
      <c r="D204" s="195">
        <v>3</v>
      </c>
      <c r="E204" s="195" t="s">
        <v>228</v>
      </c>
      <c r="F204" s="196">
        <v>44534</v>
      </c>
      <c r="G204" s="250" t="s">
        <v>9</v>
      </c>
      <c r="H204" s="251">
        <v>2149</v>
      </c>
      <c r="I204" s="196" t="s">
        <v>230</v>
      </c>
      <c r="J204" s="199">
        <v>1900</v>
      </c>
      <c r="K204" s="199">
        <v>1955</v>
      </c>
      <c r="L204" s="252">
        <v>1947</v>
      </c>
      <c r="M204" s="249">
        <v>1</v>
      </c>
      <c r="N204" s="200">
        <v>0</v>
      </c>
      <c r="O204" s="253"/>
      <c r="P204" s="251">
        <v>2149</v>
      </c>
      <c r="Q204" s="254">
        <v>2.6</v>
      </c>
      <c r="R204" s="213">
        <v>12</v>
      </c>
      <c r="S204" s="213">
        <v>11.6</v>
      </c>
      <c r="T204" s="213">
        <v>0.4</v>
      </c>
      <c r="U204" s="213">
        <v>11</v>
      </c>
      <c r="V204" s="213">
        <v>11</v>
      </c>
      <c r="W204" s="213" t="s">
        <v>84</v>
      </c>
      <c r="X204" s="214"/>
      <c r="Y204" s="251">
        <v>2149</v>
      </c>
      <c r="Z204" s="213">
        <v>0.2</v>
      </c>
      <c r="AA204" s="213">
        <v>11.8</v>
      </c>
      <c r="AB204" s="213">
        <v>11.6</v>
      </c>
      <c r="AC204" s="213">
        <v>0.2</v>
      </c>
      <c r="AD204" s="213">
        <v>11</v>
      </c>
      <c r="AE204" s="213">
        <v>11</v>
      </c>
      <c r="AF204" s="213" t="s">
        <v>84</v>
      </c>
      <c r="AG204" s="214"/>
      <c r="AH204" s="251">
        <v>2149</v>
      </c>
      <c r="AI204" s="254">
        <v>-2.4</v>
      </c>
      <c r="AJ204" s="254">
        <v>-0.19999999999999929</v>
      </c>
      <c r="AK204" s="254" t="s">
        <v>82</v>
      </c>
      <c r="AL204" s="254">
        <v>-0.2</v>
      </c>
      <c r="AM204" s="254" t="s">
        <v>82</v>
      </c>
      <c r="AN204" s="254" t="s">
        <v>82</v>
      </c>
      <c r="AO204" s="254" t="s">
        <v>82</v>
      </c>
    </row>
    <row customFormat="1" r="205" s="205" spans="1:41" x14ac:dyDescent="0.2">
      <c r="A205" s="249">
        <v>201</v>
      </c>
      <c r="B205" s="195">
        <v>6</v>
      </c>
      <c r="C205" s="195" t="s">
        <v>221</v>
      </c>
      <c r="D205" s="195">
        <v>5</v>
      </c>
      <c r="E205" s="195" t="s">
        <v>553</v>
      </c>
      <c r="F205" s="196">
        <v>43955</v>
      </c>
      <c r="G205" s="250" t="s">
        <v>4</v>
      </c>
      <c r="H205" s="251">
        <v>2019</v>
      </c>
      <c r="I205" s="196" t="s">
        <v>631</v>
      </c>
      <c r="J205" s="199">
        <v>655</v>
      </c>
      <c r="K205" s="199">
        <v>659</v>
      </c>
      <c r="L205" s="252">
        <v>656</v>
      </c>
      <c r="M205" s="249">
        <v>0</v>
      </c>
      <c r="N205" s="200">
        <v>0</v>
      </c>
      <c r="O205" s="253"/>
      <c r="P205" s="251">
        <v>2019</v>
      </c>
      <c r="Q205" s="254">
        <v>10.7</v>
      </c>
      <c r="R205" s="255"/>
      <c r="S205" s="255"/>
      <c r="T205" s="255"/>
      <c r="U205" s="255"/>
      <c r="V205" s="255"/>
      <c r="W205" s="255"/>
      <c r="X205" s="214"/>
      <c r="Y205" s="251">
        <v>2019</v>
      </c>
      <c r="Z205" s="213">
        <v>0</v>
      </c>
      <c r="AA205" s="255"/>
      <c r="AB205" s="255"/>
      <c r="AC205" s="255"/>
      <c r="AD205" s="255"/>
      <c r="AE205" s="255"/>
      <c r="AF205" s="255"/>
      <c r="AG205" s="214"/>
      <c r="AH205" s="251">
        <v>2019</v>
      </c>
      <c r="AI205" s="254">
        <v>-10.7</v>
      </c>
      <c r="AJ205" s="254" t="s">
        <v>82</v>
      </c>
      <c r="AK205" s="254" t="s">
        <v>82</v>
      </c>
      <c r="AL205" s="254" t="s">
        <v>82</v>
      </c>
      <c r="AM205" s="254" t="s">
        <v>82</v>
      </c>
      <c r="AN205" s="254" t="s">
        <v>82</v>
      </c>
      <c r="AO205" s="254" t="s">
        <v>82</v>
      </c>
    </row>
    <row customFormat="1" r="206" s="205" spans="1:41" x14ac:dyDescent="0.2">
      <c r="A206" s="249">
        <v>202</v>
      </c>
      <c r="B206" s="195">
        <v>6</v>
      </c>
      <c r="C206" s="195" t="s">
        <v>221</v>
      </c>
      <c r="D206" s="195">
        <v>5</v>
      </c>
      <c r="E206" s="195" t="s">
        <v>553</v>
      </c>
      <c r="F206" s="196">
        <v>43956</v>
      </c>
      <c r="G206" s="250" t="s">
        <v>5</v>
      </c>
      <c r="H206" s="251">
        <v>2019</v>
      </c>
      <c r="I206" s="196" t="s">
        <v>631</v>
      </c>
      <c r="J206" s="199">
        <v>655</v>
      </c>
      <c r="K206" s="199">
        <v>659</v>
      </c>
      <c r="L206" s="252">
        <v>656</v>
      </c>
      <c r="M206" s="249">
        <v>0</v>
      </c>
      <c r="N206" s="200">
        <v>0</v>
      </c>
      <c r="O206" s="253"/>
      <c r="P206" s="251">
        <v>2019</v>
      </c>
      <c r="Q206" s="254">
        <v>8.1999999999999993</v>
      </c>
      <c r="R206" s="255"/>
      <c r="S206" s="255"/>
      <c r="T206" s="255"/>
      <c r="U206" s="255"/>
      <c r="V206" s="255"/>
      <c r="W206" s="255"/>
      <c r="X206" s="214"/>
      <c r="Y206" s="251">
        <v>2019</v>
      </c>
      <c r="Z206" s="213">
        <v>0</v>
      </c>
      <c r="AA206" s="255"/>
      <c r="AB206" s="255"/>
      <c r="AC206" s="255"/>
      <c r="AD206" s="255"/>
      <c r="AE206" s="255"/>
      <c r="AF206" s="255"/>
      <c r="AG206" s="214"/>
      <c r="AH206" s="251">
        <v>2019</v>
      </c>
      <c r="AI206" s="254">
        <v>-8.1999999999999993</v>
      </c>
      <c r="AJ206" s="254" t="s">
        <v>82</v>
      </c>
      <c r="AK206" s="254" t="s">
        <v>82</v>
      </c>
      <c r="AL206" s="254" t="s">
        <v>82</v>
      </c>
      <c r="AM206" s="254" t="s">
        <v>82</v>
      </c>
      <c r="AN206" s="254" t="s">
        <v>82</v>
      </c>
      <c r="AO206" s="254" t="s">
        <v>82</v>
      </c>
    </row>
    <row customFormat="1" r="207" s="205" spans="1:41" x14ac:dyDescent="0.2">
      <c r="A207" s="249">
        <v>203</v>
      </c>
      <c r="B207" s="195">
        <v>6</v>
      </c>
      <c r="C207" s="195" t="s">
        <v>221</v>
      </c>
      <c r="D207" s="195">
        <v>5</v>
      </c>
      <c r="E207" s="195" t="s">
        <v>553</v>
      </c>
      <c r="F207" s="196">
        <v>43962</v>
      </c>
      <c r="G207" s="250" t="s">
        <v>4</v>
      </c>
      <c r="H207" s="251">
        <v>2020</v>
      </c>
      <c r="I207" s="196" t="s">
        <v>631</v>
      </c>
      <c r="J207" s="199">
        <v>655</v>
      </c>
      <c r="K207" s="199">
        <v>659</v>
      </c>
      <c r="L207" s="252">
        <v>656</v>
      </c>
      <c r="M207" s="249">
        <v>0</v>
      </c>
      <c r="N207" s="200">
        <v>0</v>
      </c>
      <c r="O207" s="253"/>
      <c r="P207" s="251">
        <v>2020</v>
      </c>
      <c r="Q207" s="254">
        <v>6.4</v>
      </c>
      <c r="R207" s="255"/>
      <c r="S207" s="255"/>
      <c r="T207" s="255"/>
      <c r="U207" s="255"/>
      <c r="V207" s="255"/>
      <c r="W207" s="255"/>
      <c r="X207" s="214"/>
      <c r="Y207" s="251">
        <v>2020</v>
      </c>
      <c r="Z207" s="213">
        <v>0</v>
      </c>
      <c r="AA207" s="255"/>
      <c r="AB207" s="255"/>
      <c r="AC207" s="255"/>
      <c r="AD207" s="255"/>
      <c r="AE207" s="255"/>
      <c r="AF207" s="255"/>
      <c r="AG207" s="214"/>
      <c r="AH207" s="251">
        <v>2020</v>
      </c>
      <c r="AI207" s="254">
        <v>-6.4</v>
      </c>
      <c r="AJ207" s="254" t="s">
        <v>82</v>
      </c>
      <c r="AK207" s="254" t="s">
        <v>82</v>
      </c>
      <c r="AL207" s="254" t="s">
        <v>82</v>
      </c>
      <c r="AM207" s="254" t="s">
        <v>82</v>
      </c>
      <c r="AN207" s="254" t="s">
        <v>82</v>
      </c>
      <c r="AO207" s="254" t="s">
        <v>82</v>
      </c>
    </row>
    <row customFormat="1" r="208" s="205" spans="1:41" x14ac:dyDescent="0.2">
      <c r="A208" s="249">
        <v>204</v>
      </c>
      <c r="B208" s="195">
        <v>6</v>
      </c>
      <c r="C208" s="195" t="s">
        <v>221</v>
      </c>
      <c r="D208" s="195">
        <v>5</v>
      </c>
      <c r="E208" s="195" t="s">
        <v>553</v>
      </c>
      <c r="F208" s="196">
        <v>44463</v>
      </c>
      <c r="G208" s="250" t="s">
        <v>8</v>
      </c>
      <c r="H208" s="251">
        <v>2139</v>
      </c>
      <c r="I208" s="196" t="s">
        <v>632</v>
      </c>
      <c r="J208" s="199">
        <v>1535</v>
      </c>
      <c r="K208" s="199">
        <v>1539</v>
      </c>
      <c r="L208" s="252">
        <v>1536</v>
      </c>
      <c r="M208" s="249">
        <v>0</v>
      </c>
      <c r="N208" s="200">
        <v>0</v>
      </c>
      <c r="O208" s="253"/>
      <c r="P208" s="251">
        <v>2139</v>
      </c>
      <c r="Q208" s="254">
        <v>4.5999999999999996</v>
      </c>
      <c r="R208" s="255"/>
      <c r="S208" s="255"/>
      <c r="T208" s="255"/>
      <c r="U208" s="255"/>
      <c r="V208" s="255"/>
      <c r="W208" s="255"/>
      <c r="X208" s="214"/>
      <c r="Y208" s="251">
        <v>2139</v>
      </c>
      <c r="Z208" s="213">
        <v>0</v>
      </c>
      <c r="AA208" s="255"/>
      <c r="AB208" s="255"/>
      <c r="AC208" s="255"/>
      <c r="AD208" s="255"/>
      <c r="AE208" s="255"/>
      <c r="AF208" s="255"/>
      <c r="AG208" s="214"/>
      <c r="AH208" s="251">
        <v>2139</v>
      </c>
      <c r="AI208" s="254">
        <v>-4.5999999999999996</v>
      </c>
      <c r="AJ208" s="254" t="s">
        <v>82</v>
      </c>
      <c r="AK208" s="254" t="s">
        <v>82</v>
      </c>
      <c r="AL208" s="254" t="s">
        <v>82</v>
      </c>
      <c r="AM208" s="254" t="s">
        <v>82</v>
      </c>
      <c r="AN208" s="254" t="s">
        <v>82</v>
      </c>
      <c r="AO208" s="254" t="s">
        <v>82</v>
      </c>
    </row>
    <row customFormat="1" r="209" s="205" spans="1:41" x14ac:dyDescent="0.2">
      <c r="A209" s="249">
        <v>205</v>
      </c>
      <c r="B209" s="195">
        <v>6</v>
      </c>
      <c r="C209" s="195" t="s">
        <v>221</v>
      </c>
      <c r="D209" s="195">
        <v>6</v>
      </c>
      <c r="E209" s="195" t="s">
        <v>233</v>
      </c>
      <c r="F209" s="196">
        <v>44125</v>
      </c>
      <c r="G209" s="250" t="s">
        <v>6</v>
      </c>
      <c r="H209" s="251">
        <v>2043</v>
      </c>
      <c r="I209" s="196" t="s">
        <v>182</v>
      </c>
      <c r="J209" s="199">
        <v>800</v>
      </c>
      <c r="K209" s="199">
        <v>954</v>
      </c>
      <c r="L209" s="252">
        <v>817</v>
      </c>
      <c r="M209" s="249">
        <v>0</v>
      </c>
      <c r="N209" s="200">
        <v>0</v>
      </c>
      <c r="O209" s="253"/>
      <c r="P209" s="251">
        <v>2043</v>
      </c>
      <c r="Q209" s="254">
        <v>25.3</v>
      </c>
      <c r="R209" s="255"/>
      <c r="S209" s="255"/>
      <c r="T209" s="255"/>
      <c r="U209" s="255"/>
      <c r="V209" s="255"/>
      <c r="W209" s="255"/>
      <c r="X209" s="214"/>
      <c r="Y209" s="251">
        <v>2043</v>
      </c>
      <c r="Z209" s="213">
        <v>0</v>
      </c>
      <c r="AA209" s="255"/>
      <c r="AB209" s="255"/>
      <c r="AC209" s="255"/>
      <c r="AD209" s="255"/>
      <c r="AE209" s="255"/>
      <c r="AF209" s="255"/>
      <c r="AG209" s="214"/>
      <c r="AH209" s="251">
        <v>2043</v>
      </c>
      <c r="AI209" s="254">
        <v>-25.3</v>
      </c>
      <c r="AJ209" s="254" t="s">
        <v>82</v>
      </c>
      <c r="AK209" s="254" t="s">
        <v>82</v>
      </c>
      <c r="AL209" s="254" t="s">
        <v>82</v>
      </c>
      <c r="AM209" s="254" t="s">
        <v>82</v>
      </c>
      <c r="AN209" s="254" t="s">
        <v>82</v>
      </c>
      <c r="AO209" s="254" t="s">
        <v>82</v>
      </c>
    </row>
    <row customFormat="1" r="210" s="205" spans="1:41" x14ac:dyDescent="0.2">
      <c r="A210" s="249">
        <v>206</v>
      </c>
      <c r="B210" s="195">
        <v>6</v>
      </c>
      <c r="C210" s="195" t="s">
        <v>221</v>
      </c>
      <c r="D210" s="195">
        <v>6</v>
      </c>
      <c r="E210" s="195" t="s">
        <v>233</v>
      </c>
      <c r="F210" s="196">
        <v>44287</v>
      </c>
      <c r="G210" s="250" t="s">
        <v>7</v>
      </c>
      <c r="H210" s="251">
        <v>2114</v>
      </c>
      <c r="I210" s="196" t="s">
        <v>633</v>
      </c>
      <c r="J210" s="199">
        <v>955</v>
      </c>
      <c r="K210" s="199">
        <v>1056</v>
      </c>
      <c r="L210" s="252">
        <v>1016</v>
      </c>
      <c r="M210" s="249">
        <v>0</v>
      </c>
      <c r="N210" s="200">
        <v>0</v>
      </c>
      <c r="O210" s="253"/>
      <c r="P210" s="251">
        <v>2114</v>
      </c>
      <c r="Q210" s="254">
        <v>4.8</v>
      </c>
      <c r="R210" s="255"/>
      <c r="S210" s="255"/>
      <c r="T210" s="255"/>
      <c r="U210" s="255"/>
      <c r="V210" s="255"/>
      <c r="W210" s="255"/>
      <c r="X210" s="214"/>
      <c r="Y210" s="251">
        <v>2114</v>
      </c>
      <c r="Z210" s="213">
        <v>0</v>
      </c>
      <c r="AA210" s="255"/>
      <c r="AB210" s="255"/>
      <c r="AC210" s="255"/>
      <c r="AD210" s="255"/>
      <c r="AE210" s="255"/>
      <c r="AF210" s="255"/>
      <c r="AG210" s="214"/>
      <c r="AH210" s="251">
        <v>2114</v>
      </c>
      <c r="AI210" s="254">
        <v>-4.8</v>
      </c>
      <c r="AJ210" s="254" t="s">
        <v>82</v>
      </c>
      <c r="AK210" s="254" t="s">
        <v>82</v>
      </c>
      <c r="AL210" s="254" t="s">
        <v>82</v>
      </c>
      <c r="AM210" s="254" t="s">
        <v>82</v>
      </c>
      <c r="AN210" s="254" t="s">
        <v>82</v>
      </c>
      <c r="AO210" s="254" t="s">
        <v>82</v>
      </c>
    </row>
    <row customFormat="1" r="211" s="205" spans="1:41" x14ac:dyDescent="0.2">
      <c r="A211" s="249">
        <v>207</v>
      </c>
      <c r="B211" s="195">
        <v>6</v>
      </c>
      <c r="C211" s="195" t="s">
        <v>221</v>
      </c>
      <c r="D211" s="195">
        <v>6</v>
      </c>
      <c r="E211" s="195" t="s">
        <v>233</v>
      </c>
      <c r="F211" s="196">
        <v>44615</v>
      </c>
      <c r="G211" s="250" t="s">
        <v>6</v>
      </c>
      <c r="H211" s="251">
        <v>2209</v>
      </c>
      <c r="I211" s="196" t="s">
        <v>634</v>
      </c>
      <c r="J211" s="199">
        <v>1440</v>
      </c>
      <c r="K211" s="199">
        <v>1634</v>
      </c>
      <c r="L211" s="252">
        <v>1441</v>
      </c>
      <c r="M211" s="249">
        <v>1</v>
      </c>
      <c r="N211" s="200">
        <v>0</v>
      </c>
      <c r="O211" s="253"/>
      <c r="P211" s="251">
        <v>2209</v>
      </c>
      <c r="Q211" s="254">
        <v>5.3</v>
      </c>
      <c r="R211" s="213">
        <v>6.3</v>
      </c>
      <c r="S211" s="213">
        <v>5.4</v>
      </c>
      <c r="T211" s="213">
        <v>0.9</v>
      </c>
      <c r="U211" s="213">
        <v>7</v>
      </c>
      <c r="V211" s="213">
        <v>7</v>
      </c>
      <c r="W211" s="213" t="s">
        <v>84</v>
      </c>
      <c r="X211" s="214"/>
      <c r="Y211" s="251">
        <v>2209</v>
      </c>
      <c r="Z211" s="213">
        <v>0.6</v>
      </c>
      <c r="AA211" s="213">
        <v>6.1</v>
      </c>
      <c r="AB211" s="213">
        <v>5.4</v>
      </c>
      <c r="AC211" s="213">
        <v>0.7</v>
      </c>
      <c r="AD211" s="213">
        <v>7</v>
      </c>
      <c r="AE211" s="213">
        <v>7</v>
      </c>
      <c r="AF211" s="213" t="s">
        <v>84</v>
      </c>
      <c r="AG211" s="214"/>
      <c r="AH211" s="251">
        <v>2209</v>
      </c>
      <c r="AI211" s="254">
        <v>-4.7</v>
      </c>
      <c r="AJ211" s="254">
        <v>-0.20000000000000018</v>
      </c>
      <c r="AK211" s="254" t="s">
        <v>82</v>
      </c>
      <c r="AL211" s="254">
        <v>-0.20000000000000007</v>
      </c>
      <c r="AM211" s="254" t="s">
        <v>82</v>
      </c>
      <c r="AN211" s="254" t="s">
        <v>82</v>
      </c>
      <c r="AO211" s="254" t="s">
        <v>82</v>
      </c>
    </row>
    <row customFormat="1" r="212" s="205" spans="1:41" x14ac:dyDescent="0.2">
      <c r="A212" s="249">
        <v>208</v>
      </c>
      <c r="B212" s="195">
        <v>7</v>
      </c>
      <c r="C212" s="195" t="s">
        <v>238</v>
      </c>
      <c r="D212" s="195">
        <v>1</v>
      </c>
      <c r="E212" s="195" t="s">
        <v>635</v>
      </c>
      <c r="F212" s="196">
        <v>44033</v>
      </c>
      <c r="G212" s="250" t="s">
        <v>5</v>
      </c>
      <c r="H212" s="251">
        <v>2030</v>
      </c>
      <c r="I212" s="196" t="s">
        <v>629</v>
      </c>
      <c r="J212" s="199">
        <v>525</v>
      </c>
      <c r="K212" s="199">
        <v>559</v>
      </c>
      <c r="L212" s="252">
        <v>541</v>
      </c>
      <c r="M212" s="249">
        <v>0</v>
      </c>
      <c r="N212" s="200">
        <v>0</v>
      </c>
      <c r="O212" s="253"/>
      <c r="P212" s="251">
        <v>2030</v>
      </c>
      <c r="Q212" s="254">
        <v>7.7</v>
      </c>
      <c r="R212" s="255"/>
      <c r="S212" s="255"/>
      <c r="T212" s="255"/>
      <c r="U212" s="255"/>
      <c r="V212" s="255"/>
      <c r="W212" s="255"/>
      <c r="X212" s="214"/>
      <c r="Y212" s="251">
        <v>2030</v>
      </c>
      <c r="Z212" s="213">
        <v>0</v>
      </c>
      <c r="AA212" s="255"/>
      <c r="AB212" s="255"/>
      <c r="AC212" s="255"/>
      <c r="AD212" s="255"/>
      <c r="AE212" s="255"/>
      <c r="AF212" s="255"/>
      <c r="AG212" s="214"/>
      <c r="AH212" s="251">
        <v>2030</v>
      </c>
      <c r="AI212" s="254">
        <v>-7.7</v>
      </c>
      <c r="AJ212" s="254" t="s">
        <v>82</v>
      </c>
      <c r="AK212" s="254" t="s">
        <v>82</v>
      </c>
      <c r="AL212" s="254" t="s">
        <v>82</v>
      </c>
      <c r="AM212" s="254" t="s">
        <v>82</v>
      </c>
      <c r="AN212" s="254" t="s">
        <v>82</v>
      </c>
      <c r="AO212" s="254" t="s">
        <v>82</v>
      </c>
    </row>
    <row customFormat="1" r="213" s="205" spans="1:41" x14ac:dyDescent="0.2">
      <c r="A213" s="249">
        <v>209</v>
      </c>
      <c r="B213" s="195">
        <v>7</v>
      </c>
      <c r="C213" s="195" t="s">
        <v>238</v>
      </c>
      <c r="D213" s="195">
        <v>1</v>
      </c>
      <c r="E213" s="195" t="s">
        <v>635</v>
      </c>
      <c r="F213" s="196">
        <v>44263</v>
      </c>
      <c r="G213" s="250" t="s">
        <v>4</v>
      </c>
      <c r="H213" s="251">
        <v>2111</v>
      </c>
      <c r="I213" s="196" t="s">
        <v>199</v>
      </c>
      <c r="J213" s="199">
        <v>2200</v>
      </c>
      <c r="K213" s="199">
        <v>2256</v>
      </c>
      <c r="L213" s="252">
        <v>2204</v>
      </c>
      <c r="M213" s="249">
        <v>0</v>
      </c>
      <c r="N213" s="200">
        <v>0</v>
      </c>
      <c r="O213" s="253"/>
      <c r="P213" s="251">
        <v>2111</v>
      </c>
      <c r="Q213" s="254">
        <v>34.4</v>
      </c>
      <c r="R213" s="255"/>
      <c r="S213" s="255"/>
      <c r="T213" s="255"/>
      <c r="U213" s="255"/>
      <c r="V213" s="255"/>
      <c r="W213" s="255"/>
      <c r="X213" s="214"/>
      <c r="Y213" s="251">
        <v>2111</v>
      </c>
      <c r="Z213" s="213">
        <v>11</v>
      </c>
      <c r="AA213" s="255"/>
      <c r="AB213" s="255"/>
      <c r="AC213" s="255"/>
      <c r="AD213" s="255"/>
      <c r="AE213" s="255"/>
      <c r="AF213" s="255"/>
      <c r="AG213" s="214"/>
      <c r="AH213" s="251">
        <v>2111</v>
      </c>
      <c r="AI213" s="254">
        <v>-23.4</v>
      </c>
      <c r="AJ213" s="254" t="s">
        <v>82</v>
      </c>
      <c r="AK213" s="254" t="s">
        <v>82</v>
      </c>
      <c r="AL213" s="254" t="s">
        <v>82</v>
      </c>
      <c r="AM213" s="254" t="s">
        <v>82</v>
      </c>
      <c r="AN213" s="254" t="s">
        <v>82</v>
      </c>
      <c r="AO213" s="254" t="s">
        <v>82</v>
      </c>
    </row>
    <row customFormat="1" r="214" s="205" spans="1:41" x14ac:dyDescent="0.2">
      <c r="A214" s="249">
        <v>210</v>
      </c>
      <c r="B214" s="195">
        <v>7</v>
      </c>
      <c r="C214" s="195" t="s">
        <v>238</v>
      </c>
      <c r="D214" s="195">
        <v>2</v>
      </c>
      <c r="E214" s="195" t="s">
        <v>239</v>
      </c>
      <c r="F214" s="196">
        <v>44059</v>
      </c>
      <c r="G214" s="250" t="s">
        <v>10</v>
      </c>
      <c r="H214" s="251">
        <v>2033</v>
      </c>
      <c r="I214" s="196" t="s">
        <v>240</v>
      </c>
      <c r="J214" s="199">
        <v>2525</v>
      </c>
      <c r="K214" s="199">
        <v>2619</v>
      </c>
      <c r="L214" s="252">
        <v>2617</v>
      </c>
      <c r="M214" s="249">
        <v>1</v>
      </c>
      <c r="N214" s="200">
        <v>0</v>
      </c>
      <c r="O214" s="253"/>
      <c r="P214" s="251">
        <v>2033</v>
      </c>
      <c r="Q214" s="254">
        <v>6.8</v>
      </c>
      <c r="R214" s="213">
        <v>2.2000000000000002</v>
      </c>
      <c r="S214" s="213">
        <v>1.4</v>
      </c>
      <c r="T214" s="213">
        <v>0.8</v>
      </c>
      <c r="U214" s="213">
        <v>1.1000000000000001</v>
      </c>
      <c r="V214" s="213">
        <v>1.1000000000000001</v>
      </c>
      <c r="W214" s="213">
        <v>0</v>
      </c>
      <c r="X214" s="214"/>
      <c r="Y214" s="251">
        <v>2033</v>
      </c>
      <c r="Z214" s="213">
        <v>0</v>
      </c>
      <c r="AA214" s="213">
        <v>1.4</v>
      </c>
      <c r="AB214" s="213">
        <v>1.4</v>
      </c>
      <c r="AC214" s="213">
        <v>0</v>
      </c>
      <c r="AD214" s="213">
        <v>1.1000000000000001</v>
      </c>
      <c r="AE214" s="213">
        <v>1.1000000000000001</v>
      </c>
      <c r="AF214" s="213">
        <v>0</v>
      </c>
      <c r="AG214" s="214"/>
      <c r="AH214" s="251">
        <v>2033</v>
      </c>
      <c r="AI214" s="254">
        <v>-6.8</v>
      </c>
      <c r="AJ214" s="254">
        <v>-0.80000000000000027</v>
      </c>
      <c r="AK214" s="254" t="s">
        <v>82</v>
      </c>
      <c r="AL214" s="254">
        <v>-0.8</v>
      </c>
      <c r="AM214" s="254" t="s">
        <v>82</v>
      </c>
      <c r="AN214" s="254" t="s">
        <v>82</v>
      </c>
      <c r="AO214" s="254" t="s">
        <v>82</v>
      </c>
    </row>
    <row customFormat="1" r="215" s="205" spans="1:41" x14ac:dyDescent="0.2">
      <c r="A215" s="249">
        <v>211</v>
      </c>
      <c r="B215" s="195">
        <v>7</v>
      </c>
      <c r="C215" s="195" t="s">
        <v>238</v>
      </c>
      <c r="D215" s="195">
        <v>2</v>
      </c>
      <c r="E215" s="195" t="s">
        <v>239</v>
      </c>
      <c r="F215" s="196">
        <v>44332</v>
      </c>
      <c r="G215" s="250" t="s">
        <v>10</v>
      </c>
      <c r="H215" s="251">
        <v>2120</v>
      </c>
      <c r="I215" s="196" t="s">
        <v>174</v>
      </c>
      <c r="J215" s="199">
        <v>1958</v>
      </c>
      <c r="K215" s="199">
        <v>2053</v>
      </c>
      <c r="L215" s="252">
        <v>2041</v>
      </c>
      <c r="M215" s="249">
        <v>1</v>
      </c>
      <c r="N215" s="200">
        <v>0</v>
      </c>
      <c r="O215" s="253"/>
      <c r="P215" s="251">
        <v>2120</v>
      </c>
      <c r="Q215" s="254">
        <v>5</v>
      </c>
      <c r="R215" s="213">
        <v>11.5</v>
      </c>
      <c r="S215" s="213">
        <v>10.3</v>
      </c>
      <c r="T215" s="213">
        <v>1.2</v>
      </c>
      <c r="U215" s="213">
        <v>10.5</v>
      </c>
      <c r="V215" s="213">
        <v>9.9</v>
      </c>
      <c r="W215" s="213">
        <v>0.6</v>
      </c>
      <c r="X215" s="214"/>
      <c r="Y215" s="251">
        <v>2120</v>
      </c>
      <c r="Z215" s="213">
        <v>0.6</v>
      </c>
      <c r="AA215" s="213">
        <v>11.1</v>
      </c>
      <c r="AB215" s="213">
        <v>10.3</v>
      </c>
      <c r="AC215" s="213">
        <v>0.8</v>
      </c>
      <c r="AD215" s="213">
        <v>10.5</v>
      </c>
      <c r="AE215" s="213">
        <v>9.9</v>
      </c>
      <c r="AF215" s="213">
        <v>0.6</v>
      </c>
      <c r="AG215" s="214"/>
      <c r="AH215" s="251">
        <v>2120</v>
      </c>
      <c r="AI215" s="254">
        <v>-4.4000000000000004</v>
      </c>
      <c r="AJ215" s="254">
        <v>-0.40000000000000036</v>
      </c>
      <c r="AK215" s="254" t="s">
        <v>82</v>
      </c>
      <c r="AL215" s="254">
        <v>-0.39999999999999991</v>
      </c>
      <c r="AM215" s="254" t="s">
        <v>82</v>
      </c>
      <c r="AN215" s="254" t="s">
        <v>82</v>
      </c>
      <c r="AO215" s="254" t="s">
        <v>82</v>
      </c>
    </row>
    <row customFormat="1" r="216" s="205" spans="1:41" x14ac:dyDescent="0.2">
      <c r="A216" s="249">
        <v>212</v>
      </c>
      <c r="B216" s="195">
        <v>7</v>
      </c>
      <c r="C216" s="195" t="s">
        <v>238</v>
      </c>
      <c r="D216" s="195">
        <v>2</v>
      </c>
      <c r="E216" s="195" t="s">
        <v>239</v>
      </c>
      <c r="F216" s="196">
        <v>44395</v>
      </c>
      <c r="G216" s="250" t="s">
        <v>10</v>
      </c>
      <c r="H216" s="251">
        <v>2129</v>
      </c>
      <c r="I216" s="196" t="s">
        <v>636</v>
      </c>
      <c r="J216" s="199">
        <v>1958</v>
      </c>
      <c r="K216" s="199">
        <v>2153</v>
      </c>
      <c r="L216" s="252">
        <v>2047</v>
      </c>
      <c r="M216" s="249">
        <v>1</v>
      </c>
      <c r="N216" s="200">
        <v>0</v>
      </c>
      <c r="O216" s="253"/>
      <c r="P216" s="251">
        <v>2129</v>
      </c>
      <c r="Q216" s="254">
        <v>13.5</v>
      </c>
      <c r="R216" s="213">
        <v>8.3000000000000007</v>
      </c>
      <c r="S216" s="213">
        <v>7</v>
      </c>
      <c r="T216" s="213">
        <v>1.3</v>
      </c>
      <c r="U216" s="213">
        <v>7.6</v>
      </c>
      <c r="V216" s="213">
        <v>6.3</v>
      </c>
      <c r="W216" s="213">
        <v>1.3</v>
      </c>
      <c r="X216" s="214"/>
      <c r="Y216" s="251">
        <v>2129</v>
      </c>
      <c r="Z216" s="213">
        <v>0.4</v>
      </c>
      <c r="AA216" s="213">
        <v>7.8</v>
      </c>
      <c r="AB216" s="213">
        <v>7</v>
      </c>
      <c r="AC216" s="213">
        <v>0.8</v>
      </c>
      <c r="AD216" s="213">
        <v>7.6</v>
      </c>
      <c r="AE216" s="213">
        <v>6.3</v>
      </c>
      <c r="AF216" s="213">
        <v>1.3</v>
      </c>
      <c r="AG216" s="214"/>
      <c r="AH216" s="251">
        <v>2129</v>
      </c>
      <c r="AI216" s="254">
        <v>-13.1</v>
      </c>
      <c r="AJ216" s="254">
        <v>-0.50000000000000089</v>
      </c>
      <c r="AK216" s="254" t="s">
        <v>82</v>
      </c>
      <c r="AL216" s="254">
        <v>-0.5</v>
      </c>
      <c r="AM216" s="254" t="s">
        <v>82</v>
      </c>
      <c r="AN216" s="254" t="s">
        <v>82</v>
      </c>
      <c r="AO216" s="254" t="s">
        <v>82</v>
      </c>
    </row>
    <row customFormat="1" r="217" s="205" spans="1:41" x14ac:dyDescent="0.2">
      <c r="A217" s="249">
        <v>213</v>
      </c>
      <c r="B217" s="195">
        <v>7</v>
      </c>
      <c r="C217" s="195" t="s">
        <v>238</v>
      </c>
      <c r="D217" s="195">
        <v>3</v>
      </c>
      <c r="E217" s="195" t="s">
        <v>243</v>
      </c>
      <c r="F217" s="196">
        <v>43978</v>
      </c>
      <c r="G217" s="250" t="s">
        <v>6</v>
      </c>
      <c r="H217" s="251">
        <v>2022</v>
      </c>
      <c r="I217" s="196" t="s">
        <v>244</v>
      </c>
      <c r="J217" s="199">
        <v>1542</v>
      </c>
      <c r="K217" s="199">
        <v>1638</v>
      </c>
      <c r="L217" s="252">
        <v>1617</v>
      </c>
      <c r="M217" s="249">
        <v>1</v>
      </c>
      <c r="N217" s="200">
        <v>0</v>
      </c>
      <c r="O217" s="262"/>
      <c r="P217" s="251">
        <v>2022</v>
      </c>
      <c r="Q217" s="254">
        <v>30.9</v>
      </c>
      <c r="R217" s="213">
        <v>8.1999999999999993</v>
      </c>
      <c r="S217" s="213">
        <v>4.8</v>
      </c>
      <c r="T217" s="213">
        <v>3.4</v>
      </c>
      <c r="U217" s="213">
        <v>5.4</v>
      </c>
      <c r="V217" s="213">
        <v>5.4</v>
      </c>
      <c r="W217" s="213" t="s">
        <v>84</v>
      </c>
      <c r="X217" s="214"/>
      <c r="Y217" s="251">
        <v>2022</v>
      </c>
      <c r="Z217" s="213">
        <v>0</v>
      </c>
      <c r="AA217" s="213">
        <v>4.8</v>
      </c>
      <c r="AB217" s="213">
        <v>4.8</v>
      </c>
      <c r="AC217" s="213">
        <v>0</v>
      </c>
      <c r="AD217" s="213">
        <v>5.4</v>
      </c>
      <c r="AE217" s="213">
        <v>5.4</v>
      </c>
      <c r="AF217" s="213" t="s">
        <v>84</v>
      </c>
      <c r="AG217" s="214"/>
      <c r="AH217" s="251">
        <v>2022</v>
      </c>
      <c r="AI217" s="254">
        <v>-30.9</v>
      </c>
      <c r="AJ217" s="254">
        <v>-3.3999999999999995</v>
      </c>
      <c r="AK217" s="254" t="s">
        <v>82</v>
      </c>
      <c r="AL217" s="254">
        <v>-3.4</v>
      </c>
      <c r="AM217" s="254" t="s">
        <v>82</v>
      </c>
      <c r="AN217" s="254" t="s">
        <v>82</v>
      </c>
      <c r="AO217" s="254" t="s">
        <v>82</v>
      </c>
    </row>
    <row r="218" spans="1:41" x14ac:dyDescent="0.2">
      <c r="A218" s="249">
        <v>214</v>
      </c>
      <c r="B218" s="195">
        <v>7</v>
      </c>
      <c r="C218" s="195" t="s">
        <v>238</v>
      </c>
      <c r="D218" s="195">
        <v>3</v>
      </c>
      <c r="E218" s="195" t="s">
        <v>243</v>
      </c>
      <c r="F218" s="196">
        <v>44565</v>
      </c>
      <c r="G218" s="250" t="s">
        <v>5</v>
      </c>
      <c r="H218" s="263">
        <v>2202</v>
      </c>
      <c r="I218" s="216" t="s">
        <v>347</v>
      </c>
      <c r="J218" s="264">
        <v>2154</v>
      </c>
      <c r="K218" s="264">
        <v>2309</v>
      </c>
      <c r="L218" s="265">
        <v>2235</v>
      </c>
      <c r="M218" s="249">
        <v>0</v>
      </c>
      <c r="N218" s="200">
        <v>0</v>
      </c>
      <c r="P218" s="263">
        <v>2202</v>
      </c>
      <c r="Q218" s="266">
        <v>28.1</v>
      </c>
      <c r="R218" s="267"/>
      <c r="S218" s="267"/>
      <c r="T218" s="267"/>
      <c r="U218" s="267"/>
      <c r="V218" s="267"/>
      <c r="W218" s="267"/>
      <c r="X218" s="268"/>
      <c r="Y218" s="263">
        <v>2202</v>
      </c>
      <c r="Z218" s="266">
        <v>0.2</v>
      </c>
      <c r="AA218" s="267"/>
      <c r="AB218" s="267"/>
      <c r="AC218" s="267"/>
      <c r="AD218" s="267"/>
      <c r="AE218" s="267"/>
      <c r="AF218" s="267"/>
      <c r="AG218" s="268"/>
      <c r="AH218" s="263">
        <v>2202</v>
      </c>
      <c r="AI218" s="254">
        <v>-27.900000000000002</v>
      </c>
      <c r="AJ218" s="254" t="s">
        <v>82</v>
      </c>
      <c r="AK218" s="254" t="s">
        <v>82</v>
      </c>
      <c r="AL218" s="254" t="s">
        <v>82</v>
      </c>
      <c r="AM218" s="254" t="s">
        <v>82</v>
      </c>
      <c r="AN218" s="254" t="s">
        <v>82</v>
      </c>
      <c r="AO218" s="254" t="s">
        <v>82</v>
      </c>
    </row>
    <row r="219" spans="1:41" x14ac:dyDescent="0.2">
      <c r="A219" s="249">
        <v>215</v>
      </c>
      <c r="B219" s="195">
        <v>7</v>
      </c>
      <c r="C219" s="195" t="s">
        <v>238</v>
      </c>
      <c r="D219" s="195">
        <v>4</v>
      </c>
      <c r="E219" s="195" t="s">
        <v>549</v>
      </c>
      <c r="F219" s="196">
        <v>44042</v>
      </c>
      <c r="G219" s="250" t="s">
        <v>7</v>
      </c>
      <c r="H219" s="263">
        <v>2031</v>
      </c>
      <c r="I219" s="216" t="s">
        <v>637</v>
      </c>
      <c r="J219" s="264">
        <v>1508</v>
      </c>
      <c r="K219" s="264">
        <v>1559</v>
      </c>
      <c r="L219" s="265">
        <v>1543</v>
      </c>
      <c r="M219" s="249">
        <v>0</v>
      </c>
      <c r="N219" s="200">
        <v>0</v>
      </c>
      <c r="O219" s="269"/>
      <c r="P219" s="263">
        <v>2031</v>
      </c>
      <c r="Q219" s="266">
        <v>4.3</v>
      </c>
      <c r="R219" s="267"/>
      <c r="S219" s="267"/>
      <c r="T219" s="267"/>
      <c r="U219" s="267"/>
      <c r="V219" s="267"/>
      <c r="W219" s="267"/>
      <c r="X219" s="268"/>
      <c r="Y219" s="263">
        <v>2031</v>
      </c>
      <c r="Z219" s="266">
        <v>0</v>
      </c>
      <c r="AA219" s="267"/>
      <c r="AB219" s="267"/>
      <c r="AC219" s="267"/>
      <c r="AD219" s="267"/>
      <c r="AE219" s="267"/>
      <c r="AF219" s="267"/>
      <c r="AG219" s="268"/>
      <c r="AH219" s="263">
        <v>2031</v>
      </c>
      <c r="AI219" s="254">
        <v>-4.3</v>
      </c>
      <c r="AJ219" s="254" t="s">
        <v>82</v>
      </c>
      <c r="AK219" s="254" t="s">
        <v>82</v>
      </c>
      <c r="AL219" s="254" t="s">
        <v>82</v>
      </c>
      <c r="AM219" s="254" t="s">
        <v>82</v>
      </c>
      <c r="AN219" s="254" t="s">
        <v>82</v>
      </c>
      <c r="AO219" s="254" t="s">
        <v>82</v>
      </c>
    </row>
    <row r="220" spans="1:41" x14ac:dyDescent="0.2">
      <c r="A220" s="249">
        <v>216</v>
      </c>
      <c r="B220" s="195">
        <v>7</v>
      </c>
      <c r="C220" s="195" t="s">
        <v>238</v>
      </c>
      <c r="D220" s="195">
        <v>4</v>
      </c>
      <c r="E220" s="195" t="s">
        <v>549</v>
      </c>
      <c r="F220" s="196">
        <v>44092</v>
      </c>
      <c r="G220" s="250" t="s">
        <v>8</v>
      </c>
      <c r="H220" s="263">
        <v>2038</v>
      </c>
      <c r="I220" s="216" t="s">
        <v>638</v>
      </c>
      <c r="J220" s="264">
        <v>1508</v>
      </c>
      <c r="K220" s="264">
        <v>1601</v>
      </c>
      <c r="L220" s="265">
        <v>1549</v>
      </c>
      <c r="M220" s="249">
        <v>0</v>
      </c>
      <c r="N220" s="200">
        <v>0</v>
      </c>
      <c r="O220" s="269"/>
      <c r="P220" s="263">
        <v>2038</v>
      </c>
      <c r="Q220" s="266">
        <v>3.4</v>
      </c>
      <c r="R220" s="267"/>
      <c r="S220" s="267"/>
      <c r="T220" s="267"/>
      <c r="U220" s="267"/>
      <c r="V220" s="267"/>
      <c r="W220" s="267"/>
      <c r="X220" s="268"/>
      <c r="Y220" s="263">
        <v>2038</v>
      </c>
      <c r="Z220" s="266">
        <v>0</v>
      </c>
      <c r="AA220" s="267"/>
      <c r="AB220" s="267"/>
      <c r="AC220" s="267"/>
      <c r="AD220" s="267"/>
      <c r="AE220" s="267"/>
      <c r="AF220" s="267"/>
      <c r="AG220" s="268"/>
      <c r="AH220" s="263">
        <v>2038</v>
      </c>
      <c r="AI220" s="254">
        <v>-3.4</v>
      </c>
      <c r="AJ220" s="254" t="s">
        <v>82</v>
      </c>
      <c r="AK220" s="254" t="s">
        <v>82</v>
      </c>
      <c r="AL220" s="254" t="s">
        <v>82</v>
      </c>
      <c r="AM220" s="254" t="s">
        <v>82</v>
      </c>
      <c r="AN220" s="254" t="s">
        <v>82</v>
      </c>
      <c r="AO220" s="254" t="s">
        <v>82</v>
      </c>
    </row>
    <row r="221" spans="1:41" x14ac:dyDescent="0.2">
      <c r="A221" s="249">
        <v>217</v>
      </c>
      <c r="B221" s="195">
        <v>7</v>
      </c>
      <c r="C221" s="195" t="s">
        <v>238</v>
      </c>
      <c r="D221" s="195">
        <v>4</v>
      </c>
      <c r="E221" s="195" t="s">
        <v>549</v>
      </c>
      <c r="F221" s="196">
        <v>44208</v>
      </c>
      <c r="G221" s="250" t="s">
        <v>5</v>
      </c>
      <c r="H221" s="263">
        <v>2103</v>
      </c>
      <c r="I221" s="216" t="s">
        <v>639</v>
      </c>
      <c r="J221" s="264">
        <v>1510</v>
      </c>
      <c r="K221" s="264">
        <v>1603</v>
      </c>
      <c r="L221" s="265">
        <v>1559</v>
      </c>
      <c r="M221" s="249">
        <v>0</v>
      </c>
      <c r="N221" s="200">
        <v>0</v>
      </c>
      <c r="P221" s="263">
        <v>2103</v>
      </c>
      <c r="Q221" s="266">
        <v>2.4</v>
      </c>
      <c r="R221" s="267"/>
      <c r="S221" s="267"/>
      <c r="T221" s="267"/>
      <c r="U221" s="267"/>
      <c r="V221" s="267"/>
      <c r="W221" s="267"/>
      <c r="X221" s="268"/>
      <c r="Y221" s="263">
        <v>2103</v>
      </c>
      <c r="Z221" s="266">
        <v>0</v>
      </c>
      <c r="AA221" s="267"/>
      <c r="AB221" s="267"/>
      <c r="AC221" s="267"/>
      <c r="AD221" s="267"/>
      <c r="AE221" s="267"/>
      <c r="AF221" s="267"/>
      <c r="AG221" s="268"/>
      <c r="AH221" s="263">
        <v>2103</v>
      </c>
      <c r="AI221" s="254">
        <v>-2.4</v>
      </c>
      <c r="AJ221" s="254" t="s">
        <v>82</v>
      </c>
      <c r="AK221" s="254" t="s">
        <v>82</v>
      </c>
      <c r="AL221" s="254" t="s">
        <v>82</v>
      </c>
      <c r="AM221" s="254" t="s">
        <v>82</v>
      </c>
      <c r="AN221" s="254" t="s">
        <v>82</v>
      </c>
      <c r="AO221" s="254" t="s">
        <v>82</v>
      </c>
    </row>
    <row r="222" spans="1:41" x14ac:dyDescent="0.2">
      <c r="A222" s="249">
        <v>218</v>
      </c>
      <c r="B222" s="195">
        <v>7</v>
      </c>
      <c r="C222" s="195" t="s">
        <v>238</v>
      </c>
      <c r="D222" s="195">
        <v>4</v>
      </c>
      <c r="E222" s="195" t="s">
        <v>549</v>
      </c>
      <c r="F222" s="196">
        <v>44209</v>
      </c>
      <c r="G222" s="250" t="s">
        <v>6</v>
      </c>
      <c r="H222" s="263">
        <v>2103</v>
      </c>
      <c r="I222" s="216" t="s">
        <v>640</v>
      </c>
      <c r="J222" s="264">
        <v>1510</v>
      </c>
      <c r="K222" s="264">
        <v>1600</v>
      </c>
      <c r="L222" s="265">
        <v>1551</v>
      </c>
      <c r="M222" s="249">
        <v>0</v>
      </c>
      <c r="N222" s="200">
        <v>0</v>
      </c>
      <c r="P222" s="263">
        <v>2103</v>
      </c>
      <c r="Q222" s="266">
        <v>4.3</v>
      </c>
      <c r="R222" s="267"/>
      <c r="S222" s="267"/>
      <c r="T222" s="267"/>
      <c r="U222" s="267"/>
      <c r="V222" s="267"/>
      <c r="W222" s="267"/>
      <c r="X222" s="268"/>
      <c r="Y222" s="263">
        <v>2103</v>
      </c>
      <c r="Z222" s="266">
        <v>0</v>
      </c>
      <c r="AA222" s="267"/>
      <c r="AB222" s="267"/>
      <c r="AC222" s="267"/>
      <c r="AD222" s="267"/>
      <c r="AE222" s="267"/>
      <c r="AF222" s="267"/>
      <c r="AG222" s="268"/>
      <c r="AH222" s="263">
        <v>2103</v>
      </c>
      <c r="AI222" s="254">
        <v>-4.3</v>
      </c>
      <c r="AJ222" s="254" t="s">
        <v>82</v>
      </c>
      <c r="AK222" s="254" t="s">
        <v>82</v>
      </c>
      <c r="AL222" s="254" t="s">
        <v>82</v>
      </c>
      <c r="AM222" s="254" t="s">
        <v>82</v>
      </c>
      <c r="AN222" s="254" t="s">
        <v>82</v>
      </c>
      <c r="AO222" s="254" t="s">
        <v>82</v>
      </c>
    </row>
    <row r="223" spans="1:41" x14ac:dyDescent="0.2">
      <c r="A223" s="249">
        <v>219</v>
      </c>
      <c r="B223" s="195">
        <v>7</v>
      </c>
      <c r="C223" s="195" t="s">
        <v>238</v>
      </c>
      <c r="D223" s="195">
        <v>5</v>
      </c>
      <c r="E223" s="195" t="s">
        <v>553</v>
      </c>
      <c r="F223" s="196">
        <v>44026</v>
      </c>
      <c r="G223" s="250" t="s">
        <v>5</v>
      </c>
      <c r="H223" s="263">
        <v>2029</v>
      </c>
      <c r="I223" s="216" t="s">
        <v>641</v>
      </c>
      <c r="J223" s="264">
        <v>2200</v>
      </c>
      <c r="K223" s="264">
        <v>2244</v>
      </c>
      <c r="L223" s="265">
        <v>2206</v>
      </c>
      <c r="M223" s="249">
        <v>0</v>
      </c>
      <c r="N223" s="200">
        <v>0</v>
      </c>
      <c r="O223" s="269"/>
      <c r="P223" s="263">
        <v>2029</v>
      </c>
      <c r="Q223" s="266">
        <v>5.6</v>
      </c>
      <c r="R223" s="267"/>
      <c r="S223" s="267"/>
      <c r="T223" s="267"/>
      <c r="U223" s="267"/>
      <c r="V223" s="267"/>
      <c r="W223" s="267"/>
      <c r="X223" s="268"/>
      <c r="Y223" s="263">
        <v>2029</v>
      </c>
      <c r="Z223" s="266">
        <v>0</v>
      </c>
      <c r="AA223" s="267"/>
      <c r="AB223" s="267"/>
      <c r="AC223" s="267"/>
      <c r="AD223" s="267"/>
      <c r="AE223" s="267"/>
      <c r="AF223" s="267"/>
      <c r="AG223" s="268"/>
      <c r="AH223" s="263">
        <v>2029</v>
      </c>
      <c r="AI223" s="254">
        <v>-5.6</v>
      </c>
      <c r="AJ223" s="254" t="s">
        <v>82</v>
      </c>
      <c r="AK223" s="254" t="s">
        <v>82</v>
      </c>
      <c r="AL223" s="254" t="s">
        <v>82</v>
      </c>
      <c r="AM223" s="254" t="s">
        <v>82</v>
      </c>
      <c r="AN223" s="254" t="s">
        <v>82</v>
      </c>
      <c r="AO223" s="254" t="s">
        <v>82</v>
      </c>
    </row>
    <row r="224" spans="1:41" x14ac:dyDescent="0.2">
      <c r="A224" s="249">
        <v>220</v>
      </c>
      <c r="B224" s="195">
        <v>7</v>
      </c>
      <c r="C224" s="195" t="s">
        <v>238</v>
      </c>
      <c r="D224" s="195">
        <v>6</v>
      </c>
      <c r="E224" s="195" t="s">
        <v>642</v>
      </c>
      <c r="F224" s="196">
        <v>44021</v>
      </c>
      <c r="G224" s="250" t="s">
        <v>7</v>
      </c>
      <c r="H224" s="263">
        <v>2028</v>
      </c>
      <c r="I224" s="216" t="s">
        <v>325</v>
      </c>
      <c r="J224" s="264">
        <v>1345</v>
      </c>
      <c r="K224" s="264">
        <v>1449</v>
      </c>
      <c r="L224" s="265">
        <v>1437</v>
      </c>
      <c r="M224" s="249">
        <v>0</v>
      </c>
      <c r="N224" s="200">
        <v>0</v>
      </c>
      <c r="O224" s="269"/>
      <c r="P224" s="263">
        <v>2028</v>
      </c>
      <c r="Q224" s="266">
        <v>3.2</v>
      </c>
      <c r="R224" s="267"/>
      <c r="S224" s="267"/>
      <c r="T224" s="267"/>
      <c r="U224" s="267"/>
      <c r="V224" s="267"/>
      <c r="W224" s="267"/>
      <c r="X224" s="268"/>
      <c r="Y224" s="263">
        <v>2028</v>
      </c>
      <c r="Z224" s="266">
        <v>0</v>
      </c>
      <c r="AA224" s="267"/>
      <c r="AB224" s="267"/>
      <c r="AC224" s="267"/>
      <c r="AD224" s="267"/>
      <c r="AE224" s="267"/>
      <c r="AF224" s="267"/>
      <c r="AG224" s="268"/>
      <c r="AH224" s="263">
        <v>2028</v>
      </c>
      <c r="AI224" s="254">
        <v>-3.2</v>
      </c>
      <c r="AJ224" s="254" t="s">
        <v>82</v>
      </c>
      <c r="AK224" s="254" t="s">
        <v>82</v>
      </c>
      <c r="AL224" s="254" t="s">
        <v>82</v>
      </c>
      <c r="AM224" s="254" t="s">
        <v>82</v>
      </c>
      <c r="AN224" s="254" t="s">
        <v>82</v>
      </c>
      <c r="AO224" s="254" t="s">
        <v>82</v>
      </c>
    </row>
    <row r="225" spans="1:41" x14ac:dyDescent="0.2">
      <c r="A225" s="249">
        <v>221</v>
      </c>
      <c r="B225" s="195">
        <v>8</v>
      </c>
      <c r="C225" s="195" t="s">
        <v>248</v>
      </c>
      <c r="D225" s="195">
        <v>1</v>
      </c>
      <c r="E225" s="195" t="s">
        <v>249</v>
      </c>
      <c r="F225" s="196">
        <v>44013</v>
      </c>
      <c r="G225" s="250" t="s">
        <v>6</v>
      </c>
      <c r="H225" s="263">
        <v>2027</v>
      </c>
      <c r="I225" s="216" t="s">
        <v>407</v>
      </c>
      <c r="J225" s="264">
        <v>1549</v>
      </c>
      <c r="K225" s="264">
        <v>1649</v>
      </c>
      <c r="L225" s="265">
        <v>1607</v>
      </c>
      <c r="M225" s="249">
        <v>0</v>
      </c>
      <c r="N225" s="200">
        <v>0</v>
      </c>
      <c r="O225" s="269"/>
      <c r="P225" s="263">
        <v>2027</v>
      </c>
      <c r="Q225" s="266">
        <v>3.8</v>
      </c>
      <c r="R225" s="267"/>
      <c r="S225" s="267"/>
      <c r="T225" s="267"/>
      <c r="U225" s="267"/>
      <c r="V225" s="267"/>
      <c r="W225" s="267"/>
      <c r="X225" s="268"/>
      <c r="Y225" s="263">
        <v>2027</v>
      </c>
      <c r="Z225" s="266">
        <v>0</v>
      </c>
      <c r="AA225" s="267"/>
      <c r="AB225" s="267"/>
      <c r="AC225" s="267"/>
      <c r="AD225" s="267"/>
      <c r="AE225" s="267"/>
      <c r="AF225" s="267"/>
      <c r="AG225" s="268"/>
      <c r="AH225" s="263">
        <v>2027</v>
      </c>
      <c r="AI225" s="254">
        <v>-3.8</v>
      </c>
      <c r="AJ225" s="254" t="s">
        <v>82</v>
      </c>
      <c r="AK225" s="254" t="s">
        <v>82</v>
      </c>
      <c r="AL225" s="254" t="s">
        <v>82</v>
      </c>
      <c r="AM225" s="254" t="s">
        <v>82</v>
      </c>
      <c r="AN225" s="254" t="s">
        <v>82</v>
      </c>
      <c r="AO225" s="254" t="s">
        <v>82</v>
      </c>
    </row>
    <row r="226" spans="1:41" x14ac:dyDescent="0.2">
      <c r="A226" s="249">
        <v>222</v>
      </c>
      <c r="B226" s="195">
        <v>8</v>
      </c>
      <c r="C226" s="195" t="s">
        <v>248</v>
      </c>
      <c r="D226" s="195">
        <v>1</v>
      </c>
      <c r="E226" s="195" t="s">
        <v>249</v>
      </c>
      <c r="F226" s="196">
        <v>44340</v>
      </c>
      <c r="G226" s="250" t="s">
        <v>4</v>
      </c>
      <c r="H226" s="263">
        <v>2122</v>
      </c>
      <c r="I226" s="216" t="s">
        <v>250</v>
      </c>
      <c r="J226" s="264">
        <v>1355</v>
      </c>
      <c r="K226" s="264">
        <v>1548</v>
      </c>
      <c r="L226" s="265">
        <v>1402</v>
      </c>
      <c r="M226" s="249">
        <v>1</v>
      </c>
      <c r="N226" s="200">
        <v>0</v>
      </c>
      <c r="O226" s="269"/>
      <c r="P226" s="263">
        <v>2122</v>
      </c>
      <c r="Q226" s="266">
        <v>5.6</v>
      </c>
      <c r="R226" s="266">
        <v>2.6</v>
      </c>
      <c r="S226" s="266">
        <v>2.2999999999999998</v>
      </c>
      <c r="T226" s="266">
        <v>0.3</v>
      </c>
      <c r="U226" s="266">
        <v>2.1</v>
      </c>
      <c r="V226" s="266">
        <v>2.1</v>
      </c>
      <c r="W226" s="266" t="s">
        <v>84</v>
      </c>
      <c r="X226" s="268"/>
      <c r="Y226" s="263">
        <v>2122</v>
      </c>
      <c r="Z226" s="266">
        <v>0</v>
      </c>
      <c r="AA226" s="266">
        <v>2.2999999999999998</v>
      </c>
      <c r="AB226" s="266">
        <v>2.2999999999999998</v>
      </c>
      <c r="AC226" s="266">
        <v>0</v>
      </c>
      <c r="AD226" s="266">
        <v>2.1</v>
      </c>
      <c r="AE226" s="266">
        <v>2.1</v>
      </c>
      <c r="AF226" s="266" t="s">
        <v>84</v>
      </c>
      <c r="AG226" s="268"/>
      <c r="AH226" s="263">
        <v>2122</v>
      </c>
      <c r="AI226" s="254">
        <v>-5.6</v>
      </c>
      <c r="AJ226" s="254">
        <v>-0.30000000000000027</v>
      </c>
      <c r="AK226" s="254" t="s">
        <v>82</v>
      </c>
      <c r="AL226" s="254">
        <v>-0.3</v>
      </c>
      <c r="AM226" s="254" t="s">
        <v>82</v>
      </c>
      <c r="AN226" s="254" t="s">
        <v>82</v>
      </c>
      <c r="AO226" s="254" t="s">
        <v>82</v>
      </c>
    </row>
    <row r="227" spans="1:41" x14ac:dyDescent="0.2">
      <c r="A227" s="249">
        <v>223</v>
      </c>
      <c r="B227" s="195">
        <v>8</v>
      </c>
      <c r="C227" s="195" t="s">
        <v>248</v>
      </c>
      <c r="D227" s="195">
        <v>1</v>
      </c>
      <c r="E227" s="195" t="s">
        <v>249</v>
      </c>
      <c r="F227" s="196">
        <v>44492</v>
      </c>
      <c r="G227" s="250" t="s">
        <v>9</v>
      </c>
      <c r="H227" s="263">
        <v>2143</v>
      </c>
      <c r="I227" s="216" t="s">
        <v>251</v>
      </c>
      <c r="J227" s="264">
        <v>635</v>
      </c>
      <c r="K227" s="264">
        <v>724</v>
      </c>
      <c r="L227" s="265">
        <v>718</v>
      </c>
      <c r="M227" s="249">
        <v>1</v>
      </c>
      <c r="N227" s="200">
        <v>0</v>
      </c>
      <c r="O227" s="269"/>
      <c r="P227" s="263">
        <v>2143</v>
      </c>
      <c r="Q227" s="266">
        <v>29.2</v>
      </c>
      <c r="R227" s="266">
        <v>2.8</v>
      </c>
      <c r="S227" s="266">
        <v>0.7</v>
      </c>
      <c r="T227" s="266">
        <v>2.1</v>
      </c>
      <c r="U227" s="266">
        <v>0.7</v>
      </c>
      <c r="V227" s="266">
        <v>0.7</v>
      </c>
      <c r="W227" s="266">
        <v>0</v>
      </c>
      <c r="X227" s="268"/>
      <c r="Y227" s="263">
        <v>2143</v>
      </c>
      <c r="Z227" s="266">
        <v>0</v>
      </c>
      <c r="AA227" s="266">
        <v>0.7</v>
      </c>
      <c r="AB227" s="266">
        <v>0.7</v>
      </c>
      <c r="AC227" s="266">
        <v>0</v>
      </c>
      <c r="AD227" s="266">
        <v>0.7</v>
      </c>
      <c r="AE227" s="266">
        <v>0.7</v>
      </c>
      <c r="AF227" s="266">
        <v>0</v>
      </c>
      <c r="AG227" s="268"/>
      <c r="AH227" s="263">
        <v>2143</v>
      </c>
      <c r="AI227" s="254">
        <v>-29.2</v>
      </c>
      <c r="AJ227" s="254">
        <v>-2.0999999999999996</v>
      </c>
      <c r="AK227" s="254" t="s">
        <v>82</v>
      </c>
      <c r="AL227" s="254">
        <v>-2.1</v>
      </c>
      <c r="AM227" s="254" t="s">
        <v>82</v>
      </c>
      <c r="AN227" s="254" t="s">
        <v>82</v>
      </c>
      <c r="AO227" s="254" t="s">
        <v>82</v>
      </c>
    </row>
    <row r="228" spans="1:41" x14ac:dyDescent="0.2">
      <c r="A228" s="249">
        <v>224</v>
      </c>
      <c r="B228" s="195">
        <v>8</v>
      </c>
      <c r="C228" s="195" t="s">
        <v>248</v>
      </c>
      <c r="D228" s="195">
        <v>2</v>
      </c>
      <c r="E228" s="195" t="s">
        <v>252</v>
      </c>
      <c r="F228" s="196">
        <v>44045</v>
      </c>
      <c r="G228" s="250" t="s">
        <v>10</v>
      </c>
      <c r="H228" s="263">
        <v>2031</v>
      </c>
      <c r="I228" s="216" t="s">
        <v>112</v>
      </c>
      <c r="J228" s="264">
        <v>1115</v>
      </c>
      <c r="K228" s="264">
        <v>1144</v>
      </c>
      <c r="L228" s="265">
        <v>1144</v>
      </c>
      <c r="M228" s="249">
        <v>1</v>
      </c>
      <c r="N228" s="200">
        <v>1</v>
      </c>
      <c r="O228" s="269"/>
      <c r="P228" s="263">
        <v>2031</v>
      </c>
      <c r="Q228" s="266">
        <v>4</v>
      </c>
      <c r="R228" s="266">
        <v>3</v>
      </c>
      <c r="S228" s="266">
        <v>2.2000000000000002</v>
      </c>
      <c r="T228" s="266">
        <v>0.8</v>
      </c>
      <c r="U228" s="266">
        <v>5.9</v>
      </c>
      <c r="V228" s="266">
        <v>1.9</v>
      </c>
      <c r="W228" s="266">
        <v>4</v>
      </c>
      <c r="X228" s="268"/>
      <c r="Y228" s="263">
        <v>2031</v>
      </c>
      <c r="Z228" s="266">
        <v>0</v>
      </c>
      <c r="AA228" s="266">
        <v>2.2000000000000002</v>
      </c>
      <c r="AB228" s="266">
        <v>2.2000000000000002</v>
      </c>
      <c r="AC228" s="266">
        <v>0</v>
      </c>
      <c r="AD228" s="266">
        <v>1.9</v>
      </c>
      <c r="AE228" s="266">
        <v>1.9</v>
      </c>
      <c r="AF228" s="266">
        <v>0</v>
      </c>
      <c r="AG228" s="268"/>
      <c r="AH228" s="263">
        <v>2031</v>
      </c>
      <c r="AI228" s="254">
        <v>-4</v>
      </c>
      <c r="AJ228" s="254">
        <v>-0.79999999999999982</v>
      </c>
      <c r="AK228" s="254" t="s">
        <v>82</v>
      </c>
      <c r="AL228" s="254">
        <v>-0.8</v>
      </c>
      <c r="AM228" s="254">
        <v>-4</v>
      </c>
      <c r="AN228" s="254" t="s">
        <v>82</v>
      </c>
      <c r="AO228" s="254">
        <v>-4</v>
      </c>
    </row>
    <row r="229" spans="1:41" x14ac:dyDescent="0.2">
      <c r="A229" s="249">
        <v>225</v>
      </c>
      <c r="B229" s="195">
        <v>8</v>
      </c>
      <c r="C229" s="195" t="s">
        <v>248</v>
      </c>
      <c r="D229" s="195">
        <v>2</v>
      </c>
      <c r="E229" s="195" t="s">
        <v>252</v>
      </c>
      <c r="F229" s="196">
        <v>44053</v>
      </c>
      <c r="G229" s="250" t="s">
        <v>4</v>
      </c>
      <c r="H229" s="263">
        <v>2033</v>
      </c>
      <c r="I229" s="216" t="s">
        <v>253</v>
      </c>
      <c r="J229" s="264">
        <v>2300</v>
      </c>
      <c r="K229" s="264">
        <v>2339</v>
      </c>
      <c r="L229" s="265">
        <v>2331</v>
      </c>
      <c r="M229" s="249">
        <v>1</v>
      </c>
      <c r="N229" s="200">
        <v>0</v>
      </c>
      <c r="O229" s="269"/>
      <c r="P229" s="263">
        <v>2033</v>
      </c>
      <c r="Q229" s="266">
        <v>2.6</v>
      </c>
      <c r="R229" s="266">
        <v>2.2999999999999998</v>
      </c>
      <c r="S229" s="266">
        <v>1.6</v>
      </c>
      <c r="T229" s="266">
        <v>0.7</v>
      </c>
      <c r="U229" s="266">
        <v>1.9</v>
      </c>
      <c r="V229" s="266">
        <v>1.9</v>
      </c>
      <c r="W229" s="266" t="s">
        <v>84</v>
      </c>
      <c r="X229" s="268"/>
      <c r="Y229" s="263">
        <v>2033</v>
      </c>
      <c r="Z229" s="266">
        <v>0.6</v>
      </c>
      <c r="AA229" s="266">
        <v>2.1</v>
      </c>
      <c r="AB229" s="266">
        <v>1.6</v>
      </c>
      <c r="AC229" s="266">
        <v>0.5</v>
      </c>
      <c r="AD229" s="266">
        <v>1.9</v>
      </c>
      <c r="AE229" s="266">
        <v>1.9</v>
      </c>
      <c r="AF229" s="266" t="s">
        <v>84</v>
      </c>
      <c r="AG229" s="268"/>
      <c r="AH229" s="263">
        <v>2033</v>
      </c>
      <c r="AI229" s="254">
        <v>-2</v>
      </c>
      <c r="AJ229" s="254">
        <v>-0.19999999999999973</v>
      </c>
      <c r="AK229" s="254" t="s">
        <v>82</v>
      </c>
      <c r="AL229" s="254">
        <v>-0.19999999999999996</v>
      </c>
      <c r="AM229" s="254" t="s">
        <v>82</v>
      </c>
      <c r="AN229" s="254" t="s">
        <v>82</v>
      </c>
      <c r="AO229" s="254" t="s">
        <v>82</v>
      </c>
    </row>
    <row r="230" spans="1:41" x14ac:dyDescent="0.2">
      <c r="A230" s="249">
        <v>226</v>
      </c>
      <c r="B230" s="195">
        <v>8</v>
      </c>
      <c r="C230" s="195" t="s">
        <v>248</v>
      </c>
      <c r="D230" s="195">
        <v>2</v>
      </c>
      <c r="E230" s="195" t="s">
        <v>252</v>
      </c>
      <c r="F230" s="196">
        <v>44055</v>
      </c>
      <c r="G230" s="250" t="s">
        <v>6</v>
      </c>
      <c r="H230" s="263">
        <v>2033</v>
      </c>
      <c r="I230" s="216" t="s">
        <v>254</v>
      </c>
      <c r="J230" s="264">
        <v>2300</v>
      </c>
      <c r="K230" s="264">
        <v>2339</v>
      </c>
      <c r="L230" s="265">
        <v>2334</v>
      </c>
      <c r="M230" s="249">
        <v>1</v>
      </c>
      <c r="N230" s="200">
        <v>0</v>
      </c>
      <c r="O230" s="269"/>
      <c r="P230" s="263">
        <v>2033</v>
      </c>
      <c r="Q230" s="266">
        <v>5.0999999999999996</v>
      </c>
      <c r="R230" s="266">
        <v>4.3</v>
      </c>
      <c r="S230" s="266">
        <v>2.9</v>
      </c>
      <c r="T230" s="266">
        <v>1.4</v>
      </c>
      <c r="U230" s="266">
        <v>1.3</v>
      </c>
      <c r="V230" s="266">
        <v>1.1000000000000001</v>
      </c>
      <c r="W230" s="266">
        <v>0.2</v>
      </c>
      <c r="X230" s="268"/>
      <c r="Y230" s="263">
        <v>2033</v>
      </c>
      <c r="Z230" s="266">
        <v>0.2</v>
      </c>
      <c r="AA230" s="266">
        <v>3.8</v>
      </c>
      <c r="AB230" s="266">
        <v>2.9</v>
      </c>
      <c r="AC230" s="266">
        <v>0.9</v>
      </c>
      <c r="AD230" s="266">
        <v>1.3</v>
      </c>
      <c r="AE230" s="266">
        <v>1.1000000000000001</v>
      </c>
      <c r="AF230" s="266">
        <v>0.2</v>
      </c>
      <c r="AG230" s="268"/>
      <c r="AH230" s="263">
        <v>2033</v>
      </c>
      <c r="AI230" s="254">
        <v>-4.8999999999999995</v>
      </c>
      <c r="AJ230" s="254">
        <v>-0.5</v>
      </c>
      <c r="AK230" s="254" t="s">
        <v>82</v>
      </c>
      <c r="AL230" s="254">
        <v>-0.49999999999999989</v>
      </c>
      <c r="AM230" s="254" t="s">
        <v>82</v>
      </c>
      <c r="AN230" s="254" t="s">
        <v>82</v>
      </c>
      <c r="AO230" s="254" t="s">
        <v>82</v>
      </c>
    </row>
    <row r="231" spans="1:41" x14ac:dyDescent="0.2">
      <c r="A231" s="249">
        <v>227</v>
      </c>
      <c r="B231" s="195">
        <v>8</v>
      </c>
      <c r="C231" s="195" t="s">
        <v>248</v>
      </c>
      <c r="D231" s="195">
        <v>2</v>
      </c>
      <c r="E231" s="195" t="s">
        <v>252</v>
      </c>
      <c r="F231" s="196">
        <v>44182</v>
      </c>
      <c r="G231" s="250" t="s">
        <v>7</v>
      </c>
      <c r="H231" s="263">
        <v>2051</v>
      </c>
      <c r="I231" s="216" t="s">
        <v>643</v>
      </c>
      <c r="J231" s="264">
        <v>1748</v>
      </c>
      <c r="K231" s="264">
        <v>1859</v>
      </c>
      <c r="L231" s="265">
        <v>1847</v>
      </c>
      <c r="M231" s="249">
        <v>0</v>
      </c>
      <c r="N231" s="200">
        <v>0</v>
      </c>
      <c r="O231" s="269"/>
      <c r="P231" s="263">
        <v>2051</v>
      </c>
      <c r="Q231" s="266">
        <v>5.9</v>
      </c>
      <c r="R231" s="267"/>
      <c r="S231" s="267"/>
      <c r="T231" s="267"/>
      <c r="U231" s="267"/>
      <c r="V231" s="267"/>
      <c r="W231" s="267"/>
      <c r="X231" s="268"/>
      <c r="Y231" s="263">
        <v>2051</v>
      </c>
      <c r="Z231" s="266">
        <v>0</v>
      </c>
      <c r="AA231" s="267"/>
      <c r="AB231" s="267"/>
      <c r="AC231" s="267"/>
      <c r="AD231" s="267"/>
      <c r="AE231" s="267"/>
      <c r="AF231" s="267"/>
      <c r="AG231" s="268"/>
      <c r="AH231" s="263">
        <v>2051</v>
      </c>
      <c r="AI231" s="254">
        <v>-5.9</v>
      </c>
      <c r="AJ231" s="254" t="s">
        <v>82</v>
      </c>
      <c r="AK231" s="254" t="s">
        <v>82</v>
      </c>
      <c r="AL231" s="254" t="s">
        <v>82</v>
      </c>
      <c r="AM231" s="254" t="s">
        <v>82</v>
      </c>
      <c r="AN231" s="254" t="s">
        <v>82</v>
      </c>
      <c r="AO231" s="254" t="s">
        <v>82</v>
      </c>
    </row>
    <row r="232" spans="1:41" x14ac:dyDescent="0.2">
      <c r="A232" s="249">
        <v>228</v>
      </c>
      <c r="B232" s="195">
        <v>8</v>
      </c>
      <c r="C232" s="195" t="s">
        <v>248</v>
      </c>
      <c r="D232" s="195">
        <v>2</v>
      </c>
      <c r="E232" s="195" t="s">
        <v>252</v>
      </c>
      <c r="F232" s="196">
        <v>44322</v>
      </c>
      <c r="G232" s="250" t="s">
        <v>7</v>
      </c>
      <c r="H232" s="263">
        <v>2119</v>
      </c>
      <c r="I232" s="216" t="s">
        <v>330</v>
      </c>
      <c r="J232" s="264">
        <v>1155</v>
      </c>
      <c r="K232" s="264">
        <v>1444</v>
      </c>
      <c r="L232" s="265">
        <v>1329</v>
      </c>
      <c r="M232" s="249">
        <v>0</v>
      </c>
      <c r="N232" s="200">
        <v>0</v>
      </c>
      <c r="O232" s="269"/>
      <c r="P232" s="263">
        <v>2119</v>
      </c>
      <c r="Q232" s="266">
        <v>3.6</v>
      </c>
      <c r="R232" s="267"/>
      <c r="S232" s="267"/>
      <c r="T232" s="267"/>
      <c r="U232" s="267"/>
      <c r="V232" s="267"/>
      <c r="W232" s="267"/>
      <c r="X232" s="268"/>
      <c r="Y232" s="263">
        <v>2119</v>
      </c>
      <c r="Z232" s="266">
        <v>0</v>
      </c>
      <c r="AA232" s="267"/>
      <c r="AB232" s="267"/>
      <c r="AC232" s="267"/>
      <c r="AD232" s="267"/>
      <c r="AE232" s="267"/>
      <c r="AF232" s="267"/>
      <c r="AG232" s="268"/>
      <c r="AH232" s="263">
        <v>2119</v>
      </c>
      <c r="AI232" s="254">
        <v>-3.6</v>
      </c>
      <c r="AJ232" s="254" t="s">
        <v>82</v>
      </c>
      <c r="AK232" s="254" t="s">
        <v>82</v>
      </c>
      <c r="AL232" s="254" t="s">
        <v>82</v>
      </c>
      <c r="AM232" s="254" t="s">
        <v>82</v>
      </c>
      <c r="AN232" s="254" t="s">
        <v>82</v>
      </c>
      <c r="AO232" s="254" t="s">
        <v>82</v>
      </c>
    </row>
    <row r="233" spans="1:41" x14ac:dyDescent="0.2">
      <c r="A233" s="249">
        <v>229</v>
      </c>
      <c r="B233" s="195">
        <v>8</v>
      </c>
      <c r="C233" s="195" t="s">
        <v>248</v>
      </c>
      <c r="D233" s="195">
        <v>2</v>
      </c>
      <c r="E233" s="195" t="s">
        <v>252</v>
      </c>
      <c r="F233" s="196">
        <v>44413</v>
      </c>
      <c r="G233" s="250" t="s">
        <v>7</v>
      </c>
      <c r="H233" s="263">
        <v>2132</v>
      </c>
      <c r="I233" s="216" t="s">
        <v>217</v>
      </c>
      <c r="J233" s="264">
        <v>800</v>
      </c>
      <c r="K233" s="264">
        <v>949</v>
      </c>
      <c r="L233" s="265">
        <v>924</v>
      </c>
      <c r="M233" s="249">
        <v>0</v>
      </c>
      <c r="N233" s="200">
        <v>0</v>
      </c>
      <c r="O233" s="269"/>
      <c r="P233" s="263">
        <v>2132</v>
      </c>
      <c r="Q233" s="266">
        <v>6.9</v>
      </c>
      <c r="R233" s="267"/>
      <c r="S233" s="267"/>
      <c r="T233" s="267"/>
      <c r="U233" s="267"/>
      <c r="V233" s="267"/>
      <c r="W233" s="267"/>
      <c r="X233" s="268"/>
      <c r="Y233" s="263">
        <v>2132</v>
      </c>
      <c r="Z233" s="266">
        <v>0</v>
      </c>
      <c r="AA233" s="267"/>
      <c r="AB233" s="267"/>
      <c r="AC233" s="267"/>
      <c r="AD233" s="267"/>
      <c r="AE233" s="267"/>
      <c r="AF233" s="267"/>
      <c r="AG233" s="268"/>
      <c r="AH233" s="263">
        <v>2132</v>
      </c>
      <c r="AI233" s="254">
        <v>-6.9</v>
      </c>
      <c r="AJ233" s="254" t="s">
        <v>82</v>
      </c>
      <c r="AK233" s="254" t="s">
        <v>82</v>
      </c>
      <c r="AL233" s="254" t="s">
        <v>82</v>
      </c>
      <c r="AM233" s="254" t="s">
        <v>82</v>
      </c>
      <c r="AN233" s="254" t="s">
        <v>82</v>
      </c>
      <c r="AO233" s="254" t="s">
        <v>82</v>
      </c>
    </row>
    <row r="234" spans="1:41" x14ac:dyDescent="0.2">
      <c r="A234" s="249">
        <v>230</v>
      </c>
      <c r="B234" s="195">
        <v>8</v>
      </c>
      <c r="C234" s="195" t="s">
        <v>248</v>
      </c>
      <c r="D234" s="195">
        <v>3</v>
      </c>
      <c r="E234" s="195" t="s">
        <v>255</v>
      </c>
      <c r="F234" s="196">
        <v>44044</v>
      </c>
      <c r="G234" s="250" t="s">
        <v>9</v>
      </c>
      <c r="H234" s="263">
        <v>2031</v>
      </c>
      <c r="I234" s="216" t="s">
        <v>256</v>
      </c>
      <c r="J234" s="264">
        <v>1700</v>
      </c>
      <c r="K234" s="264">
        <v>1729</v>
      </c>
      <c r="L234" s="265">
        <v>1729</v>
      </c>
      <c r="M234" s="249">
        <v>1</v>
      </c>
      <c r="N234" s="200">
        <v>1</v>
      </c>
      <c r="O234" s="269"/>
      <c r="P234" s="263">
        <v>2031</v>
      </c>
      <c r="Q234" s="270">
        <v>7.9</v>
      </c>
      <c r="R234" s="270">
        <v>7.5</v>
      </c>
      <c r="S234" s="270">
        <v>2.6</v>
      </c>
      <c r="T234" s="270">
        <v>4.9000000000000004</v>
      </c>
      <c r="U234" s="270">
        <v>10.5</v>
      </c>
      <c r="V234" s="270">
        <v>2.6</v>
      </c>
      <c r="W234" s="270">
        <v>7.9</v>
      </c>
      <c r="Y234" s="263">
        <v>2031</v>
      </c>
      <c r="Z234" s="270">
        <v>5.8</v>
      </c>
      <c r="AA234" s="270">
        <v>7.1</v>
      </c>
      <c r="AB234" s="270">
        <v>2.6</v>
      </c>
      <c r="AC234" s="270">
        <v>4.5</v>
      </c>
      <c r="AD234" s="270">
        <v>8.4</v>
      </c>
      <c r="AE234" s="270">
        <v>2.6</v>
      </c>
      <c r="AF234" s="270">
        <v>5.8</v>
      </c>
      <c r="AH234" s="263">
        <v>2031</v>
      </c>
      <c r="AI234" s="254">
        <v>-2.1000000000000005</v>
      </c>
      <c r="AJ234" s="254">
        <v>-0.40000000000000036</v>
      </c>
      <c r="AK234" s="254" t="s">
        <v>82</v>
      </c>
      <c r="AL234" s="254">
        <v>-0.40000000000000036</v>
      </c>
      <c r="AM234" s="254">
        <v>-2.0999999999999996</v>
      </c>
      <c r="AN234" s="254" t="s">
        <v>82</v>
      </c>
      <c r="AO234" s="254">
        <v>-2.1000000000000005</v>
      </c>
    </row>
    <row r="235" spans="1:41" x14ac:dyDescent="0.2">
      <c r="A235" s="249">
        <v>231</v>
      </c>
      <c r="B235" s="195">
        <v>8</v>
      </c>
      <c r="C235" s="195" t="s">
        <v>248</v>
      </c>
      <c r="D235" s="195">
        <v>3</v>
      </c>
      <c r="E235" s="195" t="s">
        <v>255</v>
      </c>
      <c r="F235" s="196">
        <v>44086</v>
      </c>
      <c r="G235" s="250" t="s">
        <v>9</v>
      </c>
      <c r="H235" s="263">
        <v>2037</v>
      </c>
      <c r="I235" s="216" t="s">
        <v>644</v>
      </c>
      <c r="J235" s="264">
        <v>600</v>
      </c>
      <c r="K235" s="264">
        <v>659</v>
      </c>
      <c r="L235" s="265">
        <v>632</v>
      </c>
      <c r="M235" s="249">
        <v>0</v>
      </c>
      <c r="N235" s="200">
        <v>0</v>
      </c>
      <c r="O235" s="269"/>
      <c r="P235" s="263">
        <v>2037</v>
      </c>
      <c r="Q235" s="270">
        <v>2.1</v>
      </c>
      <c r="R235" s="267"/>
      <c r="S235" s="267"/>
      <c r="T235" s="267"/>
      <c r="U235" s="267"/>
      <c r="V235" s="267"/>
      <c r="W235" s="267"/>
      <c r="Y235" s="263">
        <v>2037</v>
      </c>
      <c r="Z235" s="270">
        <v>0</v>
      </c>
      <c r="AA235" s="267"/>
      <c r="AB235" s="267"/>
      <c r="AC235" s="267"/>
      <c r="AD235" s="267"/>
      <c r="AE235" s="267"/>
      <c r="AF235" s="267"/>
      <c r="AH235" s="263">
        <v>2037</v>
      </c>
      <c r="AI235" s="254">
        <v>-2.1</v>
      </c>
      <c r="AJ235" s="254" t="s">
        <v>82</v>
      </c>
      <c r="AK235" s="254" t="s">
        <v>82</v>
      </c>
      <c r="AL235" s="254" t="s">
        <v>82</v>
      </c>
      <c r="AM235" s="254" t="s">
        <v>82</v>
      </c>
      <c r="AN235" s="254" t="s">
        <v>82</v>
      </c>
      <c r="AO235" s="254" t="s">
        <v>82</v>
      </c>
    </row>
    <row r="236" spans="1:41" x14ac:dyDescent="0.2">
      <c r="A236" s="249">
        <v>232</v>
      </c>
      <c r="B236" s="195">
        <v>8</v>
      </c>
      <c r="C236" s="195" t="s">
        <v>248</v>
      </c>
      <c r="D236" s="195">
        <v>4</v>
      </c>
      <c r="E236" s="195" t="s">
        <v>257</v>
      </c>
      <c r="F236" s="196">
        <v>44328</v>
      </c>
      <c r="G236" s="250" t="s">
        <v>6</v>
      </c>
      <c r="H236" s="263">
        <v>2120</v>
      </c>
      <c r="I236" s="216" t="s">
        <v>258</v>
      </c>
      <c r="J236" s="264">
        <v>1815</v>
      </c>
      <c r="K236" s="264">
        <v>1859</v>
      </c>
      <c r="L236" s="265">
        <v>1834</v>
      </c>
      <c r="M236" s="249">
        <v>1</v>
      </c>
      <c r="N236" s="200">
        <v>0</v>
      </c>
      <c r="P236" s="263">
        <v>2120</v>
      </c>
      <c r="Q236" s="270">
        <v>2.1</v>
      </c>
      <c r="R236" s="270">
        <v>4.8</v>
      </c>
      <c r="S236" s="270">
        <v>4.5999999999999996</v>
      </c>
      <c r="T236" s="270">
        <v>0.2</v>
      </c>
      <c r="U236" s="270">
        <v>4.0999999999999996</v>
      </c>
      <c r="V236" s="270">
        <v>4.0999999999999996</v>
      </c>
      <c r="W236" s="270">
        <v>0</v>
      </c>
      <c r="Y236" s="263">
        <v>2120</v>
      </c>
      <c r="Z236" s="270">
        <v>0</v>
      </c>
      <c r="AA236" s="270">
        <v>4.5999999999999996</v>
      </c>
      <c r="AB236" s="270">
        <v>4.5999999999999996</v>
      </c>
      <c r="AC236" s="270">
        <v>0</v>
      </c>
      <c r="AD236" s="270">
        <v>4.0999999999999996</v>
      </c>
      <c r="AE236" s="270">
        <v>4.0999999999999996</v>
      </c>
      <c r="AF236" s="270">
        <v>0</v>
      </c>
      <c r="AH236" s="263">
        <v>2120</v>
      </c>
      <c r="AI236" s="254">
        <v>-2.1</v>
      </c>
      <c r="AJ236" s="254">
        <v>-0.20000000000000018</v>
      </c>
      <c r="AK236" s="254" t="s">
        <v>82</v>
      </c>
      <c r="AL236" s="254">
        <v>-0.2</v>
      </c>
      <c r="AM236" s="254" t="s">
        <v>82</v>
      </c>
      <c r="AN236" s="254" t="s">
        <v>82</v>
      </c>
      <c r="AO236" s="254" t="s">
        <v>82</v>
      </c>
    </row>
    <row r="237" spans="1:41" x14ac:dyDescent="0.2">
      <c r="A237" s="249">
        <v>233</v>
      </c>
      <c r="B237" s="195">
        <v>8</v>
      </c>
      <c r="C237" s="195" t="s">
        <v>248</v>
      </c>
      <c r="D237" s="195">
        <v>4</v>
      </c>
      <c r="E237" s="195" t="s">
        <v>257</v>
      </c>
      <c r="F237" s="196">
        <v>44331</v>
      </c>
      <c r="G237" s="250" t="s">
        <v>9</v>
      </c>
      <c r="H237" s="263">
        <v>2120</v>
      </c>
      <c r="I237" s="216" t="s">
        <v>259</v>
      </c>
      <c r="J237" s="264">
        <v>559</v>
      </c>
      <c r="K237" s="264">
        <v>759</v>
      </c>
      <c r="L237" s="265">
        <v>733</v>
      </c>
      <c r="M237" s="249">
        <v>1</v>
      </c>
      <c r="N237" s="200">
        <v>0</v>
      </c>
      <c r="O237" s="269"/>
      <c r="P237" s="263">
        <v>2120</v>
      </c>
      <c r="Q237" s="270">
        <v>18.899999999999999</v>
      </c>
      <c r="R237" s="270">
        <v>3.9</v>
      </c>
      <c r="S237" s="270">
        <v>3.2</v>
      </c>
      <c r="T237" s="270">
        <v>0.7</v>
      </c>
      <c r="U237" s="270">
        <v>4.5</v>
      </c>
      <c r="V237" s="270">
        <v>4.5</v>
      </c>
      <c r="W237" s="270">
        <v>0</v>
      </c>
      <c r="Y237" s="263">
        <v>2120</v>
      </c>
      <c r="Z237" s="270">
        <v>0</v>
      </c>
      <c r="AA237" s="270">
        <v>3.2</v>
      </c>
      <c r="AB237" s="270">
        <v>3.2</v>
      </c>
      <c r="AC237" s="270">
        <v>0</v>
      </c>
      <c r="AD237" s="270">
        <v>4.5</v>
      </c>
      <c r="AE237" s="270">
        <v>4.5</v>
      </c>
      <c r="AF237" s="270">
        <v>0</v>
      </c>
      <c r="AH237" s="263">
        <v>2120</v>
      </c>
      <c r="AI237" s="254">
        <v>-18.899999999999999</v>
      </c>
      <c r="AJ237" s="254">
        <v>-0.69999999999999973</v>
      </c>
      <c r="AK237" s="254" t="s">
        <v>82</v>
      </c>
      <c r="AL237" s="254">
        <v>-0.7</v>
      </c>
      <c r="AM237" s="254" t="s">
        <v>82</v>
      </c>
      <c r="AN237" s="254" t="s">
        <v>82</v>
      </c>
      <c r="AO237" s="254" t="s">
        <v>82</v>
      </c>
    </row>
    <row r="238" spans="1:41" x14ac:dyDescent="0.2">
      <c r="A238" s="249">
        <v>234</v>
      </c>
      <c r="B238" s="195">
        <v>8</v>
      </c>
      <c r="C238" s="195" t="s">
        <v>248</v>
      </c>
      <c r="D238" s="195">
        <v>5</v>
      </c>
      <c r="E238" s="195" t="s">
        <v>549</v>
      </c>
      <c r="F238" s="196">
        <v>44008</v>
      </c>
      <c r="G238" s="250" t="s">
        <v>8</v>
      </c>
      <c r="H238" s="263">
        <v>2026</v>
      </c>
      <c r="I238" s="216" t="s">
        <v>645</v>
      </c>
      <c r="J238" s="264">
        <v>2730</v>
      </c>
      <c r="K238" s="264">
        <v>2807</v>
      </c>
      <c r="L238" s="265">
        <v>2743</v>
      </c>
      <c r="M238" s="249">
        <v>0</v>
      </c>
      <c r="N238" s="200">
        <v>0</v>
      </c>
      <c r="O238" s="269"/>
      <c r="P238" s="263">
        <v>2026</v>
      </c>
      <c r="Q238" s="270">
        <v>3.8</v>
      </c>
      <c r="R238" s="267"/>
      <c r="S238" s="267"/>
      <c r="T238" s="267"/>
      <c r="U238" s="267"/>
      <c r="V238" s="267"/>
      <c r="W238" s="267"/>
      <c r="Y238" s="263">
        <v>2026</v>
      </c>
      <c r="Z238" s="270">
        <v>0</v>
      </c>
      <c r="AA238" s="267"/>
      <c r="AB238" s="267"/>
      <c r="AC238" s="267"/>
      <c r="AD238" s="267"/>
      <c r="AE238" s="267"/>
      <c r="AF238" s="267"/>
      <c r="AH238" s="263">
        <v>2026</v>
      </c>
      <c r="AI238" s="254">
        <v>-3.8</v>
      </c>
      <c r="AJ238" s="254" t="s">
        <v>82</v>
      </c>
      <c r="AK238" s="254" t="s">
        <v>82</v>
      </c>
      <c r="AL238" s="254" t="s">
        <v>82</v>
      </c>
      <c r="AM238" s="254" t="s">
        <v>82</v>
      </c>
      <c r="AN238" s="254" t="s">
        <v>82</v>
      </c>
      <c r="AO238" s="254" t="s">
        <v>82</v>
      </c>
    </row>
    <row r="239" spans="1:41" x14ac:dyDescent="0.2">
      <c r="A239" s="249">
        <v>235</v>
      </c>
      <c r="B239" s="195">
        <v>8</v>
      </c>
      <c r="C239" s="195" t="s">
        <v>248</v>
      </c>
      <c r="D239" s="195">
        <v>5</v>
      </c>
      <c r="E239" s="195" t="s">
        <v>549</v>
      </c>
      <c r="F239" s="196">
        <v>44081</v>
      </c>
      <c r="G239" s="250" t="s">
        <v>4</v>
      </c>
      <c r="H239" s="263">
        <v>2037</v>
      </c>
      <c r="I239" s="216" t="s">
        <v>646</v>
      </c>
      <c r="J239" s="264">
        <v>815</v>
      </c>
      <c r="K239" s="264">
        <v>859</v>
      </c>
      <c r="L239" s="265">
        <v>819</v>
      </c>
      <c r="M239" s="249">
        <v>0</v>
      </c>
      <c r="N239" s="200">
        <v>0</v>
      </c>
      <c r="O239" s="269"/>
      <c r="P239" s="263">
        <v>2037</v>
      </c>
      <c r="Q239" s="270">
        <v>9.1</v>
      </c>
      <c r="R239" s="267"/>
      <c r="S239" s="267"/>
      <c r="T239" s="267"/>
      <c r="U239" s="267"/>
      <c r="V239" s="267"/>
      <c r="W239" s="267"/>
      <c r="Y239" s="263">
        <v>2037</v>
      </c>
      <c r="Z239" s="270">
        <v>0.4</v>
      </c>
      <c r="AA239" s="267"/>
      <c r="AB239" s="267"/>
      <c r="AC239" s="267"/>
      <c r="AD239" s="267"/>
      <c r="AE239" s="267"/>
      <c r="AF239" s="267"/>
      <c r="AH239" s="263">
        <v>2037</v>
      </c>
      <c r="AI239" s="254">
        <v>-8.6999999999999993</v>
      </c>
      <c r="AJ239" s="254" t="s">
        <v>82</v>
      </c>
      <c r="AK239" s="254" t="s">
        <v>82</v>
      </c>
      <c r="AL239" s="254" t="s">
        <v>82</v>
      </c>
      <c r="AM239" s="254" t="s">
        <v>82</v>
      </c>
      <c r="AN239" s="254" t="s">
        <v>82</v>
      </c>
      <c r="AO239" s="254" t="s">
        <v>82</v>
      </c>
    </row>
    <row r="240" spans="1:41" x14ac:dyDescent="0.2">
      <c r="A240" s="249">
        <v>236</v>
      </c>
      <c r="B240" s="195">
        <v>8</v>
      </c>
      <c r="C240" s="195" t="s">
        <v>248</v>
      </c>
      <c r="D240" s="195">
        <v>5</v>
      </c>
      <c r="E240" s="195" t="s">
        <v>549</v>
      </c>
      <c r="F240" s="196">
        <v>44346</v>
      </c>
      <c r="G240" s="250" t="s">
        <v>10</v>
      </c>
      <c r="H240" s="263">
        <v>2122</v>
      </c>
      <c r="I240" s="216" t="s">
        <v>647</v>
      </c>
      <c r="J240" s="264">
        <v>2100</v>
      </c>
      <c r="K240" s="264">
        <v>2149</v>
      </c>
      <c r="L240" s="265">
        <v>2137</v>
      </c>
      <c r="M240" s="249">
        <v>0</v>
      </c>
      <c r="N240" s="200">
        <v>0</v>
      </c>
      <c r="P240" s="263">
        <v>2122</v>
      </c>
      <c r="Q240" s="270">
        <v>5.6</v>
      </c>
      <c r="R240" s="267"/>
      <c r="S240" s="267"/>
      <c r="T240" s="267"/>
      <c r="U240" s="267"/>
      <c r="V240" s="267"/>
      <c r="W240" s="267"/>
      <c r="Y240" s="263">
        <v>2122</v>
      </c>
      <c r="Z240" s="270">
        <v>0</v>
      </c>
      <c r="AA240" s="267"/>
      <c r="AB240" s="267"/>
      <c r="AC240" s="267"/>
      <c r="AD240" s="267"/>
      <c r="AE240" s="267"/>
      <c r="AF240" s="267"/>
      <c r="AH240" s="263">
        <v>2122</v>
      </c>
      <c r="AI240" s="254">
        <v>-5.6</v>
      </c>
      <c r="AJ240" s="254" t="s">
        <v>82</v>
      </c>
      <c r="AK240" s="254" t="s">
        <v>82</v>
      </c>
      <c r="AL240" s="254" t="s">
        <v>82</v>
      </c>
      <c r="AM240" s="254" t="s">
        <v>82</v>
      </c>
      <c r="AN240" s="254" t="s">
        <v>82</v>
      </c>
      <c r="AO240" s="254" t="s">
        <v>82</v>
      </c>
    </row>
    <row r="241" spans="1:41" x14ac:dyDescent="0.2">
      <c r="A241" s="249">
        <v>237</v>
      </c>
      <c r="B241" s="195">
        <v>9</v>
      </c>
      <c r="C241" s="195" t="s">
        <v>260</v>
      </c>
      <c r="D241" s="195">
        <v>1</v>
      </c>
      <c r="E241" s="195" t="s">
        <v>261</v>
      </c>
      <c r="F241" s="196">
        <v>44248</v>
      </c>
      <c r="G241" s="250" t="s">
        <v>10</v>
      </c>
      <c r="H241" s="263">
        <v>2108</v>
      </c>
      <c r="I241" s="216" t="s">
        <v>648</v>
      </c>
      <c r="J241" s="264">
        <v>2530</v>
      </c>
      <c r="K241" s="264">
        <v>2624</v>
      </c>
      <c r="L241" s="265">
        <v>2547</v>
      </c>
      <c r="M241" s="249">
        <v>0</v>
      </c>
      <c r="N241" s="200">
        <v>0</v>
      </c>
      <c r="O241" s="269"/>
      <c r="P241" s="263">
        <v>2108</v>
      </c>
      <c r="Q241" s="270">
        <v>19.8</v>
      </c>
      <c r="R241" s="267"/>
      <c r="S241" s="267"/>
      <c r="T241" s="267"/>
      <c r="U241" s="267"/>
      <c r="V241" s="267"/>
      <c r="W241" s="267"/>
      <c r="Y241" s="263">
        <v>2108</v>
      </c>
      <c r="Z241" s="270">
        <v>0</v>
      </c>
      <c r="AA241" s="267"/>
      <c r="AB241" s="267"/>
      <c r="AC241" s="267"/>
      <c r="AD241" s="267"/>
      <c r="AE241" s="267"/>
      <c r="AF241" s="267"/>
      <c r="AH241" s="263">
        <v>2108</v>
      </c>
      <c r="AI241" s="254">
        <v>-19.8</v>
      </c>
      <c r="AJ241" s="254" t="s">
        <v>82</v>
      </c>
      <c r="AK241" s="254" t="s">
        <v>82</v>
      </c>
      <c r="AL241" s="254" t="s">
        <v>82</v>
      </c>
      <c r="AM241" s="254" t="s">
        <v>82</v>
      </c>
      <c r="AN241" s="254" t="s">
        <v>82</v>
      </c>
      <c r="AO241" s="254" t="s">
        <v>82</v>
      </c>
    </row>
    <row r="242" spans="1:41" x14ac:dyDescent="0.2">
      <c r="A242" s="249">
        <v>238</v>
      </c>
      <c r="B242" s="195">
        <v>9</v>
      </c>
      <c r="C242" s="195" t="s">
        <v>260</v>
      </c>
      <c r="D242" s="195">
        <v>1</v>
      </c>
      <c r="E242" s="195" t="s">
        <v>261</v>
      </c>
      <c r="F242" s="196">
        <v>44337</v>
      </c>
      <c r="G242" s="250" t="s">
        <v>8</v>
      </c>
      <c r="H242" s="263">
        <v>2121</v>
      </c>
      <c r="I242" s="216" t="s">
        <v>649</v>
      </c>
      <c r="J242" s="264">
        <v>1355</v>
      </c>
      <c r="K242" s="264">
        <v>1542</v>
      </c>
      <c r="L242" s="265">
        <v>1512</v>
      </c>
      <c r="M242" s="249">
        <v>1</v>
      </c>
      <c r="N242" s="200">
        <v>0</v>
      </c>
      <c r="O242" s="269"/>
      <c r="P242" s="263">
        <v>2121</v>
      </c>
      <c r="Q242" s="270">
        <v>8.8000000000000007</v>
      </c>
      <c r="R242" s="270">
        <v>2.2999999999999998</v>
      </c>
      <c r="S242" s="270">
        <v>1.9</v>
      </c>
      <c r="T242" s="270">
        <v>0.4</v>
      </c>
      <c r="U242" s="270">
        <v>2.5</v>
      </c>
      <c r="V242" s="270">
        <v>2.5</v>
      </c>
      <c r="W242" s="270">
        <v>0</v>
      </c>
      <c r="Y242" s="263">
        <v>2121</v>
      </c>
      <c r="Z242" s="270">
        <v>0</v>
      </c>
      <c r="AA242" s="270">
        <v>1.9</v>
      </c>
      <c r="AB242" s="270">
        <v>1.9</v>
      </c>
      <c r="AC242" s="270">
        <v>0</v>
      </c>
      <c r="AD242" s="270">
        <v>2.5</v>
      </c>
      <c r="AE242" s="270">
        <v>2.5</v>
      </c>
      <c r="AF242" s="270">
        <v>0</v>
      </c>
      <c r="AH242" s="263">
        <v>2121</v>
      </c>
      <c r="AI242" s="254">
        <v>-8.8000000000000007</v>
      </c>
      <c r="AJ242" s="254">
        <v>-0.39999999999999991</v>
      </c>
      <c r="AK242" s="254" t="s">
        <v>82</v>
      </c>
      <c r="AL242" s="254">
        <v>-0.4</v>
      </c>
      <c r="AM242" s="254" t="s">
        <v>82</v>
      </c>
      <c r="AN242" s="254" t="s">
        <v>82</v>
      </c>
      <c r="AO242" s="254" t="s">
        <v>82</v>
      </c>
    </row>
    <row r="243" spans="1:41" x14ac:dyDescent="0.2">
      <c r="A243" s="249">
        <v>239</v>
      </c>
      <c r="B243" s="195">
        <v>9</v>
      </c>
      <c r="C243" s="195" t="s">
        <v>260</v>
      </c>
      <c r="D243" s="195">
        <v>1</v>
      </c>
      <c r="E243" s="195" t="s">
        <v>261</v>
      </c>
      <c r="F243" s="196">
        <v>44559</v>
      </c>
      <c r="G243" s="250" t="s">
        <v>6</v>
      </c>
      <c r="H243" s="271">
        <v>2201</v>
      </c>
      <c r="I243" s="216" t="s">
        <v>650</v>
      </c>
      <c r="J243" s="264">
        <v>2100</v>
      </c>
      <c r="K243" s="264">
        <v>2326</v>
      </c>
      <c r="L243" s="265">
        <v>2125</v>
      </c>
      <c r="M243" s="249">
        <v>0</v>
      </c>
      <c r="N243" s="200">
        <v>0</v>
      </c>
      <c r="O243" s="269"/>
      <c r="P243" s="263">
        <v>2201</v>
      </c>
      <c r="Q243" s="270">
        <v>13.9</v>
      </c>
      <c r="R243" s="267"/>
      <c r="S243" s="267"/>
      <c r="T243" s="267"/>
      <c r="U243" s="267"/>
      <c r="V243" s="267"/>
      <c r="W243" s="267"/>
      <c r="Y243" s="263">
        <v>2201</v>
      </c>
      <c r="Z243" s="270">
        <v>2.2999999999999998</v>
      </c>
      <c r="AA243" s="267"/>
      <c r="AB243" s="267"/>
      <c r="AC243" s="267"/>
      <c r="AD243" s="267"/>
      <c r="AE243" s="267"/>
      <c r="AF243" s="267"/>
      <c r="AH243" s="263">
        <v>2201</v>
      </c>
      <c r="AI243" s="254">
        <v>-11.600000000000001</v>
      </c>
      <c r="AJ243" s="254" t="s">
        <v>82</v>
      </c>
      <c r="AK243" s="254" t="s">
        <v>82</v>
      </c>
      <c r="AL243" s="254" t="s">
        <v>82</v>
      </c>
      <c r="AM243" s="254" t="s">
        <v>82</v>
      </c>
      <c r="AN243" s="254" t="s">
        <v>82</v>
      </c>
      <c r="AO243" s="254" t="s">
        <v>82</v>
      </c>
    </row>
    <row r="244" spans="1:41" x14ac:dyDescent="0.2">
      <c r="A244" s="249">
        <v>240</v>
      </c>
      <c r="B244" s="195">
        <v>9</v>
      </c>
      <c r="C244" s="195" t="s">
        <v>260</v>
      </c>
      <c r="D244" s="195">
        <v>1</v>
      </c>
      <c r="E244" s="195" t="s">
        <v>261</v>
      </c>
      <c r="F244" s="196">
        <v>44635</v>
      </c>
      <c r="G244" s="250" t="s">
        <v>5</v>
      </c>
      <c r="H244" s="263">
        <v>2212</v>
      </c>
      <c r="I244" s="216" t="s">
        <v>651</v>
      </c>
      <c r="J244" s="264">
        <v>1155</v>
      </c>
      <c r="K244" s="264">
        <v>1354</v>
      </c>
      <c r="L244" s="265">
        <v>1348</v>
      </c>
      <c r="M244" s="249">
        <v>1</v>
      </c>
      <c r="N244" s="200">
        <v>0</v>
      </c>
      <c r="O244" s="269"/>
      <c r="P244" s="263">
        <v>2212</v>
      </c>
      <c r="Q244" s="270">
        <v>2.2000000000000002</v>
      </c>
      <c r="R244" s="270">
        <v>2.9</v>
      </c>
      <c r="S244" s="270">
        <v>2.8</v>
      </c>
      <c r="T244" s="270">
        <v>0.1</v>
      </c>
      <c r="U244" s="270">
        <v>2.2000000000000002</v>
      </c>
      <c r="V244" s="270">
        <v>2.2000000000000002</v>
      </c>
      <c r="W244" s="270" t="s">
        <v>84</v>
      </c>
      <c r="Y244" s="263">
        <v>2212</v>
      </c>
      <c r="Z244" s="270">
        <v>0</v>
      </c>
      <c r="AA244" s="270">
        <v>2.8</v>
      </c>
      <c r="AB244" s="270">
        <v>2.8</v>
      </c>
      <c r="AC244" s="270">
        <v>0</v>
      </c>
      <c r="AD244" s="270">
        <v>2.2000000000000002</v>
      </c>
      <c r="AE244" s="270">
        <v>2.2000000000000002</v>
      </c>
      <c r="AF244" s="270" t="s">
        <v>84</v>
      </c>
      <c r="AH244" s="263">
        <v>2212</v>
      </c>
      <c r="AI244" s="254">
        <v>-2.2000000000000002</v>
      </c>
      <c r="AJ244" s="254">
        <v>-0.10000000000000009</v>
      </c>
      <c r="AK244" s="254" t="s">
        <v>82</v>
      </c>
      <c r="AL244" s="254">
        <v>-0.1</v>
      </c>
      <c r="AM244" s="254" t="s">
        <v>82</v>
      </c>
      <c r="AN244" s="254" t="s">
        <v>82</v>
      </c>
      <c r="AO244" s="254" t="s">
        <v>82</v>
      </c>
    </row>
    <row r="245" spans="1:41" x14ac:dyDescent="0.2">
      <c r="A245" s="249">
        <v>241</v>
      </c>
      <c r="B245" s="195">
        <v>9</v>
      </c>
      <c r="C245" s="195" t="s">
        <v>260</v>
      </c>
      <c r="D245" s="195">
        <v>2</v>
      </c>
      <c r="E245" s="195" t="s">
        <v>264</v>
      </c>
      <c r="F245" s="196">
        <v>43948</v>
      </c>
      <c r="G245" s="250" t="s">
        <v>4</v>
      </c>
      <c r="H245" s="263">
        <v>2018</v>
      </c>
      <c r="I245" s="216" t="s">
        <v>652</v>
      </c>
      <c r="J245" s="264">
        <v>1650</v>
      </c>
      <c r="K245" s="264">
        <v>1752</v>
      </c>
      <c r="L245" s="265">
        <v>1652</v>
      </c>
      <c r="M245" s="249">
        <v>1</v>
      </c>
      <c r="N245" s="200">
        <v>0</v>
      </c>
      <c r="O245" s="269"/>
      <c r="P245" s="263">
        <v>2018</v>
      </c>
      <c r="Q245" s="270">
        <v>3.3</v>
      </c>
      <c r="R245" s="270">
        <v>3.4</v>
      </c>
      <c r="S245" s="270">
        <v>3.1</v>
      </c>
      <c r="T245" s="270">
        <v>0.3</v>
      </c>
      <c r="U245" s="270">
        <v>4.3</v>
      </c>
      <c r="V245" s="270">
        <v>4.3</v>
      </c>
      <c r="W245" s="270" t="s">
        <v>84</v>
      </c>
      <c r="Y245" s="263">
        <v>2018</v>
      </c>
      <c r="Z245" s="270">
        <v>0</v>
      </c>
      <c r="AA245" s="270">
        <v>3.1</v>
      </c>
      <c r="AB245" s="270">
        <v>3.1</v>
      </c>
      <c r="AC245" s="270">
        <v>0</v>
      </c>
      <c r="AD245" s="270">
        <v>4.3</v>
      </c>
      <c r="AE245" s="270">
        <v>4.3</v>
      </c>
      <c r="AF245" s="270" t="s">
        <v>84</v>
      </c>
      <c r="AH245" s="263">
        <v>2018</v>
      </c>
      <c r="AI245" s="254">
        <v>-3.3</v>
      </c>
      <c r="AJ245" s="254">
        <v>-0.29999999999999982</v>
      </c>
      <c r="AK245" s="254" t="s">
        <v>82</v>
      </c>
      <c r="AL245" s="254">
        <v>-0.3</v>
      </c>
      <c r="AM245" s="254" t="s">
        <v>82</v>
      </c>
      <c r="AN245" s="254" t="s">
        <v>82</v>
      </c>
      <c r="AO245" s="254" t="s">
        <v>82</v>
      </c>
    </row>
    <row r="246" spans="1:41" x14ac:dyDescent="0.2">
      <c r="A246" s="249">
        <v>242</v>
      </c>
      <c r="B246" s="195">
        <v>9</v>
      </c>
      <c r="C246" s="195" t="s">
        <v>260</v>
      </c>
      <c r="D246" s="195">
        <v>2</v>
      </c>
      <c r="E246" s="195" t="s">
        <v>264</v>
      </c>
      <c r="F246" s="196">
        <v>44266</v>
      </c>
      <c r="G246" s="250" t="s">
        <v>7</v>
      </c>
      <c r="H246" s="263">
        <v>2111</v>
      </c>
      <c r="I246" s="216" t="s">
        <v>653</v>
      </c>
      <c r="J246" s="264">
        <v>1748</v>
      </c>
      <c r="K246" s="264">
        <v>1859</v>
      </c>
      <c r="L246" s="265">
        <v>1847</v>
      </c>
      <c r="M246" s="249">
        <v>0</v>
      </c>
      <c r="N246" s="200">
        <v>0</v>
      </c>
      <c r="O246" s="269"/>
      <c r="P246" s="263">
        <v>2111</v>
      </c>
      <c r="Q246" s="270">
        <v>50.7</v>
      </c>
      <c r="R246" s="267"/>
      <c r="S246" s="267"/>
      <c r="T246" s="267"/>
      <c r="U246" s="267"/>
      <c r="V246" s="267"/>
      <c r="W246" s="267"/>
      <c r="Y246" s="263">
        <v>2111</v>
      </c>
      <c r="Z246" s="270">
        <v>0</v>
      </c>
      <c r="AA246" s="267"/>
      <c r="AB246" s="267"/>
      <c r="AC246" s="267"/>
      <c r="AD246" s="267"/>
      <c r="AE246" s="267"/>
      <c r="AF246" s="267"/>
      <c r="AH246" s="263">
        <v>2111</v>
      </c>
      <c r="AI246" s="254">
        <v>-50.7</v>
      </c>
      <c r="AJ246" s="254" t="s">
        <v>82</v>
      </c>
      <c r="AK246" s="254" t="s">
        <v>82</v>
      </c>
      <c r="AL246" s="254" t="s">
        <v>82</v>
      </c>
      <c r="AM246" s="254" t="s">
        <v>82</v>
      </c>
      <c r="AN246" s="254" t="s">
        <v>82</v>
      </c>
      <c r="AO246" s="254" t="s">
        <v>82</v>
      </c>
    </row>
    <row r="247" spans="1:41" x14ac:dyDescent="0.2">
      <c r="A247" s="249">
        <v>243</v>
      </c>
      <c r="B247" s="195">
        <v>9</v>
      </c>
      <c r="C247" s="195" t="s">
        <v>260</v>
      </c>
      <c r="D247" s="195">
        <v>2</v>
      </c>
      <c r="E247" s="195" t="s">
        <v>264</v>
      </c>
      <c r="F247" s="196">
        <v>44274</v>
      </c>
      <c r="G247" s="250" t="s">
        <v>8</v>
      </c>
      <c r="H247" s="263">
        <v>2112</v>
      </c>
      <c r="I247" s="216" t="s">
        <v>654</v>
      </c>
      <c r="J247" s="264">
        <v>2600</v>
      </c>
      <c r="K247" s="264">
        <v>2654</v>
      </c>
      <c r="L247" s="265">
        <v>2617</v>
      </c>
      <c r="M247" s="249">
        <v>0</v>
      </c>
      <c r="N247" s="200">
        <v>0</v>
      </c>
      <c r="O247" s="269"/>
      <c r="P247" s="263">
        <v>2112</v>
      </c>
      <c r="Q247" s="270">
        <v>17.3</v>
      </c>
      <c r="R247" s="267"/>
      <c r="S247" s="267"/>
      <c r="T247" s="267"/>
      <c r="U247" s="267"/>
      <c r="V247" s="267"/>
      <c r="W247" s="267"/>
      <c r="Y247" s="263">
        <v>2112</v>
      </c>
      <c r="Z247" s="270">
        <v>0</v>
      </c>
      <c r="AA247" s="267"/>
      <c r="AB247" s="267"/>
      <c r="AC247" s="267"/>
      <c r="AD247" s="267"/>
      <c r="AE247" s="267"/>
      <c r="AF247" s="267"/>
      <c r="AH247" s="263">
        <v>2112</v>
      </c>
      <c r="AI247" s="254">
        <v>-17.3</v>
      </c>
      <c r="AJ247" s="254" t="s">
        <v>82</v>
      </c>
      <c r="AK247" s="254" t="s">
        <v>82</v>
      </c>
      <c r="AL247" s="254" t="s">
        <v>82</v>
      </c>
      <c r="AM247" s="254" t="s">
        <v>82</v>
      </c>
      <c r="AN247" s="254" t="s">
        <v>82</v>
      </c>
      <c r="AO247" s="254" t="s">
        <v>82</v>
      </c>
    </row>
    <row r="248" spans="1:41" x14ac:dyDescent="0.2">
      <c r="A248" s="249">
        <v>244</v>
      </c>
      <c r="B248" s="195">
        <v>9</v>
      </c>
      <c r="C248" s="195" t="s">
        <v>260</v>
      </c>
      <c r="D248" s="195">
        <v>2</v>
      </c>
      <c r="E248" s="195" t="s">
        <v>264</v>
      </c>
      <c r="F248" s="196">
        <v>44422</v>
      </c>
      <c r="G248" s="250" t="s">
        <v>9</v>
      </c>
      <c r="H248" s="263">
        <v>2133</v>
      </c>
      <c r="I248" s="216" t="s">
        <v>655</v>
      </c>
      <c r="J248" s="264">
        <v>1325</v>
      </c>
      <c r="K248" s="264">
        <v>1424</v>
      </c>
      <c r="L248" s="265">
        <v>1357</v>
      </c>
      <c r="M248" s="249">
        <v>1</v>
      </c>
      <c r="N248" s="200">
        <v>0</v>
      </c>
      <c r="O248" s="269"/>
      <c r="P248" s="263">
        <v>2133</v>
      </c>
      <c r="Q248" s="270">
        <v>3.8</v>
      </c>
      <c r="R248" s="270">
        <v>5.2</v>
      </c>
      <c r="S248" s="270">
        <v>4.5999999999999996</v>
      </c>
      <c r="T248" s="270">
        <v>0.6</v>
      </c>
      <c r="U248" s="270">
        <v>3.1</v>
      </c>
      <c r="V248" s="270">
        <v>2.9</v>
      </c>
      <c r="W248" s="270">
        <v>0.2</v>
      </c>
      <c r="Y248" s="263">
        <v>2133</v>
      </c>
      <c r="Z248" s="270">
        <v>0.6</v>
      </c>
      <c r="AA248" s="270">
        <v>5</v>
      </c>
      <c r="AB248" s="270">
        <v>4.5999999999999996</v>
      </c>
      <c r="AC248" s="270">
        <v>0.4</v>
      </c>
      <c r="AD248" s="270">
        <v>3.1</v>
      </c>
      <c r="AE248" s="270">
        <v>2.9</v>
      </c>
      <c r="AF248" s="270">
        <v>0.2</v>
      </c>
      <c r="AH248" s="263">
        <v>2133</v>
      </c>
      <c r="AI248" s="254">
        <v>-3.1999999999999997</v>
      </c>
      <c r="AJ248" s="254">
        <v>-0.20000000000000018</v>
      </c>
      <c r="AK248" s="254" t="s">
        <v>82</v>
      </c>
      <c r="AL248" s="254">
        <v>-0.19999999999999996</v>
      </c>
      <c r="AM248" s="254" t="s">
        <v>82</v>
      </c>
      <c r="AN248" s="254" t="s">
        <v>82</v>
      </c>
      <c r="AO248" s="254" t="s">
        <v>82</v>
      </c>
    </row>
    <row r="249" spans="1:41" x14ac:dyDescent="0.2">
      <c r="A249" s="249">
        <v>245</v>
      </c>
      <c r="B249" s="195">
        <v>9</v>
      </c>
      <c r="C249" s="195" t="s">
        <v>260</v>
      </c>
      <c r="D249" s="195">
        <v>2</v>
      </c>
      <c r="E249" s="195" t="s">
        <v>264</v>
      </c>
      <c r="F249" s="196">
        <v>44456</v>
      </c>
      <c r="G249" s="250" t="s">
        <v>8</v>
      </c>
      <c r="H249" s="263">
        <v>2138</v>
      </c>
      <c r="I249" s="216" t="s">
        <v>656</v>
      </c>
      <c r="J249" s="264">
        <v>800</v>
      </c>
      <c r="K249" s="264">
        <v>949</v>
      </c>
      <c r="L249" s="265">
        <v>811</v>
      </c>
      <c r="M249" s="249">
        <v>1</v>
      </c>
      <c r="N249" s="200">
        <v>0</v>
      </c>
      <c r="O249" s="269"/>
      <c r="P249" s="263">
        <v>2138</v>
      </c>
      <c r="Q249" s="270">
        <v>7.3</v>
      </c>
      <c r="R249" s="270">
        <v>4</v>
      </c>
      <c r="S249" s="270">
        <v>3.7</v>
      </c>
      <c r="T249" s="270">
        <v>0.3</v>
      </c>
      <c r="U249" s="270">
        <v>1.5</v>
      </c>
      <c r="V249" s="270">
        <v>1.5</v>
      </c>
      <c r="W249" s="270">
        <v>0</v>
      </c>
      <c r="Y249" s="263">
        <v>2138</v>
      </c>
      <c r="Z249" s="270">
        <v>0</v>
      </c>
      <c r="AA249" s="270">
        <v>3.7</v>
      </c>
      <c r="AB249" s="270">
        <v>3.7</v>
      </c>
      <c r="AC249" s="270">
        <v>0</v>
      </c>
      <c r="AD249" s="270">
        <v>1.5</v>
      </c>
      <c r="AE249" s="270">
        <v>1.5</v>
      </c>
      <c r="AF249" s="270">
        <v>0</v>
      </c>
      <c r="AH249" s="263">
        <v>2138</v>
      </c>
      <c r="AI249" s="254">
        <v>-7.3</v>
      </c>
      <c r="AJ249" s="254">
        <v>-0.29999999999999982</v>
      </c>
      <c r="AK249" s="254" t="s">
        <v>82</v>
      </c>
      <c r="AL249" s="254">
        <v>-0.3</v>
      </c>
      <c r="AM249" s="254" t="s">
        <v>82</v>
      </c>
      <c r="AN249" s="254" t="s">
        <v>82</v>
      </c>
      <c r="AO249" s="254" t="s">
        <v>82</v>
      </c>
    </row>
    <row r="250" spans="1:41" x14ac:dyDescent="0.2">
      <c r="A250" s="249">
        <v>246</v>
      </c>
      <c r="B250" s="195">
        <v>9</v>
      </c>
      <c r="C250" s="195" t="s">
        <v>260</v>
      </c>
      <c r="D250" s="195">
        <v>3</v>
      </c>
      <c r="E250" s="195" t="s">
        <v>267</v>
      </c>
      <c r="F250" s="196">
        <v>44062</v>
      </c>
      <c r="G250" s="250" t="s">
        <v>6</v>
      </c>
      <c r="H250" s="263">
        <v>2034</v>
      </c>
      <c r="I250" s="216" t="s">
        <v>657</v>
      </c>
      <c r="J250" s="264">
        <v>2300</v>
      </c>
      <c r="K250" s="264">
        <v>2358</v>
      </c>
      <c r="L250" s="265">
        <v>2317</v>
      </c>
      <c r="M250" s="249">
        <v>0</v>
      </c>
      <c r="N250" s="200">
        <v>0</v>
      </c>
      <c r="O250" s="269"/>
      <c r="P250" s="263">
        <v>2034</v>
      </c>
      <c r="Q250" s="270">
        <v>11.4</v>
      </c>
      <c r="R250" s="267"/>
      <c r="S250" s="267"/>
      <c r="T250" s="267"/>
      <c r="U250" s="267"/>
      <c r="V250" s="267"/>
      <c r="W250" s="267"/>
      <c r="Y250" s="263">
        <v>2034</v>
      </c>
      <c r="Z250" s="270">
        <v>0</v>
      </c>
      <c r="AA250" s="267"/>
      <c r="AB250" s="267"/>
      <c r="AC250" s="267"/>
      <c r="AD250" s="267"/>
      <c r="AE250" s="267"/>
      <c r="AF250" s="267"/>
      <c r="AH250" s="263">
        <v>2034</v>
      </c>
      <c r="AI250" s="254">
        <v>-11.4</v>
      </c>
      <c r="AJ250" s="254" t="s">
        <v>82</v>
      </c>
      <c r="AK250" s="254" t="s">
        <v>82</v>
      </c>
      <c r="AL250" s="254" t="s">
        <v>82</v>
      </c>
      <c r="AM250" s="254" t="s">
        <v>82</v>
      </c>
      <c r="AN250" s="254" t="s">
        <v>82</v>
      </c>
      <c r="AO250" s="254" t="s">
        <v>82</v>
      </c>
    </row>
    <row r="251" spans="1:41" x14ac:dyDescent="0.2">
      <c r="A251" s="249">
        <v>247</v>
      </c>
      <c r="B251" s="195">
        <v>9</v>
      </c>
      <c r="C251" s="195" t="s">
        <v>260</v>
      </c>
      <c r="D251" s="195">
        <v>3</v>
      </c>
      <c r="E251" s="195" t="s">
        <v>267</v>
      </c>
      <c r="F251" s="196">
        <v>44536</v>
      </c>
      <c r="G251" s="250" t="s">
        <v>4</v>
      </c>
      <c r="H251" s="263">
        <v>2150</v>
      </c>
      <c r="I251" s="216" t="s">
        <v>658</v>
      </c>
      <c r="J251" s="264">
        <v>1550</v>
      </c>
      <c r="K251" s="264">
        <v>1649</v>
      </c>
      <c r="L251" s="265">
        <v>1642</v>
      </c>
      <c r="M251" s="249">
        <v>1</v>
      </c>
      <c r="N251" s="200">
        <v>0</v>
      </c>
      <c r="P251" s="263">
        <v>2150</v>
      </c>
      <c r="Q251" s="270">
        <v>2.9</v>
      </c>
      <c r="R251" s="270">
        <v>3.2</v>
      </c>
      <c r="S251" s="270">
        <v>3</v>
      </c>
      <c r="T251" s="270">
        <v>0.2</v>
      </c>
      <c r="U251" s="270">
        <v>4.3</v>
      </c>
      <c r="V251" s="270">
        <v>4.3</v>
      </c>
      <c r="W251" s="270" t="s">
        <v>84</v>
      </c>
      <c r="Y251" s="263">
        <v>2150</v>
      </c>
      <c r="Z251" s="270">
        <v>0</v>
      </c>
      <c r="AA251" s="270">
        <v>3</v>
      </c>
      <c r="AB251" s="270">
        <v>3</v>
      </c>
      <c r="AC251" s="270">
        <v>0</v>
      </c>
      <c r="AD251" s="270">
        <v>4.3</v>
      </c>
      <c r="AE251" s="270">
        <v>4.3</v>
      </c>
      <c r="AF251" s="270" t="s">
        <v>84</v>
      </c>
      <c r="AH251" s="263">
        <v>2150</v>
      </c>
      <c r="AI251" s="254">
        <v>-2.9</v>
      </c>
      <c r="AJ251" s="254">
        <v>-0.20000000000000018</v>
      </c>
      <c r="AK251" s="254" t="s">
        <v>82</v>
      </c>
      <c r="AL251" s="254">
        <v>-0.2</v>
      </c>
      <c r="AM251" s="254" t="s">
        <v>82</v>
      </c>
      <c r="AN251" s="254" t="s">
        <v>82</v>
      </c>
      <c r="AO251" s="254" t="s">
        <v>82</v>
      </c>
    </row>
    <row r="252" spans="1:41" x14ac:dyDescent="0.2">
      <c r="A252" s="249">
        <v>248</v>
      </c>
      <c r="B252" s="195">
        <v>9</v>
      </c>
      <c r="C252" s="195" t="s">
        <v>260</v>
      </c>
      <c r="D252" s="195">
        <v>3</v>
      </c>
      <c r="E252" s="195" t="s">
        <v>267</v>
      </c>
      <c r="F252" s="196">
        <v>44546</v>
      </c>
      <c r="G252" s="250" t="s">
        <v>7</v>
      </c>
      <c r="H252" s="263">
        <v>2151</v>
      </c>
      <c r="I252" s="216" t="s">
        <v>659</v>
      </c>
      <c r="J252" s="264">
        <v>1753</v>
      </c>
      <c r="K252" s="264">
        <v>1814</v>
      </c>
      <c r="L252" s="265">
        <v>1808</v>
      </c>
      <c r="M252" s="249">
        <v>1</v>
      </c>
      <c r="N252" s="200">
        <v>0</v>
      </c>
      <c r="P252" s="263">
        <v>2151</v>
      </c>
      <c r="Q252" s="270">
        <v>1.9</v>
      </c>
      <c r="R252" s="270">
        <v>4.5</v>
      </c>
      <c r="S252" s="270">
        <v>4</v>
      </c>
      <c r="T252" s="270">
        <v>0.5</v>
      </c>
      <c r="U252" s="270">
        <v>5.0999999999999996</v>
      </c>
      <c r="V252" s="270">
        <v>5.0999999999999996</v>
      </c>
      <c r="W252" s="270" t="s">
        <v>84</v>
      </c>
      <c r="Y252" s="263">
        <v>2151</v>
      </c>
      <c r="Z252" s="270">
        <v>0</v>
      </c>
      <c r="AA252" s="270">
        <v>4</v>
      </c>
      <c r="AB252" s="270">
        <v>4</v>
      </c>
      <c r="AC252" s="270">
        <v>0</v>
      </c>
      <c r="AD252" s="270">
        <v>5.0999999999999996</v>
      </c>
      <c r="AE252" s="270">
        <v>5.0999999999999996</v>
      </c>
      <c r="AF252" s="270" t="s">
        <v>84</v>
      </c>
      <c r="AH252" s="263">
        <v>2151</v>
      </c>
      <c r="AI252" s="254">
        <v>-1.9</v>
      </c>
      <c r="AJ252" s="254">
        <v>-0.5</v>
      </c>
      <c r="AK252" s="254" t="s">
        <v>82</v>
      </c>
      <c r="AL252" s="254">
        <v>-0.5</v>
      </c>
      <c r="AM252" s="254" t="s">
        <v>82</v>
      </c>
      <c r="AN252" s="254" t="s">
        <v>82</v>
      </c>
      <c r="AO252" s="254" t="s">
        <v>82</v>
      </c>
    </row>
    <row r="253" spans="1:41" x14ac:dyDescent="0.2">
      <c r="A253" s="249">
        <v>249</v>
      </c>
      <c r="B253" s="195">
        <v>9</v>
      </c>
      <c r="C253" s="195" t="s">
        <v>260</v>
      </c>
      <c r="D253" s="195">
        <v>4</v>
      </c>
      <c r="E253" s="195" t="s">
        <v>549</v>
      </c>
      <c r="F253" s="196">
        <v>44178</v>
      </c>
      <c r="G253" s="250" t="s">
        <v>10</v>
      </c>
      <c r="H253" s="263">
        <v>2050</v>
      </c>
      <c r="I253" s="216" t="s">
        <v>660</v>
      </c>
      <c r="J253" s="264">
        <v>1900</v>
      </c>
      <c r="K253" s="264">
        <v>1929</v>
      </c>
      <c r="L253" s="265">
        <v>1917</v>
      </c>
      <c r="M253" s="249">
        <v>0</v>
      </c>
      <c r="N253" s="200">
        <v>0</v>
      </c>
      <c r="O253" s="269"/>
      <c r="P253" s="263">
        <v>2050</v>
      </c>
      <c r="Q253" s="270">
        <v>20.5</v>
      </c>
      <c r="R253" s="267"/>
      <c r="S253" s="267"/>
      <c r="T253" s="267"/>
      <c r="U253" s="267"/>
      <c r="V253" s="267"/>
      <c r="W253" s="267"/>
      <c r="Y253" s="263">
        <v>2050</v>
      </c>
      <c r="Z253" s="270">
        <v>0</v>
      </c>
      <c r="AA253" s="267"/>
      <c r="AB253" s="267"/>
      <c r="AC253" s="267"/>
      <c r="AD253" s="267"/>
      <c r="AE253" s="267"/>
      <c r="AF253" s="267"/>
      <c r="AH253" s="263">
        <v>2050</v>
      </c>
      <c r="AI253" s="254">
        <v>-20.5</v>
      </c>
      <c r="AJ253" s="254" t="s">
        <v>82</v>
      </c>
      <c r="AK253" s="254" t="s">
        <v>82</v>
      </c>
      <c r="AL253" s="254" t="s">
        <v>82</v>
      </c>
      <c r="AM253" s="254" t="s">
        <v>82</v>
      </c>
      <c r="AN253" s="254" t="s">
        <v>82</v>
      </c>
      <c r="AO253" s="254" t="s">
        <v>82</v>
      </c>
    </row>
    <row r="254" spans="1:41" x14ac:dyDescent="0.2">
      <c r="A254" s="249">
        <v>250</v>
      </c>
      <c r="B254" s="195">
        <v>9</v>
      </c>
      <c r="C254" s="195" t="s">
        <v>260</v>
      </c>
      <c r="D254" s="195">
        <v>4</v>
      </c>
      <c r="E254" s="195" t="s">
        <v>549</v>
      </c>
      <c r="F254" s="196">
        <v>44229</v>
      </c>
      <c r="G254" s="250" t="s">
        <v>5</v>
      </c>
      <c r="H254" s="263">
        <v>2106</v>
      </c>
      <c r="I254" s="216" t="s">
        <v>661</v>
      </c>
      <c r="J254" s="264">
        <v>630</v>
      </c>
      <c r="K254" s="264">
        <v>654</v>
      </c>
      <c r="L254" s="265">
        <v>647</v>
      </c>
      <c r="M254" s="249">
        <v>0</v>
      </c>
      <c r="N254" s="200">
        <v>0</v>
      </c>
      <c r="O254" s="269"/>
      <c r="P254" s="263">
        <v>2106</v>
      </c>
      <c r="Q254" s="270">
        <v>3.8</v>
      </c>
      <c r="R254" s="267"/>
      <c r="S254" s="267"/>
      <c r="T254" s="267"/>
      <c r="U254" s="267"/>
      <c r="V254" s="267"/>
      <c r="W254" s="267"/>
      <c r="Y254" s="263">
        <v>2106</v>
      </c>
      <c r="Z254" s="270">
        <v>0</v>
      </c>
      <c r="AA254" s="267"/>
      <c r="AB254" s="267"/>
      <c r="AC254" s="267"/>
      <c r="AD254" s="267"/>
      <c r="AE254" s="267"/>
      <c r="AF254" s="267"/>
      <c r="AH254" s="263">
        <v>2106</v>
      </c>
      <c r="AI254" s="254">
        <v>-3.8</v>
      </c>
      <c r="AJ254" s="254" t="s">
        <v>82</v>
      </c>
      <c r="AK254" s="254" t="s">
        <v>82</v>
      </c>
      <c r="AL254" s="254" t="s">
        <v>82</v>
      </c>
      <c r="AM254" s="254" t="s">
        <v>82</v>
      </c>
      <c r="AN254" s="254" t="s">
        <v>82</v>
      </c>
      <c r="AO254" s="254" t="s">
        <v>82</v>
      </c>
    </row>
    <row r="255" spans="1:41" x14ac:dyDescent="0.2">
      <c r="A255" s="249">
        <v>251</v>
      </c>
      <c r="B255" s="195">
        <v>9</v>
      </c>
      <c r="C255" s="195" t="s">
        <v>260</v>
      </c>
      <c r="D255" s="195">
        <v>4</v>
      </c>
      <c r="E255" s="195" t="s">
        <v>549</v>
      </c>
      <c r="F255" s="196">
        <v>44629</v>
      </c>
      <c r="G255" s="250" t="s">
        <v>6</v>
      </c>
      <c r="H255" s="263">
        <v>2211</v>
      </c>
      <c r="I255" s="216" t="s">
        <v>662</v>
      </c>
      <c r="J255" s="264">
        <v>1650</v>
      </c>
      <c r="K255" s="264">
        <v>1809</v>
      </c>
      <c r="L255" s="265">
        <v>1722</v>
      </c>
      <c r="M255" s="249">
        <v>0</v>
      </c>
      <c r="N255" s="200">
        <v>0</v>
      </c>
      <c r="P255" s="263">
        <v>2211</v>
      </c>
      <c r="Q255" s="270">
        <v>2.5</v>
      </c>
      <c r="R255" s="267"/>
      <c r="S255" s="267"/>
      <c r="T255" s="267"/>
      <c r="U255" s="267"/>
      <c r="V255" s="267"/>
      <c r="W255" s="267"/>
      <c r="Y255" s="263">
        <v>2211</v>
      </c>
      <c r="Z255" s="270">
        <v>0</v>
      </c>
      <c r="AA255" s="267"/>
      <c r="AB255" s="267"/>
      <c r="AC255" s="267"/>
      <c r="AD255" s="267"/>
      <c r="AE255" s="267"/>
      <c r="AF255" s="267"/>
      <c r="AH255" s="263">
        <v>2211</v>
      </c>
      <c r="AI255" s="254">
        <v>-2.5</v>
      </c>
      <c r="AJ255" s="254" t="s">
        <v>82</v>
      </c>
      <c r="AK255" s="254" t="s">
        <v>82</v>
      </c>
      <c r="AL255" s="254" t="s">
        <v>82</v>
      </c>
      <c r="AM255" s="254" t="s">
        <v>82</v>
      </c>
      <c r="AN255" s="254" t="s">
        <v>82</v>
      </c>
      <c r="AO255" s="254" t="s">
        <v>82</v>
      </c>
    </row>
    <row r="256" spans="1:41" x14ac:dyDescent="0.2">
      <c r="A256" s="249">
        <v>252</v>
      </c>
      <c r="B256" s="195">
        <v>9</v>
      </c>
      <c r="C256" s="195" t="s">
        <v>260</v>
      </c>
      <c r="D256" s="195">
        <v>5</v>
      </c>
      <c r="E256" s="195" t="s">
        <v>553</v>
      </c>
      <c r="F256" s="196">
        <v>44055</v>
      </c>
      <c r="G256" s="250" t="s">
        <v>6</v>
      </c>
      <c r="H256" s="263">
        <v>2033</v>
      </c>
      <c r="I256" s="216" t="s">
        <v>663</v>
      </c>
      <c r="J256" s="264">
        <v>730</v>
      </c>
      <c r="K256" s="264">
        <v>734</v>
      </c>
      <c r="L256" s="265">
        <v>731</v>
      </c>
      <c r="M256" s="249">
        <v>0</v>
      </c>
      <c r="N256" s="200">
        <v>0</v>
      </c>
      <c r="O256" s="269"/>
      <c r="P256" s="263">
        <v>2033</v>
      </c>
      <c r="Q256" s="270">
        <v>5.4</v>
      </c>
      <c r="R256" s="267"/>
      <c r="S256" s="267"/>
      <c r="T256" s="267"/>
      <c r="U256" s="267"/>
      <c r="V256" s="267"/>
      <c r="W256" s="267"/>
      <c r="Y256" s="263">
        <v>2033</v>
      </c>
      <c r="Z256" s="270">
        <v>0</v>
      </c>
      <c r="AA256" s="267"/>
      <c r="AB256" s="267"/>
      <c r="AC256" s="267"/>
      <c r="AD256" s="267"/>
      <c r="AE256" s="267"/>
      <c r="AF256" s="267"/>
      <c r="AH256" s="263">
        <v>2033</v>
      </c>
      <c r="AI256" s="254">
        <v>-5.4</v>
      </c>
      <c r="AJ256" s="254" t="s">
        <v>82</v>
      </c>
      <c r="AK256" s="254" t="s">
        <v>82</v>
      </c>
      <c r="AL256" s="254" t="s">
        <v>82</v>
      </c>
      <c r="AM256" s="254" t="s">
        <v>82</v>
      </c>
      <c r="AN256" s="254" t="s">
        <v>82</v>
      </c>
      <c r="AO256" s="254" t="s">
        <v>82</v>
      </c>
    </row>
    <row r="257" spans="1:41" x14ac:dyDescent="0.2">
      <c r="A257" s="249">
        <v>253</v>
      </c>
      <c r="B257" s="195">
        <v>9</v>
      </c>
      <c r="C257" s="195" t="s">
        <v>260</v>
      </c>
      <c r="D257" s="195">
        <v>5</v>
      </c>
      <c r="E257" s="195" t="s">
        <v>553</v>
      </c>
      <c r="F257" s="196">
        <v>44250</v>
      </c>
      <c r="G257" s="250" t="s">
        <v>5</v>
      </c>
      <c r="H257" s="263">
        <v>2109</v>
      </c>
      <c r="I257" s="216" t="s">
        <v>664</v>
      </c>
      <c r="J257" s="264">
        <v>845</v>
      </c>
      <c r="K257" s="264">
        <v>849</v>
      </c>
      <c r="L257" s="265">
        <v>847</v>
      </c>
      <c r="M257" s="249">
        <v>0</v>
      </c>
      <c r="N257" s="200">
        <v>0</v>
      </c>
      <c r="O257" s="269"/>
      <c r="P257" s="263">
        <v>2109</v>
      </c>
      <c r="Q257" s="270">
        <v>10.9</v>
      </c>
      <c r="R257" s="267"/>
      <c r="S257" s="267"/>
      <c r="T257" s="267"/>
      <c r="U257" s="267"/>
      <c r="V257" s="267"/>
      <c r="W257" s="267"/>
      <c r="Y257" s="263">
        <v>2109</v>
      </c>
      <c r="Z257" s="270">
        <v>0</v>
      </c>
      <c r="AA257" s="267"/>
      <c r="AB257" s="267"/>
      <c r="AC257" s="267"/>
      <c r="AD257" s="267"/>
      <c r="AE257" s="267"/>
      <c r="AF257" s="267"/>
      <c r="AH257" s="263">
        <v>2109</v>
      </c>
      <c r="AI257" s="254">
        <v>-10.9</v>
      </c>
      <c r="AJ257" s="254" t="s">
        <v>82</v>
      </c>
      <c r="AK257" s="254" t="s">
        <v>82</v>
      </c>
      <c r="AL257" s="254" t="s">
        <v>82</v>
      </c>
      <c r="AM257" s="254" t="s">
        <v>82</v>
      </c>
      <c r="AN257" s="254" t="s">
        <v>82</v>
      </c>
      <c r="AO257" s="254" t="s">
        <v>82</v>
      </c>
    </row>
    <row r="258" spans="1:41" x14ac:dyDescent="0.2">
      <c r="A258" s="249">
        <v>254</v>
      </c>
      <c r="B258" s="195">
        <v>9</v>
      </c>
      <c r="C258" s="195" t="s">
        <v>260</v>
      </c>
      <c r="D258" s="195">
        <v>5</v>
      </c>
      <c r="E258" s="195" t="s">
        <v>553</v>
      </c>
      <c r="F258" s="196">
        <v>44373</v>
      </c>
      <c r="G258" s="250" t="s">
        <v>9</v>
      </c>
      <c r="H258" s="263">
        <v>2126</v>
      </c>
      <c r="I258" s="216" t="s">
        <v>665</v>
      </c>
      <c r="J258" s="264">
        <v>2445</v>
      </c>
      <c r="K258" s="264">
        <v>2449</v>
      </c>
      <c r="L258" s="265">
        <v>2447</v>
      </c>
      <c r="M258" s="249">
        <v>0</v>
      </c>
      <c r="N258" s="200">
        <v>0</v>
      </c>
      <c r="P258" s="263">
        <v>2126</v>
      </c>
      <c r="Q258" s="270">
        <v>4.2</v>
      </c>
      <c r="R258" s="267"/>
      <c r="S258" s="267"/>
      <c r="T258" s="267"/>
      <c r="U258" s="267"/>
      <c r="V258" s="267"/>
      <c r="W258" s="267"/>
      <c r="Y258" s="263">
        <v>2126</v>
      </c>
      <c r="Z258" s="270">
        <v>0</v>
      </c>
      <c r="AA258" s="267"/>
      <c r="AB258" s="267"/>
      <c r="AC258" s="267"/>
      <c r="AD258" s="267"/>
      <c r="AE258" s="267"/>
      <c r="AF258" s="267"/>
      <c r="AH258" s="263">
        <v>2126</v>
      </c>
      <c r="AI258" s="254">
        <v>-4.2</v>
      </c>
      <c r="AJ258" s="254" t="s">
        <v>82</v>
      </c>
      <c r="AK258" s="254" t="s">
        <v>82</v>
      </c>
      <c r="AL258" s="254" t="s">
        <v>82</v>
      </c>
      <c r="AM258" s="254" t="s">
        <v>82</v>
      </c>
      <c r="AN258" s="254" t="s">
        <v>82</v>
      </c>
      <c r="AO258" s="254" t="s">
        <v>82</v>
      </c>
    </row>
    <row r="259" spans="1:41" x14ac:dyDescent="0.2">
      <c r="A259" s="249">
        <v>255</v>
      </c>
      <c r="B259" s="195">
        <v>9</v>
      </c>
      <c r="C259" s="195" t="s">
        <v>260</v>
      </c>
      <c r="D259" s="195">
        <v>6</v>
      </c>
      <c r="E259" s="195" t="s">
        <v>272</v>
      </c>
      <c r="F259" s="196">
        <v>44282</v>
      </c>
      <c r="G259" s="250" t="s">
        <v>9</v>
      </c>
      <c r="H259" s="263">
        <v>2113</v>
      </c>
      <c r="I259" s="216" t="s">
        <v>666</v>
      </c>
      <c r="J259" s="264">
        <v>2054</v>
      </c>
      <c r="K259" s="264">
        <v>2154</v>
      </c>
      <c r="L259" s="265">
        <v>2117</v>
      </c>
      <c r="M259" s="249">
        <v>0</v>
      </c>
      <c r="N259" s="200">
        <v>0</v>
      </c>
      <c r="P259" s="263">
        <v>2113</v>
      </c>
      <c r="Q259" s="270">
        <v>12.9</v>
      </c>
      <c r="R259" s="267"/>
      <c r="S259" s="267"/>
      <c r="T259" s="267"/>
      <c r="U259" s="267"/>
      <c r="V259" s="267"/>
      <c r="W259" s="267"/>
      <c r="Y259" s="263">
        <v>2113</v>
      </c>
      <c r="Z259" s="270">
        <v>0.2</v>
      </c>
      <c r="AA259" s="267"/>
      <c r="AB259" s="267"/>
      <c r="AC259" s="267"/>
      <c r="AD259" s="267"/>
      <c r="AE259" s="267"/>
      <c r="AF259" s="267"/>
      <c r="AH259" s="263">
        <v>2113</v>
      </c>
      <c r="AI259" s="254">
        <v>-12.700000000000001</v>
      </c>
      <c r="AJ259" s="254" t="s">
        <v>82</v>
      </c>
      <c r="AK259" s="254" t="s">
        <v>82</v>
      </c>
      <c r="AL259" s="254" t="s">
        <v>82</v>
      </c>
      <c r="AM259" s="254" t="s">
        <v>82</v>
      </c>
      <c r="AN259" s="254" t="s">
        <v>82</v>
      </c>
      <c r="AO259" s="254" t="s">
        <v>82</v>
      </c>
    </row>
    <row r="260" spans="1:41" x14ac:dyDescent="0.2">
      <c r="A260" s="249">
        <v>256</v>
      </c>
      <c r="B260" s="195">
        <v>9</v>
      </c>
      <c r="C260" s="195" t="s">
        <v>260</v>
      </c>
      <c r="D260" s="195">
        <v>6</v>
      </c>
      <c r="E260" s="195" t="s">
        <v>272</v>
      </c>
      <c r="F260" s="196">
        <v>44388</v>
      </c>
      <c r="G260" s="250" t="s">
        <v>10</v>
      </c>
      <c r="H260" s="263">
        <v>2128</v>
      </c>
      <c r="I260" s="216" t="s">
        <v>667</v>
      </c>
      <c r="J260" s="264">
        <v>1900</v>
      </c>
      <c r="K260" s="264">
        <v>1957</v>
      </c>
      <c r="L260" s="265">
        <v>1918</v>
      </c>
      <c r="M260" s="249">
        <v>1</v>
      </c>
      <c r="N260" s="200">
        <v>0</v>
      </c>
      <c r="P260" s="263">
        <v>2128</v>
      </c>
      <c r="Q260" s="270">
        <v>2.5</v>
      </c>
      <c r="R260" s="270">
        <v>8.5</v>
      </c>
      <c r="S260" s="270">
        <v>8.3000000000000007</v>
      </c>
      <c r="T260" s="270">
        <v>0.2</v>
      </c>
      <c r="U260" s="270">
        <v>8</v>
      </c>
      <c r="V260" s="270">
        <v>8</v>
      </c>
      <c r="W260" s="270" t="s">
        <v>84</v>
      </c>
      <c r="Y260" s="263">
        <v>2128</v>
      </c>
      <c r="Z260" s="270">
        <v>0</v>
      </c>
      <c r="AA260" s="270">
        <v>8.3000000000000007</v>
      </c>
      <c r="AB260" s="270">
        <v>8.3000000000000007</v>
      </c>
      <c r="AC260" s="270">
        <v>0</v>
      </c>
      <c r="AD260" s="270">
        <v>8</v>
      </c>
      <c r="AE260" s="270">
        <v>8</v>
      </c>
      <c r="AF260" s="270" t="s">
        <v>84</v>
      </c>
      <c r="AH260" s="263">
        <v>2128</v>
      </c>
      <c r="AI260" s="254">
        <v>-2.5</v>
      </c>
      <c r="AJ260" s="254">
        <v>-0.19999999999999929</v>
      </c>
      <c r="AK260" s="254" t="s">
        <v>82</v>
      </c>
      <c r="AL260" s="254">
        <v>-0.2</v>
      </c>
      <c r="AM260" s="254" t="s">
        <v>82</v>
      </c>
      <c r="AN260" s="254" t="s">
        <v>82</v>
      </c>
      <c r="AO260" s="254" t="s">
        <v>82</v>
      </c>
    </row>
    <row r="261" spans="1:41" x14ac:dyDescent="0.2">
      <c r="A261" s="249">
        <v>257</v>
      </c>
      <c r="B261" s="195">
        <v>9</v>
      </c>
      <c r="C261" s="195" t="s">
        <v>260</v>
      </c>
      <c r="D261" s="195">
        <v>6</v>
      </c>
      <c r="E261" s="195" t="s">
        <v>272</v>
      </c>
      <c r="F261" s="196">
        <v>44513</v>
      </c>
      <c r="G261" s="250" t="s">
        <v>9</v>
      </c>
      <c r="H261" s="263">
        <v>2146</v>
      </c>
      <c r="I261" s="216" t="s">
        <v>668</v>
      </c>
      <c r="J261" s="264">
        <v>2000</v>
      </c>
      <c r="K261" s="264">
        <v>2053</v>
      </c>
      <c r="L261" s="265">
        <v>2042</v>
      </c>
      <c r="M261" s="249">
        <v>1</v>
      </c>
      <c r="N261" s="200">
        <v>0</v>
      </c>
      <c r="P261" s="263">
        <v>2146</v>
      </c>
      <c r="Q261" s="270">
        <v>3.9</v>
      </c>
      <c r="R261" s="270">
        <v>6.6</v>
      </c>
      <c r="S261" s="270">
        <v>6.3</v>
      </c>
      <c r="T261" s="270">
        <v>0.3</v>
      </c>
      <c r="U261" s="270">
        <v>5.2</v>
      </c>
      <c r="V261" s="270">
        <v>5.2</v>
      </c>
      <c r="W261" s="270">
        <v>0</v>
      </c>
      <c r="Y261" s="263">
        <v>2146</v>
      </c>
      <c r="Z261" s="270">
        <v>0</v>
      </c>
      <c r="AA261" s="270">
        <v>6.3</v>
      </c>
      <c r="AB261" s="270">
        <v>6.3</v>
      </c>
      <c r="AC261" s="270">
        <v>0</v>
      </c>
      <c r="AD261" s="270">
        <v>5.2</v>
      </c>
      <c r="AE261" s="270">
        <v>5.2</v>
      </c>
      <c r="AF261" s="270">
        <v>0</v>
      </c>
      <c r="AH261" s="263">
        <v>2146</v>
      </c>
      <c r="AI261" s="254">
        <v>-3.9</v>
      </c>
      <c r="AJ261" s="254">
        <v>-0.29999999999999982</v>
      </c>
      <c r="AK261" s="254" t="s">
        <v>82</v>
      </c>
      <c r="AL261" s="254">
        <v>-0.3</v>
      </c>
      <c r="AM261" s="254" t="s">
        <v>82</v>
      </c>
      <c r="AN261" s="254" t="s">
        <v>82</v>
      </c>
      <c r="AO261" s="254" t="s">
        <v>82</v>
      </c>
    </row>
    <row r="262" spans="1:41" x14ac:dyDescent="0.2">
      <c r="A262" s="249">
        <v>258</v>
      </c>
      <c r="B262" s="195">
        <v>10</v>
      </c>
      <c r="C262" s="195" t="s">
        <v>276</v>
      </c>
      <c r="D262" s="195">
        <v>1</v>
      </c>
      <c r="E262" s="195" t="s">
        <v>277</v>
      </c>
      <c r="F262" s="196">
        <v>44121</v>
      </c>
      <c r="G262" s="250" t="s">
        <v>9</v>
      </c>
      <c r="H262" s="263">
        <v>2042</v>
      </c>
      <c r="I262" s="216" t="s">
        <v>669</v>
      </c>
      <c r="J262" s="264">
        <v>1730</v>
      </c>
      <c r="K262" s="264">
        <v>1824</v>
      </c>
      <c r="L262" s="265">
        <v>1800</v>
      </c>
      <c r="M262" s="249">
        <v>0</v>
      </c>
      <c r="N262" s="200">
        <v>0</v>
      </c>
      <c r="O262" s="269"/>
      <c r="P262" s="263">
        <v>2042</v>
      </c>
      <c r="Q262" s="270">
        <v>7.8</v>
      </c>
      <c r="R262" s="267"/>
      <c r="S262" s="267"/>
      <c r="T262" s="267"/>
      <c r="U262" s="267"/>
      <c r="V262" s="267"/>
      <c r="W262" s="267"/>
      <c r="Y262" s="263">
        <v>2042</v>
      </c>
      <c r="Z262" s="270">
        <v>1.1000000000000001</v>
      </c>
      <c r="AA262" s="267"/>
      <c r="AB262" s="267"/>
      <c r="AC262" s="267"/>
      <c r="AD262" s="267"/>
      <c r="AE262" s="267"/>
      <c r="AF262" s="267"/>
      <c r="AH262" s="263">
        <v>2042</v>
      </c>
      <c r="AI262" s="254">
        <v>-6.6999999999999993</v>
      </c>
      <c r="AJ262" s="254" t="s">
        <v>82</v>
      </c>
      <c r="AK262" s="254" t="s">
        <v>82</v>
      </c>
      <c r="AL262" s="254" t="s">
        <v>82</v>
      </c>
      <c r="AM262" s="254" t="s">
        <v>82</v>
      </c>
      <c r="AN262" s="254" t="s">
        <v>82</v>
      </c>
      <c r="AO262" s="254" t="s">
        <v>82</v>
      </c>
    </row>
    <row r="263" spans="1:41" x14ac:dyDescent="0.2">
      <c r="A263" s="249">
        <v>259</v>
      </c>
      <c r="B263" s="195">
        <v>10</v>
      </c>
      <c r="C263" s="195" t="s">
        <v>276</v>
      </c>
      <c r="D263" s="195">
        <v>1</v>
      </c>
      <c r="E263" s="195" t="s">
        <v>277</v>
      </c>
      <c r="F263" s="196">
        <v>44130</v>
      </c>
      <c r="G263" s="250" t="s">
        <v>4</v>
      </c>
      <c r="H263" s="263">
        <v>2044</v>
      </c>
      <c r="I263" s="216" t="s">
        <v>670</v>
      </c>
      <c r="J263" s="264">
        <v>2435</v>
      </c>
      <c r="K263" s="264">
        <v>2444</v>
      </c>
      <c r="L263" s="265">
        <v>2436</v>
      </c>
      <c r="M263" s="249">
        <v>0</v>
      </c>
      <c r="N263" s="200">
        <v>0</v>
      </c>
      <c r="O263" s="269"/>
      <c r="P263" s="263">
        <v>2044</v>
      </c>
      <c r="Q263" s="270">
        <v>5.5</v>
      </c>
      <c r="R263" s="267"/>
      <c r="S263" s="267"/>
      <c r="T263" s="267"/>
      <c r="U263" s="267"/>
      <c r="V263" s="267"/>
      <c r="W263" s="267"/>
      <c r="Y263" s="263">
        <v>2044</v>
      </c>
      <c r="Z263" s="270">
        <v>0</v>
      </c>
      <c r="AA263" s="267"/>
      <c r="AB263" s="267"/>
      <c r="AC263" s="267"/>
      <c r="AD263" s="267"/>
      <c r="AE263" s="267"/>
      <c r="AF263" s="267"/>
      <c r="AH263" s="263">
        <v>2044</v>
      </c>
      <c r="AI263" s="254">
        <v>-5.5</v>
      </c>
      <c r="AJ263" s="254" t="s">
        <v>82</v>
      </c>
      <c r="AK263" s="254" t="s">
        <v>82</v>
      </c>
      <c r="AL263" s="254" t="s">
        <v>82</v>
      </c>
      <c r="AM263" s="254" t="s">
        <v>82</v>
      </c>
      <c r="AN263" s="254" t="s">
        <v>82</v>
      </c>
      <c r="AO263" s="254" t="s">
        <v>82</v>
      </c>
    </row>
    <row r="264" spans="1:41" x14ac:dyDescent="0.2">
      <c r="A264" s="249">
        <v>260</v>
      </c>
      <c r="B264" s="195">
        <v>10</v>
      </c>
      <c r="C264" s="195" t="s">
        <v>276</v>
      </c>
      <c r="D264" s="195">
        <v>1</v>
      </c>
      <c r="E264" s="195" t="s">
        <v>277</v>
      </c>
      <c r="F264" s="196">
        <v>44319</v>
      </c>
      <c r="G264" s="250" t="s">
        <v>4</v>
      </c>
      <c r="H264" s="263">
        <v>2119</v>
      </c>
      <c r="I264" s="216" t="s">
        <v>278</v>
      </c>
      <c r="J264" s="264">
        <v>700</v>
      </c>
      <c r="K264" s="264">
        <v>759</v>
      </c>
      <c r="L264" s="265">
        <v>748</v>
      </c>
      <c r="M264" s="249">
        <v>1</v>
      </c>
      <c r="N264" s="200">
        <v>0</v>
      </c>
      <c r="O264" s="269"/>
      <c r="P264" s="263">
        <v>2119</v>
      </c>
      <c r="Q264" s="270">
        <v>59</v>
      </c>
      <c r="R264" s="270">
        <v>10.7</v>
      </c>
      <c r="S264" s="270">
        <v>6.8</v>
      </c>
      <c r="T264" s="270">
        <v>3.9</v>
      </c>
      <c r="U264" s="270">
        <v>4.3</v>
      </c>
      <c r="V264" s="270">
        <v>4.3</v>
      </c>
      <c r="W264" s="270" t="s">
        <v>84</v>
      </c>
      <c r="Y264" s="263">
        <v>2119</v>
      </c>
      <c r="Z264" s="270">
        <v>0</v>
      </c>
      <c r="AA264" s="270">
        <v>7.2</v>
      </c>
      <c r="AB264" s="270">
        <v>6.8</v>
      </c>
      <c r="AC264" s="270">
        <v>0.4</v>
      </c>
      <c r="AD264" s="270">
        <v>4.3</v>
      </c>
      <c r="AE264" s="270">
        <v>4.3</v>
      </c>
      <c r="AF264" s="270" t="s">
        <v>84</v>
      </c>
      <c r="AH264" s="263">
        <v>2119</v>
      </c>
      <c r="AI264" s="254">
        <v>-59</v>
      </c>
      <c r="AJ264" s="254">
        <v>-3.4999999999999991</v>
      </c>
      <c r="AK264" s="254" t="s">
        <v>82</v>
      </c>
      <c r="AL264" s="254">
        <v>-3.5</v>
      </c>
      <c r="AM264" s="254" t="s">
        <v>82</v>
      </c>
      <c r="AN264" s="254" t="s">
        <v>82</v>
      </c>
      <c r="AO264" s="254" t="s">
        <v>82</v>
      </c>
    </row>
    <row r="265" spans="1:41" x14ac:dyDescent="0.2">
      <c r="A265" s="249">
        <v>261</v>
      </c>
      <c r="B265" s="195">
        <v>10</v>
      </c>
      <c r="C265" s="195" t="s">
        <v>276</v>
      </c>
      <c r="D265" s="195">
        <v>1</v>
      </c>
      <c r="E265" s="195" t="s">
        <v>277</v>
      </c>
      <c r="F265" s="196">
        <v>44569</v>
      </c>
      <c r="G265" s="250" t="s">
        <v>9</v>
      </c>
      <c r="H265" s="263">
        <v>2202</v>
      </c>
      <c r="I265" s="216" t="s">
        <v>281</v>
      </c>
      <c r="J265" s="264">
        <v>1900</v>
      </c>
      <c r="K265" s="264">
        <v>1959</v>
      </c>
      <c r="L265" s="265">
        <v>1924</v>
      </c>
      <c r="M265" s="249">
        <v>1</v>
      </c>
      <c r="N265" s="200">
        <v>0</v>
      </c>
      <c r="O265" s="269"/>
      <c r="P265" s="263">
        <v>2202</v>
      </c>
      <c r="Q265" s="270">
        <v>44.3</v>
      </c>
      <c r="R265" s="270">
        <v>7.8</v>
      </c>
      <c r="S265" s="270">
        <v>4.2</v>
      </c>
      <c r="T265" s="270">
        <v>3.6</v>
      </c>
      <c r="U265" s="270">
        <v>7.1</v>
      </c>
      <c r="V265" s="270">
        <v>7.1</v>
      </c>
      <c r="W265" s="270" t="s">
        <v>84</v>
      </c>
      <c r="Y265" s="263">
        <v>2202</v>
      </c>
      <c r="Z265" s="270">
        <v>0</v>
      </c>
      <c r="AA265" s="270">
        <v>4.4000000000000004</v>
      </c>
      <c r="AB265" s="270">
        <v>4.2</v>
      </c>
      <c r="AC265" s="270">
        <v>0.2</v>
      </c>
      <c r="AD265" s="270">
        <v>7.1</v>
      </c>
      <c r="AE265" s="270">
        <v>7.1</v>
      </c>
      <c r="AF265" s="270" t="s">
        <v>84</v>
      </c>
      <c r="AH265" s="263">
        <v>2202</v>
      </c>
      <c r="AI265" s="254">
        <v>-44.3</v>
      </c>
      <c r="AJ265" s="254">
        <v>-3.3999999999999995</v>
      </c>
      <c r="AK265" s="254" t="s">
        <v>82</v>
      </c>
      <c r="AL265" s="254">
        <v>-3.4</v>
      </c>
      <c r="AM265" s="254" t="s">
        <v>82</v>
      </c>
      <c r="AN265" s="254" t="s">
        <v>82</v>
      </c>
      <c r="AO265" s="254" t="s">
        <v>82</v>
      </c>
    </row>
    <row r="266" spans="1:41" x14ac:dyDescent="0.2">
      <c r="A266" s="249">
        <v>262</v>
      </c>
      <c r="B266" s="195">
        <v>10</v>
      </c>
      <c r="C266" s="195" t="s">
        <v>276</v>
      </c>
      <c r="D266" s="195">
        <v>2</v>
      </c>
      <c r="E266" s="195" t="s">
        <v>282</v>
      </c>
      <c r="F266" s="196">
        <v>44090</v>
      </c>
      <c r="G266" s="250" t="s">
        <v>6</v>
      </c>
      <c r="H266" s="263">
        <v>2038</v>
      </c>
      <c r="I266" s="216" t="s">
        <v>176</v>
      </c>
      <c r="J266" s="264">
        <v>800</v>
      </c>
      <c r="K266" s="264">
        <v>929</v>
      </c>
      <c r="L266" s="265">
        <v>917</v>
      </c>
      <c r="M266" s="249">
        <v>1</v>
      </c>
      <c r="N266" s="200">
        <v>0</v>
      </c>
      <c r="O266" s="269"/>
      <c r="P266" s="263">
        <v>2038</v>
      </c>
      <c r="Q266" s="270">
        <v>3.3</v>
      </c>
      <c r="R266" s="270">
        <v>2.8</v>
      </c>
      <c r="S266" s="270">
        <v>2.6</v>
      </c>
      <c r="T266" s="270">
        <v>0.2</v>
      </c>
      <c r="U266" s="270">
        <v>2.8</v>
      </c>
      <c r="V266" s="270">
        <v>2.8</v>
      </c>
      <c r="W266" s="270">
        <v>0</v>
      </c>
      <c r="Y266" s="263">
        <v>2038</v>
      </c>
      <c r="Z266" s="270">
        <v>0</v>
      </c>
      <c r="AA266" s="270">
        <v>2.6</v>
      </c>
      <c r="AB266" s="270">
        <v>2.6</v>
      </c>
      <c r="AC266" s="270">
        <v>0</v>
      </c>
      <c r="AD266" s="270">
        <v>2.8</v>
      </c>
      <c r="AE266" s="270">
        <v>2.8</v>
      </c>
      <c r="AF266" s="270">
        <v>0</v>
      </c>
      <c r="AH266" s="263">
        <v>2038</v>
      </c>
      <c r="AI266" s="254">
        <v>-3.3</v>
      </c>
      <c r="AJ266" s="254">
        <v>-0.19999999999999973</v>
      </c>
      <c r="AK266" s="254" t="s">
        <v>82</v>
      </c>
      <c r="AL266" s="254">
        <v>-0.2</v>
      </c>
      <c r="AM266" s="254" t="s">
        <v>82</v>
      </c>
      <c r="AN266" s="254" t="s">
        <v>82</v>
      </c>
      <c r="AO266" s="254" t="s">
        <v>82</v>
      </c>
    </row>
    <row r="267" spans="1:41" x14ac:dyDescent="0.2">
      <c r="A267" s="249">
        <v>263</v>
      </c>
      <c r="B267" s="195">
        <v>10</v>
      </c>
      <c r="C267" s="195" t="s">
        <v>276</v>
      </c>
      <c r="D267" s="195">
        <v>2</v>
      </c>
      <c r="E267" s="195" t="s">
        <v>282</v>
      </c>
      <c r="F267" s="196">
        <v>44138</v>
      </c>
      <c r="G267" s="250" t="s">
        <v>5</v>
      </c>
      <c r="H267" s="263">
        <v>2045</v>
      </c>
      <c r="I267" s="216" t="s">
        <v>283</v>
      </c>
      <c r="J267" s="264">
        <v>1155</v>
      </c>
      <c r="K267" s="264">
        <v>1354</v>
      </c>
      <c r="L267" s="265">
        <v>1206</v>
      </c>
      <c r="M267" s="249">
        <v>1</v>
      </c>
      <c r="N267" s="200">
        <v>0</v>
      </c>
      <c r="O267" s="269"/>
      <c r="P267" s="263">
        <v>2045</v>
      </c>
      <c r="Q267" s="270">
        <v>2.8</v>
      </c>
      <c r="R267" s="270">
        <v>4.2</v>
      </c>
      <c r="S267" s="270">
        <v>4.0999999999999996</v>
      </c>
      <c r="T267" s="270">
        <v>0.1</v>
      </c>
      <c r="U267" s="270">
        <v>4</v>
      </c>
      <c r="V267" s="270">
        <v>4</v>
      </c>
      <c r="W267" s="270">
        <v>0</v>
      </c>
      <c r="Y267" s="263">
        <v>2045</v>
      </c>
      <c r="Z267" s="270">
        <v>0</v>
      </c>
      <c r="AA267" s="270">
        <v>4.0999999999999996</v>
      </c>
      <c r="AB267" s="270">
        <v>4.0999999999999996</v>
      </c>
      <c r="AC267" s="270">
        <v>0</v>
      </c>
      <c r="AD267" s="270">
        <v>4</v>
      </c>
      <c r="AE267" s="270">
        <v>4</v>
      </c>
      <c r="AF267" s="270">
        <v>0</v>
      </c>
      <c r="AH267" s="263">
        <v>2045</v>
      </c>
      <c r="AI267" s="254">
        <v>-2.8</v>
      </c>
      <c r="AJ267" s="254">
        <v>-0.10000000000000053</v>
      </c>
      <c r="AK267" s="254" t="s">
        <v>82</v>
      </c>
      <c r="AL267" s="254">
        <v>-0.1</v>
      </c>
      <c r="AM267" s="254" t="s">
        <v>82</v>
      </c>
      <c r="AN267" s="254" t="s">
        <v>82</v>
      </c>
      <c r="AO267" s="254" t="s">
        <v>82</v>
      </c>
    </row>
    <row r="268" spans="1:41" x14ac:dyDescent="0.2">
      <c r="A268" s="249">
        <v>264</v>
      </c>
      <c r="B268" s="195">
        <v>10</v>
      </c>
      <c r="C268" s="195" t="s">
        <v>276</v>
      </c>
      <c r="D268" s="195">
        <v>3</v>
      </c>
      <c r="E268" s="195" t="s">
        <v>284</v>
      </c>
      <c r="F268" s="196">
        <v>44115</v>
      </c>
      <c r="G268" s="250" t="s">
        <v>10</v>
      </c>
      <c r="H268" s="263">
        <v>2041</v>
      </c>
      <c r="I268" s="216" t="s">
        <v>671</v>
      </c>
      <c r="J268" s="264">
        <v>2430</v>
      </c>
      <c r="K268" s="264">
        <v>2459</v>
      </c>
      <c r="L268" s="265">
        <v>2437</v>
      </c>
      <c r="M268" s="249">
        <v>0</v>
      </c>
      <c r="N268" s="200">
        <v>0</v>
      </c>
      <c r="O268" s="269"/>
      <c r="P268" s="263">
        <v>2041</v>
      </c>
      <c r="Q268" s="270">
        <v>10.1</v>
      </c>
      <c r="R268" s="267"/>
      <c r="S268" s="267"/>
      <c r="T268" s="267"/>
      <c r="U268" s="267"/>
      <c r="V268" s="267"/>
      <c r="W268" s="267"/>
      <c r="Y268" s="263">
        <v>2041</v>
      </c>
      <c r="Z268" s="270">
        <v>0</v>
      </c>
      <c r="AA268" s="267"/>
      <c r="AB268" s="267"/>
      <c r="AC268" s="267"/>
      <c r="AD268" s="267"/>
      <c r="AE268" s="267"/>
      <c r="AF268" s="267"/>
      <c r="AH268" s="263">
        <v>2041</v>
      </c>
      <c r="AI268" s="254">
        <v>-10.1</v>
      </c>
      <c r="AJ268" s="254" t="s">
        <v>82</v>
      </c>
      <c r="AK268" s="254" t="s">
        <v>82</v>
      </c>
      <c r="AL268" s="254" t="s">
        <v>82</v>
      </c>
      <c r="AM268" s="254" t="s">
        <v>82</v>
      </c>
      <c r="AN268" s="254" t="s">
        <v>82</v>
      </c>
      <c r="AO268" s="254" t="s">
        <v>82</v>
      </c>
    </row>
    <row r="269" spans="1:41" x14ac:dyDescent="0.2">
      <c r="A269" s="249">
        <v>265</v>
      </c>
      <c r="B269" s="195">
        <v>10</v>
      </c>
      <c r="C269" s="195" t="s">
        <v>276</v>
      </c>
      <c r="D269" s="195">
        <v>3</v>
      </c>
      <c r="E269" s="195" t="s">
        <v>284</v>
      </c>
      <c r="F269" s="196">
        <v>44619</v>
      </c>
      <c r="G269" s="250" t="s">
        <v>10</v>
      </c>
      <c r="H269" s="263">
        <v>2209</v>
      </c>
      <c r="I269" s="216" t="s">
        <v>285</v>
      </c>
      <c r="J269" s="264">
        <v>620</v>
      </c>
      <c r="K269" s="264">
        <v>659</v>
      </c>
      <c r="L269" s="265">
        <v>634</v>
      </c>
      <c r="M269" s="249">
        <v>1</v>
      </c>
      <c r="N269" s="200">
        <v>0</v>
      </c>
      <c r="O269" s="269"/>
      <c r="P269" s="263">
        <v>2209</v>
      </c>
      <c r="Q269" s="270">
        <v>2.5</v>
      </c>
      <c r="R269" s="270">
        <v>4.4000000000000004</v>
      </c>
      <c r="S269" s="270">
        <v>4.0999999999999996</v>
      </c>
      <c r="T269" s="270">
        <v>0.3</v>
      </c>
      <c r="U269" s="270">
        <v>4.5999999999999996</v>
      </c>
      <c r="V269" s="270">
        <v>4.5999999999999996</v>
      </c>
      <c r="W269" s="270" t="s">
        <v>84</v>
      </c>
      <c r="Y269" s="263">
        <v>2209</v>
      </c>
      <c r="Z269" s="270">
        <v>0</v>
      </c>
      <c r="AA269" s="270">
        <v>4.0999999999999996</v>
      </c>
      <c r="AB269" s="270">
        <v>4.0999999999999996</v>
      </c>
      <c r="AC269" s="270">
        <v>0</v>
      </c>
      <c r="AD269" s="270">
        <v>4.5999999999999996</v>
      </c>
      <c r="AE269" s="270">
        <v>4.5999999999999996</v>
      </c>
      <c r="AF269" s="270" t="s">
        <v>84</v>
      </c>
      <c r="AH269" s="263">
        <v>2209</v>
      </c>
      <c r="AI269" s="254">
        <v>-2.5</v>
      </c>
      <c r="AJ269" s="254">
        <v>-0.30000000000000071</v>
      </c>
      <c r="AK269" s="254" t="s">
        <v>82</v>
      </c>
      <c r="AL269" s="254">
        <v>-0.3</v>
      </c>
      <c r="AM269" s="254" t="s">
        <v>82</v>
      </c>
      <c r="AN269" s="254" t="s">
        <v>82</v>
      </c>
      <c r="AO269" s="254" t="s">
        <v>82</v>
      </c>
    </row>
    <row r="270" spans="1:41" x14ac:dyDescent="0.2">
      <c r="A270" s="249">
        <v>266</v>
      </c>
      <c r="B270" s="195">
        <v>10</v>
      </c>
      <c r="C270" s="195" t="s">
        <v>276</v>
      </c>
      <c r="D270" s="195">
        <v>4</v>
      </c>
      <c r="E270" s="195" t="s">
        <v>286</v>
      </c>
      <c r="F270" s="196">
        <v>44027</v>
      </c>
      <c r="G270" s="250" t="s">
        <v>6</v>
      </c>
      <c r="H270" s="263">
        <v>2029</v>
      </c>
      <c r="I270" s="216" t="s">
        <v>140</v>
      </c>
      <c r="J270" s="264">
        <v>600</v>
      </c>
      <c r="K270" s="264">
        <v>659</v>
      </c>
      <c r="L270" s="265">
        <v>614</v>
      </c>
      <c r="M270" s="249">
        <v>0</v>
      </c>
      <c r="N270" s="200">
        <v>0</v>
      </c>
      <c r="O270" s="269"/>
      <c r="P270" s="263">
        <v>2029</v>
      </c>
      <c r="Q270" s="270">
        <v>5.4</v>
      </c>
      <c r="R270" s="267"/>
      <c r="S270" s="267"/>
      <c r="T270" s="267"/>
      <c r="U270" s="267"/>
      <c r="V270" s="267"/>
      <c r="W270" s="267"/>
      <c r="Y270" s="263">
        <v>2029</v>
      </c>
      <c r="Z270" s="270">
        <v>4.3</v>
      </c>
      <c r="AA270" s="267"/>
      <c r="AB270" s="267"/>
      <c r="AC270" s="267"/>
      <c r="AD270" s="267"/>
      <c r="AE270" s="267"/>
      <c r="AF270" s="267"/>
      <c r="AH270" s="263">
        <v>2029</v>
      </c>
      <c r="AI270" s="254">
        <v>-1.1000000000000005</v>
      </c>
      <c r="AJ270" s="254" t="s">
        <v>82</v>
      </c>
      <c r="AK270" s="254" t="s">
        <v>82</v>
      </c>
      <c r="AL270" s="254" t="s">
        <v>82</v>
      </c>
      <c r="AM270" s="254" t="s">
        <v>82</v>
      </c>
      <c r="AN270" s="254" t="s">
        <v>82</v>
      </c>
      <c r="AO270" s="254" t="s">
        <v>82</v>
      </c>
    </row>
    <row r="271" spans="1:41" x14ac:dyDescent="0.2">
      <c r="A271" s="249">
        <v>267</v>
      </c>
      <c r="B271" s="195">
        <v>10</v>
      </c>
      <c r="C271" s="195" t="s">
        <v>276</v>
      </c>
      <c r="D271" s="195">
        <v>4</v>
      </c>
      <c r="E271" s="195" t="s">
        <v>286</v>
      </c>
      <c r="F271" s="196">
        <v>44108</v>
      </c>
      <c r="G271" s="250" t="s">
        <v>10</v>
      </c>
      <c r="H271" s="263">
        <v>2040</v>
      </c>
      <c r="I271" s="216" t="s">
        <v>287</v>
      </c>
      <c r="J271" s="264">
        <v>1730</v>
      </c>
      <c r="K271" s="264">
        <v>1759</v>
      </c>
      <c r="L271" s="265">
        <v>1749</v>
      </c>
      <c r="M271" s="249">
        <v>1</v>
      </c>
      <c r="N271" s="200">
        <v>0</v>
      </c>
      <c r="O271" s="269"/>
      <c r="P271" s="263">
        <v>2040</v>
      </c>
      <c r="Q271" s="270">
        <v>11.8</v>
      </c>
      <c r="R271" s="270">
        <v>5.3</v>
      </c>
      <c r="S271" s="270">
        <v>4.2</v>
      </c>
      <c r="T271" s="270">
        <v>1.1000000000000001</v>
      </c>
      <c r="U271" s="270">
        <v>3.6</v>
      </c>
      <c r="V271" s="270">
        <v>3.6</v>
      </c>
      <c r="W271" s="270" t="s">
        <v>84</v>
      </c>
      <c r="Y271" s="263">
        <v>2040</v>
      </c>
      <c r="Z271" s="270">
        <v>0</v>
      </c>
      <c r="AA271" s="270">
        <v>4.2</v>
      </c>
      <c r="AB271" s="270">
        <v>4.2</v>
      </c>
      <c r="AC271" s="270">
        <v>0</v>
      </c>
      <c r="AD271" s="270">
        <v>3.6</v>
      </c>
      <c r="AE271" s="270">
        <v>3.6</v>
      </c>
      <c r="AF271" s="270" t="s">
        <v>84</v>
      </c>
      <c r="AH271" s="263">
        <v>2040</v>
      </c>
      <c r="AI271" s="254">
        <v>-11.8</v>
      </c>
      <c r="AJ271" s="254">
        <v>-1.0999999999999996</v>
      </c>
      <c r="AK271" s="254" t="s">
        <v>82</v>
      </c>
      <c r="AL271" s="254">
        <v>-1.1000000000000001</v>
      </c>
      <c r="AM271" s="254" t="s">
        <v>82</v>
      </c>
      <c r="AN271" s="254" t="s">
        <v>82</v>
      </c>
      <c r="AO271" s="254" t="s">
        <v>82</v>
      </c>
    </row>
    <row r="272" spans="1:41" x14ac:dyDescent="0.2">
      <c r="A272" s="249">
        <v>268</v>
      </c>
      <c r="B272" s="195">
        <v>10</v>
      </c>
      <c r="C272" s="195" t="s">
        <v>276</v>
      </c>
      <c r="D272" s="195">
        <v>4</v>
      </c>
      <c r="E272" s="195" t="s">
        <v>286</v>
      </c>
      <c r="F272" s="196">
        <v>44265</v>
      </c>
      <c r="G272" s="250" t="s">
        <v>6</v>
      </c>
      <c r="H272" s="263">
        <v>2111</v>
      </c>
      <c r="I272" s="216" t="s">
        <v>103</v>
      </c>
      <c r="J272" s="264">
        <v>800</v>
      </c>
      <c r="K272" s="264">
        <v>954</v>
      </c>
      <c r="L272" s="265">
        <v>817</v>
      </c>
      <c r="M272" s="249">
        <v>0</v>
      </c>
      <c r="N272" s="200">
        <v>0</v>
      </c>
      <c r="O272" s="269"/>
      <c r="P272" s="263">
        <v>2111</v>
      </c>
      <c r="Q272" s="270">
        <v>11.5</v>
      </c>
      <c r="R272" s="267"/>
      <c r="S272" s="267"/>
      <c r="T272" s="267"/>
      <c r="U272" s="267"/>
      <c r="V272" s="267"/>
      <c r="W272" s="267"/>
      <c r="Y272" s="263">
        <v>2111</v>
      </c>
      <c r="Z272" s="270">
        <v>0</v>
      </c>
      <c r="AA272" s="267"/>
      <c r="AB272" s="267"/>
      <c r="AC272" s="267"/>
      <c r="AD272" s="267"/>
      <c r="AE272" s="267"/>
      <c r="AF272" s="267"/>
      <c r="AH272" s="263">
        <v>2111</v>
      </c>
      <c r="AI272" s="254">
        <v>-11.5</v>
      </c>
      <c r="AJ272" s="254" t="s">
        <v>82</v>
      </c>
      <c r="AK272" s="254" t="s">
        <v>82</v>
      </c>
      <c r="AL272" s="254" t="s">
        <v>82</v>
      </c>
      <c r="AM272" s="254" t="s">
        <v>82</v>
      </c>
      <c r="AN272" s="254" t="s">
        <v>82</v>
      </c>
      <c r="AO272" s="254" t="s">
        <v>82</v>
      </c>
    </row>
    <row r="273" spans="1:41" x14ac:dyDescent="0.2">
      <c r="A273" s="249">
        <v>269</v>
      </c>
      <c r="B273" s="195">
        <v>10</v>
      </c>
      <c r="C273" s="195" t="s">
        <v>276</v>
      </c>
      <c r="D273" s="195">
        <v>4</v>
      </c>
      <c r="E273" s="195" t="s">
        <v>286</v>
      </c>
      <c r="F273" s="196">
        <v>44272</v>
      </c>
      <c r="G273" s="250" t="s">
        <v>6</v>
      </c>
      <c r="H273" s="263">
        <v>2112</v>
      </c>
      <c r="I273" s="216" t="s">
        <v>289</v>
      </c>
      <c r="J273" s="264">
        <v>955</v>
      </c>
      <c r="K273" s="264">
        <v>1024</v>
      </c>
      <c r="L273" s="265">
        <v>1007</v>
      </c>
      <c r="M273" s="249">
        <v>1</v>
      </c>
      <c r="N273" s="200">
        <v>0</v>
      </c>
      <c r="O273" s="269"/>
      <c r="P273" s="263">
        <v>2112</v>
      </c>
      <c r="Q273" s="270">
        <v>7.9</v>
      </c>
      <c r="R273" s="270">
        <v>3.1</v>
      </c>
      <c r="S273" s="270">
        <v>2.1</v>
      </c>
      <c r="T273" s="270">
        <v>1</v>
      </c>
      <c r="U273" s="270">
        <v>1.9</v>
      </c>
      <c r="V273" s="270">
        <v>1.9</v>
      </c>
      <c r="W273" s="270" t="s">
        <v>84</v>
      </c>
      <c r="Y273" s="263">
        <v>2112</v>
      </c>
      <c r="Z273" s="270">
        <v>0</v>
      </c>
      <c r="AA273" s="270">
        <v>2.1</v>
      </c>
      <c r="AB273" s="270">
        <v>2.1</v>
      </c>
      <c r="AC273" s="270">
        <v>0</v>
      </c>
      <c r="AD273" s="270">
        <v>1.9</v>
      </c>
      <c r="AE273" s="270">
        <v>1.9</v>
      </c>
      <c r="AF273" s="270" t="s">
        <v>84</v>
      </c>
      <c r="AH273" s="263">
        <v>2112</v>
      </c>
      <c r="AI273" s="254">
        <v>-7.9</v>
      </c>
      <c r="AJ273" s="254">
        <v>-1</v>
      </c>
      <c r="AK273" s="254" t="s">
        <v>82</v>
      </c>
      <c r="AL273" s="254">
        <v>-1</v>
      </c>
      <c r="AM273" s="254" t="s">
        <v>82</v>
      </c>
      <c r="AN273" s="254" t="s">
        <v>82</v>
      </c>
      <c r="AO273" s="254" t="s">
        <v>82</v>
      </c>
    </row>
    <row r="274" spans="1:41" x14ac:dyDescent="0.2">
      <c r="A274" s="249">
        <v>270</v>
      </c>
      <c r="B274" s="195">
        <v>10</v>
      </c>
      <c r="C274" s="195" t="s">
        <v>276</v>
      </c>
      <c r="D274" s="195">
        <v>4</v>
      </c>
      <c r="E274" s="195" t="s">
        <v>286</v>
      </c>
      <c r="F274" s="196">
        <v>44316</v>
      </c>
      <c r="G274" s="250" t="s">
        <v>8</v>
      </c>
      <c r="H274" s="263">
        <v>2118</v>
      </c>
      <c r="I274" s="216" t="s">
        <v>590</v>
      </c>
      <c r="J274" s="264">
        <v>2330</v>
      </c>
      <c r="K274" s="264">
        <v>2414</v>
      </c>
      <c r="L274" s="265">
        <v>2332</v>
      </c>
      <c r="M274" s="249">
        <v>0</v>
      </c>
      <c r="N274" s="200">
        <v>0</v>
      </c>
      <c r="P274" s="263">
        <v>2118</v>
      </c>
      <c r="Q274" s="270">
        <v>5</v>
      </c>
      <c r="R274" s="267"/>
      <c r="S274" s="267"/>
      <c r="T274" s="267"/>
      <c r="U274" s="267"/>
      <c r="V274" s="267"/>
      <c r="W274" s="267"/>
      <c r="Y274" s="263">
        <v>2118</v>
      </c>
      <c r="Z274" s="270">
        <v>0</v>
      </c>
      <c r="AA274" s="267"/>
      <c r="AB274" s="267"/>
      <c r="AC274" s="267"/>
      <c r="AD274" s="267"/>
      <c r="AE274" s="267"/>
      <c r="AF274" s="267"/>
      <c r="AH274" s="263">
        <v>2118</v>
      </c>
      <c r="AI274" s="254">
        <v>-5</v>
      </c>
      <c r="AJ274" s="254" t="s">
        <v>82</v>
      </c>
      <c r="AK274" s="254" t="s">
        <v>82</v>
      </c>
      <c r="AL274" s="254" t="s">
        <v>82</v>
      </c>
      <c r="AM274" s="254" t="s">
        <v>82</v>
      </c>
      <c r="AN274" s="254" t="s">
        <v>82</v>
      </c>
      <c r="AO274" s="254" t="s">
        <v>82</v>
      </c>
    </row>
    <row r="275" spans="1:41" x14ac:dyDescent="0.2">
      <c r="A275" s="249">
        <v>271</v>
      </c>
      <c r="B275" s="195">
        <v>10</v>
      </c>
      <c r="C275" s="195" t="s">
        <v>276</v>
      </c>
      <c r="D275" s="195">
        <v>4</v>
      </c>
      <c r="E275" s="195" t="s">
        <v>286</v>
      </c>
      <c r="F275" s="196">
        <v>44324</v>
      </c>
      <c r="G275" s="250" t="s">
        <v>9</v>
      </c>
      <c r="H275" s="263">
        <v>2119</v>
      </c>
      <c r="I275" s="216" t="s">
        <v>291</v>
      </c>
      <c r="J275" s="264">
        <v>730</v>
      </c>
      <c r="K275" s="264">
        <v>924</v>
      </c>
      <c r="L275" s="265">
        <v>747</v>
      </c>
      <c r="M275" s="249">
        <v>1</v>
      </c>
      <c r="N275" s="200">
        <v>0</v>
      </c>
      <c r="O275" s="269"/>
      <c r="P275" s="263">
        <v>2119</v>
      </c>
      <c r="Q275" s="270">
        <v>4</v>
      </c>
      <c r="R275" s="270">
        <v>3.1</v>
      </c>
      <c r="S275" s="270">
        <v>2.9</v>
      </c>
      <c r="T275" s="270">
        <v>0.2</v>
      </c>
      <c r="U275" s="270">
        <v>2.5</v>
      </c>
      <c r="V275" s="270">
        <v>2.5</v>
      </c>
      <c r="W275" s="270">
        <v>0</v>
      </c>
      <c r="Y275" s="263">
        <v>2119</v>
      </c>
      <c r="Z275" s="270">
        <v>0</v>
      </c>
      <c r="AA275" s="270">
        <v>2.9</v>
      </c>
      <c r="AB275" s="270">
        <v>2.9</v>
      </c>
      <c r="AC275" s="270">
        <v>0</v>
      </c>
      <c r="AD275" s="270">
        <v>2.5</v>
      </c>
      <c r="AE275" s="270">
        <v>2.5</v>
      </c>
      <c r="AF275" s="270">
        <v>0</v>
      </c>
      <c r="AH275" s="263">
        <v>2119</v>
      </c>
      <c r="AI275" s="254">
        <v>-4</v>
      </c>
      <c r="AJ275" s="254">
        <v>-0.20000000000000018</v>
      </c>
      <c r="AK275" s="254" t="s">
        <v>82</v>
      </c>
      <c r="AL275" s="254">
        <v>-0.2</v>
      </c>
      <c r="AM275" s="254" t="s">
        <v>82</v>
      </c>
      <c r="AN275" s="254" t="s">
        <v>82</v>
      </c>
      <c r="AO275" s="254" t="s">
        <v>82</v>
      </c>
    </row>
    <row r="276" spans="1:41" x14ac:dyDescent="0.2">
      <c r="A276" s="249">
        <v>272</v>
      </c>
      <c r="B276" s="195">
        <v>10</v>
      </c>
      <c r="C276" s="195" t="s">
        <v>276</v>
      </c>
      <c r="D276" s="195">
        <v>4</v>
      </c>
      <c r="E276" s="195" t="s">
        <v>286</v>
      </c>
      <c r="F276" s="196">
        <v>44434</v>
      </c>
      <c r="G276" s="250" t="s">
        <v>7</v>
      </c>
      <c r="H276" s="263">
        <v>2135</v>
      </c>
      <c r="I276" s="216" t="s">
        <v>292</v>
      </c>
      <c r="J276" s="264">
        <v>1815</v>
      </c>
      <c r="K276" s="264">
        <v>1859</v>
      </c>
      <c r="L276" s="265">
        <v>1829</v>
      </c>
      <c r="M276" s="249">
        <v>1</v>
      </c>
      <c r="N276" s="200">
        <v>0</v>
      </c>
      <c r="P276" s="263">
        <v>2135</v>
      </c>
      <c r="Q276" s="270">
        <v>4.2</v>
      </c>
      <c r="R276" s="270">
        <v>3</v>
      </c>
      <c r="S276" s="270">
        <v>2.7</v>
      </c>
      <c r="T276" s="270">
        <v>0.3</v>
      </c>
      <c r="U276" s="270">
        <v>3.4</v>
      </c>
      <c r="V276" s="270">
        <v>3.4</v>
      </c>
      <c r="W276" s="270">
        <v>0</v>
      </c>
      <c r="Y276" s="263">
        <v>2135</v>
      </c>
      <c r="Z276" s="270">
        <v>0</v>
      </c>
      <c r="AA276" s="270">
        <v>2.7</v>
      </c>
      <c r="AB276" s="270">
        <v>2.7</v>
      </c>
      <c r="AC276" s="270">
        <v>0</v>
      </c>
      <c r="AD276" s="270">
        <v>3.4</v>
      </c>
      <c r="AE276" s="270">
        <v>3.4</v>
      </c>
      <c r="AF276" s="270">
        <v>0</v>
      </c>
      <c r="AH276" s="263">
        <v>2135</v>
      </c>
      <c r="AI276" s="254">
        <v>-4.2</v>
      </c>
      <c r="AJ276" s="254">
        <v>-0.29999999999999982</v>
      </c>
      <c r="AK276" s="254" t="s">
        <v>82</v>
      </c>
      <c r="AL276" s="254">
        <v>-0.3</v>
      </c>
      <c r="AM276" s="254" t="s">
        <v>82</v>
      </c>
      <c r="AN276" s="254" t="s">
        <v>82</v>
      </c>
      <c r="AO276" s="254" t="s">
        <v>82</v>
      </c>
    </row>
    <row r="277" spans="1:41" x14ac:dyDescent="0.2">
      <c r="A277" s="249">
        <v>273</v>
      </c>
      <c r="B277" s="195">
        <v>10</v>
      </c>
      <c r="C277" s="195" t="s">
        <v>276</v>
      </c>
      <c r="D277" s="195">
        <v>5</v>
      </c>
      <c r="E277" s="195" t="s">
        <v>549</v>
      </c>
      <c r="F277" s="196">
        <v>43964</v>
      </c>
      <c r="G277" s="250" t="s">
        <v>6</v>
      </c>
      <c r="H277" s="263">
        <v>2020</v>
      </c>
      <c r="I277" s="216" t="s">
        <v>672</v>
      </c>
      <c r="J277" s="264">
        <v>1810</v>
      </c>
      <c r="K277" s="264">
        <v>1859</v>
      </c>
      <c r="L277" s="265">
        <v>1814</v>
      </c>
      <c r="M277" s="249">
        <v>0</v>
      </c>
      <c r="N277" s="200">
        <v>0</v>
      </c>
      <c r="O277" s="269"/>
      <c r="P277" s="263">
        <v>2020</v>
      </c>
      <c r="Q277" s="270">
        <v>10</v>
      </c>
      <c r="R277" s="267"/>
      <c r="S277" s="267"/>
      <c r="T277" s="267"/>
      <c r="U277" s="267"/>
      <c r="V277" s="267"/>
      <c r="W277" s="267"/>
      <c r="Y277" s="263">
        <v>2020</v>
      </c>
      <c r="Z277" s="270">
        <v>0</v>
      </c>
      <c r="AA277" s="267"/>
      <c r="AB277" s="267"/>
      <c r="AC277" s="267"/>
      <c r="AD277" s="267"/>
      <c r="AE277" s="267"/>
      <c r="AF277" s="267"/>
      <c r="AH277" s="263">
        <v>2020</v>
      </c>
      <c r="AI277" s="254">
        <v>-10</v>
      </c>
      <c r="AJ277" s="254" t="s">
        <v>82</v>
      </c>
      <c r="AK277" s="254" t="s">
        <v>82</v>
      </c>
      <c r="AL277" s="254" t="s">
        <v>82</v>
      </c>
      <c r="AM277" s="254" t="s">
        <v>82</v>
      </c>
      <c r="AN277" s="254" t="s">
        <v>82</v>
      </c>
      <c r="AO277" s="254" t="s">
        <v>82</v>
      </c>
    </row>
    <row r="278" spans="1:41" x14ac:dyDescent="0.2">
      <c r="A278" s="249">
        <v>274</v>
      </c>
      <c r="B278" s="195">
        <v>10</v>
      </c>
      <c r="C278" s="195" t="s">
        <v>276</v>
      </c>
      <c r="D278" s="195">
        <v>5</v>
      </c>
      <c r="E278" s="195" t="s">
        <v>549</v>
      </c>
      <c r="F278" s="196">
        <v>44178</v>
      </c>
      <c r="G278" s="250" t="s">
        <v>10</v>
      </c>
      <c r="H278" s="263">
        <v>2050</v>
      </c>
      <c r="I278" s="216" t="s">
        <v>593</v>
      </c>
      <c r="J278" s="264">
        <v>1900</v>
      </c>
      <c r="K278" s="264">
        <v>1929</v>
      </c>
      <c r="L278" s="265">
        <v>1917</v>
      </c>
      <c r="M278" s="249">
        <v>0</v>
      </c>
      <c r="N278" s="200">
        <v>0</v>
      </c>
      <c r="O278" s="269"/>
      <c r="P278" s="263">
        <v>2050</v>
      </c>
      <c r="Q278" s="270">
        <v>18.5</v>
      </c>
      <c r="R278" s="267"/>
      <c r="S278" s="267"/>
      <c r="T278" s="267"/>
      <c r="U278" s="267"/>
      <c r="V278" s="267"/>
      <c r="W278" s="267"/>
      <c r="Y278" s="263">
        <v>2050</v>
      </c>
      <c r="Z278" s="270">
        <v>0</v>
      </c>
      <c r="AA278" s="267"/>
      <c r="AB278" s="267"/>
      <c r="AC278" s="267"/>
      <c r="AD278" s="267"/>
      <c r="AE278" s="267"/>
      <c r="AF278" s="267"/>
      <c r="AH278" s="263">
        <v>2050</v>
      </c>
      <c r="AI278" s="254">
        <v>-18.5</v>
      </c>
      <c r="AJ278" s="254" t="s">
        <v>82</v>
      </c>
      <c r="AK278" s="254" t="s">
        <v>82</v>
      </c>
      <c r="AL278" s="254" t="s">
        <v>82</v>
      </c>
      <c r="AM278" s="254" t="s">
        <v>82</v>
      </c>
      <c r="AN278" s="254" t="s">
        <v>82</v>
      </c>
      <c r="AO278" s="254" t="s">
        <v>82</v>
      </c>
    </row>
    <row r="279" spans="1:41" x14ac:dyDescent="0.2">
      <c r="A279" s="249">
        <v>275</v>
      </c>
      <c r="B279" s="195">
        <v>10</v>
      </c>
      <c r="C279" s="195" t="s">
        <v>276</v>
      </c>
      <c r="D279" s="195">
        <v>5</v>
      </c>
      <c r="E279" s="195" t="s">
        <v>549</v>
      </c>
      <c r="F279" s="196">
        <v>44313</v>
      </c>
      <c r="G279" s="250" t="s">
        <v>5</v>
      </c>
      <c r="H279" s="263">
        <v>2118</v>
      </c>
      <c r="I279" s="216" t="s">
        <v>673</v>
      </c>
      <c r="J279" s="264">
        <v>2230</v>
      </c>
      <c r="K279" s="264">
        <v>2314</v>
      </c>
      <c r="L279" s="265">
        <v>2310</v>
      </c>
      <c r="M279" s="249">
        <v>0</v>
      </c>
      <c r="N279" s="200">
        <v>0</v>
      </c>
      <c r="P279" s="263">
        <v>2118</v>
      </c>
      <c r="Q279" s="270">
        <v>15.3</v>
      </c>
      <c r="R279" s="267"/>
      <c r="S279" s="267"/>
      <c r="T279" s="267"/>
      <c r="U279" s="267"/>
      <c r="V279" s="267"/>
      <c r="W279" s="267"/>
      <c r="Y279" s="263">
        <v>2118</v>
      </c>
      <c r="Z279" s="270">
        <v>0</v>
      </c>
      <c r="AA279" s="267"/>
      <c r="AB279" s="267"/>
      <c r="AC279" s="267"/>
      <c r="AD279" s="267"/>
      <c r="AE279" s="267"/>
      <c r="AF279" s="267"/>
      <c r="AH279" s="263">
        <v>2118</v>
      </c>
      <c r="AI279" s="254">
        <v>-15.3</v>
      </c>
      <c r="AJ279" s="254" t="s">
        <v>82</v>
      </c>
      <c r="AK279" s="254" t="s">
        <v>82</v>
      </c>
      <c r="AL279" s="254" t="s">
        <v>82</v>
      </c>
      <c r="AM279" s="254" t="s">
        <v>82</v>
      </c>
      <c r="AN279" s="254" t="s">
        <v>82</v>
      </c>
      <c r="AO279" s="254" t="s">
        <v>82</v>
      </c>
    </row>
    <row r="280" spans="1:41" x14ac:dyDescent="0.2">
      <c r="A280" s="249">
        <v>276</v>
      </c>
      <c r="B280" s="195">
        <v>10</v>
      </c>
      <c r="C280" s="195" t="s">
        <v>276</v>
      </c>
      <c r="D280" s="195">
        <v>5</v>
      </c>
      <c r="E280" s="195" t="s">
        <v>549</v>
      </c>
      <c r="F280" s="196">
        <v>44614</v>
      </c>
      <c r="G280" s="250" t="s">
        <v>5</v>
      </c>
      <c r="H280" s="263">
        <v>2209</v>
      </c>
      <c r="I280" s="216" t="s">
        <v>674</v>
      </c>
      <c r="J280" s="264">
        <v>1105</v>
      </c>
      <c r="K280" s="264">
        <v>1129</v>
      </c>
      <c r="L280" s="265">
        <v>1128</v>
      </c>
      <c r="M280" s="249">
        <v>0</v>
      </c>
      <c r="N280" s="200">
        <v>0</v>
      </c>
      <c r="O280" s="269"/>
      <c r="P280" s="263">
        <v>2209</v>
      </c>
      <c r="Q280" s="270">
        <v>2.5</v>
      </c>
      <c r="R280" s="267"/>
      <c r="S280" s="267"/>
      <c r="T280" s="267"/>
      <c r="U280" s="267"/>
      <c r="V280" s="267"/>
      <c r="W280" s="267"/>
      <c r="Y280" s="263">
        <v>2209</v>
      </c>
      <c r="Z280" s="270">
        <v>0</v>
      </c>
      <c r="AA280" s="267"/>
      <c r="AB280" s="267"/>
      <c r="AC280" s="267"/>
      <c r="AD280" s="267"/>
      <c r="AE280" s="267"/>
      <c r="AF280" s="267"/>
      <c r="AH280" s="263">
        <v>2209</v>
      </c>
      <c r="AI280" s="254">
        <v>-2.5</v>
      </c>
      <c r="AJ280" s="254" t="s">
        <v>82</v>
      </c>
      <c r="AK280" s="254" t="s">
        <v>82</v>
      </c>
      <c r="AL280" s="254" t="s">
        <v>82</v>
      </c>
      <c r="AM280" s="254" t="s">
        <v>82</v>
      </c>
      <c r="AN280" s="254" t="s">
        <v>82</v>
      </c>
      <c r="AO280" s="254" t="s">
        <v>82</v>
      </c>
    </row>
    <row r="281" spans="1:41" x14ac:dyDescent="0.2">
      <c r="A281" s="249">
        <v>277</v>
      </c>
      <c r="B281" s="195">
        <v>10</v>
      </c>
      <c r="C281" s="195" t="s">
        <v>276</v>
      </c>
      <c r="D281" s="195">
        <v>5</v>
      </c>
      <c r="E281" s="195" t="s">
        <v>549</v>
      </c>
      <c r="F281" s="196">
        <v>44630</v>
      </c>
      <c r="G281" s="250" t="s">
        <v>7</v>
      </c>
      <c r="H281" s="263">
        <v>2211</v>
      </c>
      <c r="I281" s="216" t="s">
        <v>672</v>
      </c>
      <c r="J281" s="264">
        <v>1810</v>
      </c>
      <c r="K281" s="264">
        <v>1859</v>
      </c>
      <c r="L281" s="265">
        <v>1822</v>
      </c>
      <c r="M281" s="249">
        <v>0</v>
      </c>
      <c r="N281" s="200">
        <v>0</v>
      </c>
      <c r="P281" s="263">
        <v>2211</v>
      </c>
      <c r="Q281" s="270">
        <v>2.1</v>
      </c>
      <c r="R281" s="267"/>
      <c r="S281" s="267"/>
      <c r="T281" s="267"/>
      <c r="U281" s="267"/>
      <c r="V281" s="267"/>
      <c r="W281" s="267"/>
      <c r="Y281" s="263">
        <v>2211</v>
      </c>
      <c r="Z281" s="270">
        <v>0.2</v>
      </c>
      <c r="AA281" s="267"/>
      <c r="AB281" s="267"/>
      <c r="AC281" s="267"/>
      <c r="AD281" s="267"/>
      <c r="AE281" s="267"/>
      <c r="AF281" s="267"/>
      <c r="AH281" s="263">
        <v>2211</v>
      </c>
      <c r="AI281" s="254">
        <v>-1.9000000000000001</v>
      </c>
      <c r="AJ281" s="254" t="s">
        <v>82</v>
      </c>
      <c r="AK281" s="254" t="s">
        <v>82</v>
      </c>
      <c r="AL281" s="254" t="s">
        <v>82</v>
      </c>
      <c r="AM281" s="254" t="s">
        <v>82</v>
      </c>
      <c r="AN281" s="254" t="s">
        <v>82</v>
      </c>
      <c r="AO281" s="254" t="s">
        <v>82</v>
      </c>
    </row>
    <row r="282" spans="1:41" x14ac:dyDescent="0.2">
      <c r="A282" s="249">
        <v>278</v>
      </c>
      <c r="B282" s="195">
        <v>11</v>
      </c>
      <c r="C282" s="195" t="s">
        <v>293</v>
      </c>
      <c r="D282" s="195">
        <v>2</v>
      </c>
      <c r="E282" s="195" t="s">
        <v>675</v>
      </c>
      <c r="F282" s="196">
        <v>44551</v>
      </c>
      <c r="G282" s="250" t="s">
        <v>5</v>
      </c>
      <c r="H282" s="263">
        <v>2152</v>
      </c>
      <c r="I282" s="216" t="s">
        <v>330</v>
      </c>
      <c r="J282" s="264">
        <v>1155</v>
      </c>
      <c r="K282" s="264">
        <v>1444</v>
      </c>
      <c r="L282" s="265">
        <v>1352</v>
      </c>
      <c r="M282" s="249">
        <v>0</v>
      </c>
      <c r="N282" s="200">
        <v>0</v>
      </c>
      <c r="O282" s="269"/>
      <c r="P282" s="263">
        <v>2152</v>
      </c>
      <c r="Q282" s="270">
        <v>2.2999999999999998</v>
      </c>
      <c r="R282" s="267"/>
      <c r="S282" s="267"/>
      <c r="T282" s="267"/>
      <c r="U282" s="267"/>
      <c r="V282" s="267"/>
      <c r="W282" s="267"/>
      <c r="Y282" s="263">
        <v>2152</v>
      </c>
      <c r="Z282" s="270">
        <v>0</v>
      </c>
      <c r="AA282" s="267"/>
      <c r="AB282" s="267"/>
      <c r="AC282" s="267"/>
      <c r="AD282" s="267"/>
      <c r="AE282" s="267"/>
      <c r="AF282" s="267"/>
      <c r="AH282" s="263">
        <v>2152</v>
      </c>
      <c r="AI282" s="254">
        <v>-2.2999999999999998</v>
      </c>
      <c r="AJ282" s="254" t="s">
        <v>82</v>
      </c>
      <c r="AK282" s="254" t="s">
        <v>82</v>
      </c>
      <c r="AL282" s="254" t="s">
        <v>82</v>
      </c>
      <c r="AM282" s="254" t="s">
        <v>82</v>
      </c>
      <c r="AN282" s="254" t="s">
        <v>82</v>
      </c>
      <c r="AO282" s="254" t="s">
        <v>82</v>
      </c>
    </row>
    <row r="283" spans="1:41" x14ac:dyDescent="0.2">
      <c r="A283" s="249">
        <v>279</v>
      </c>
      <c r="B283" s="195">
        <v>11</v>
      </c>
      <c r="C283" s="195" t="s">
        <v>293</v>
      </c>
      <c r="D283" s="195">
        <v>3</v>
      </c>
      <c r="E283" s="195" t="s">
        <v>294</v>
      </c>
      <c r="F283" s="196">
        <v>44043</v>
      </c>
      <c r="G283" s="250" t="s">
        <v>8</v>
      </c>
      <c r="H283" s="263">
        <v>2031</v>
      </c>
      <c r="I283" s="216" t="s">
        <v>99</v>
      </c>
      <c r="J283" s="264">
        <v>550</v>
      </c>
      <c r="K283" s="264">
        <v>759</v>
      </c>
      <c r="L283" s="265">
        <v>637</v>
      </c>
      <c r="M283" s="249">
        <v>1</v>
      </c>
      <c r="N283" s="200">
        <v>0</v>
      </c>
      <c r="O283" s="269"/>
      <c r="P283" s="263">
        <v>2031</v>
      </c>
      <c r="Q283" s="270">
        <v>3</v>
      </c>
      <c r="R283" s="270">
        <v>4.5999999999999996</v>
      </c>
      <c r="S283" s="270">
        <v>4.5</v>
      </c>
      <c r="T283" s="270">
        <v>0.1</v>
      </c>
      <c r="U283" s="270">
        <v>4.2</v>
      </c>
      <c r="V283" s="270">
        <v>4.2</v>
      </c>
      <c r="W283" s="270" t="s">
        <v>84</v>
      </c>
      <c r="Y283" s="263">
        <v>2031</v>
      </c>
      <c r="Z283" s="270">
        <v>0</v>
      </c>
      <c r="AA283" s="270">
        <v>4.5</v>
      </c>
      <c r="AB283" s="270">
        <v>4.5</v>
      </c>
      <c r="AC283" s="270">
        <v>0</v>
      </c>
      <c r="AD283" s="270">
        <v>4.2</v>
      </c>
      <c r="AE283" s="270">
        <v>4.2</v>
      </c>
      <c r="AF283" s="270" t="s">
        <v>84</v>
      </c>
      <c r="AH283" s="263">
        <v>2031</v>
      </c>
      <c r="AI283" s="254">
        <v>-3</v>
      </c>
      <c r="AJ283" s="254">
        <v>-9.9999999999999645E-2</v>
      </c>
      <c r="AK283" s="254" t="s">
        <v>82</v>
      </c>
      <c r="AL283" s="254">
        <v>-0.1</v>
      </c>
      <c r="AM283" s="254" t="s">
        <v>82</v>
      </c>
      <c r="AN283" s="254" t="s">
        <v>82</v>
      </c>
      <c r="AO283" s="254" t="s">
        <v>82</v>
      </c>
    </row>
    <row r="284" spans="1:41" x14ac:dyDescent="0.2">
      <c r="A284" s="249">
        <v>280</v>
      </c>
      <c r="B284" s="195">
        <v>11</v>
      </c>
      <c r="C284" s="195" t="s">
        <v>293</v>
      </c>
      <c r="D284" s="195">
        <v>3</v>
      </c>
      <c r="E284" s="195" t="s">
        <v>294</v>
      </c>
      <c r="F284" s="196">
        <v>44106</v>
      </c>
      <c r="G284" s="250" t="s">
        <v>8</v>
      </c>
      <c r="H284" s="263">
        <v>2040</v>
      </c>
      <c r="I284" s="216" t="s">
        <v>176</v>
      </c>
      <c r="J284" s="264">
        <v>800</v>
      </c>
      <c r="K284" s="264">
        <v>929</v>
      </c>
      <c r="L284" s="265">
        <v>806</v>
      </c>
      <c r="M284" s="249">
        <v>0</v>
      </c>
      <c r="N284" s="200">
        <v>0</v>
      </c>
      <c r="O284" s="269"/>
      <c r="P284" s="263">
        <v>2040</v>
      </c>
      <c r="Q284" s="270">
        <v>7.2</v>
      </c>
      <c r="R284" s="267"/>
      <c r="S284" s="267"/>
      <c r="T284" s="267"/>
      <c r="U284" s="267"/>
      <c r="V284" s="267"/>
      <c r="W284" s="267"/>
      <c r="Y284" s="263">
        <v>2040</v>
      </c>
      <c r="Z284" s="270">
        <v>0</v>
      </c>
      <c r="AA284" s="267"/>
      <c r="AB284" s="267"/>
      <c r="AC284" s="267"/>
      <c r="AD284" s="267"/>
      <c r="AE284" s="267"/>
      <c r="AF284" s="267"/>
      <c r="AH284" s="263">
        <v>2040</v>
      </c>
      <c r="AI284" s="254">
        <v>-7.2</v>
      </c>
      <c r="AJ284" s="254" t="s">
        <v>82</v>
      </c>
      <c r="AK284" s="254" t="s">
        <v>82</v>
      </c>
      <c r="AL284" s="254" t="s">
        <v>82</v>
      </c>
      <c r="AM284" s="254" t="s">
        <v>82</v>
      </c>
      <c r="AN284" s="254" t="s">
        <v>82</v>
      </c>
      <c r="AO284" s="254" t="s">
        <v>82</v>
      </c>
    </row>
    <row r="285" spans="1:41" x14ac:dyDescent="0.2">
      <c r="A285" s="249">
        <v>281</v>
      </c>
      <c r="B285" s="195">
        <v>11</v>
      </c>
      <c r="C285" s="195" t="s">
        <v>293</v>
      </c>
      <c r="D285" s="195">
        <v>3</v>
      </c>
      <c r="E285" s="195" t="s">
        <v>294</v>
      </c>
      <c r="F285" s="196">
        <v>44246</v>
      </c>
      <c r="G285" s="250" t="s">
        <v>8</v>
      </c>
      <c r="H285" s="263">
        <v>2108</v>
      </c>
      <c r="I285" s="216" t="s">
        <v>676</v>
      </c>
      <c r="J285" s="264">
        <v>1548</v>
      </c>
      <c r="K285" s="264">
        <v>1649</v>
      </c>
      <c r="L285" s="265">
        <v>1612</v>
      </c>
      <c r="M285" s="249">
        <v>0</v>
      </c>
      <c r="N285" s="200">
        <v>0</v>
      </c>
      <c r="P285" s="263">
        <v>2108</v>
      </c>
      <c r="Q285" s="270">
        <v>5.4</v>
      </c>
      <c r="R285" s="267"/>
      <c r="S285" s="267"/>
      <c r="T285" s="267"/>
      <c r="U285" s="267"/>
      <c r="V285" s="267"/>
      <c r="W285" s="267"/>
      <c r="Y285" s="263">
        <v>2108</v>
      </c>
      <c r="Z285" s="270">
        <v>0.2</v>
      </c>
      <c r="AA285" s="267"/>
      <c r="AB285" s="267"/>
      <c r="AC285" s="267"/>
      <c r="AD285" s="267"/>
      <c r="AE285" s="267"/>
      <c r="AF285" s="267"/>
      <c r="AH285" s="263">
        <v>2108</v>
      </c>
      <c r="AI285" s="254">
        <v>-5.2</v>
      </c>
      <c r="AJ285" s="254" t="s">
        <v>82</v>
      </c>
      <c r="AK285" s="254" t="s">
        <v>82</v>
      </c>
      <c r="AL285" s="254" t="s">
        <v>82</v>
      </c>
      <c r="AM285" s="254" t="s">
        <v>82</v>
      </c>
      <c r="AN285" s="254" t="s">
        <v>82</v>
      </c>
      <c r="AO285" s="254" t="s">
        <v>82</v>
      </c>
    </row>
    <row r="286" spans="1:41" x14ac:dyDescent="0.2">
      <c r="A286" s="249">
        <v>282</v>
      </c>
      <c r="B286" s="195">
        <v>11</v>
      </c>
      <c r="C286" s="195" t="s">
        <v>293</v>
      </c>
      <c r="D286" s="195">
        <v>4</v>
      </c>
      <c r="E286" s="195" t="s">
        <v>295</v>
      </c>
      <c r="F286" s="196">
        <v>44093</v>
      </c>
      <c r="G286" s="250" t="s">
        <v>9</v>
      </c>
      <c r="H286" s="263">
        <v>2038</v>
      </c>
      <c r="I286" s="216" t="s">
        <v>256</v>
      </c>
      <c r="J286" s="264">
        <v>1700</v>
      </c>
      <c r="K286" s="264">
        <v>1729</v>
      </c>
      <c r="L286" s="265">
        <v>1704</v>
      </c>
      <c r="M286" s="249">
        <v>0</v>
      </c>
      <c r="N286" s="200">
        <v>0</v>
      </c>
      <c r="O286" s="269"/>
      <c r="P286" s="263">
        <v>2038</v>
      </c>
      <c r="Q286" s="270">
        <v>26.8</v>
      </c>
      <c r="R286" s="267"/>
      <c r="S286" s="267"/>
      <c r="T286" s="267"/>
      <c r="U286" s="267"/>
      <c r="V286" s="267"/>
      <c r="W286" s="267"/>
      <c r="Y286" s="263">
        <v>2038</v>
      </c>
      <c r="Z286" s="270">
        <v>3</v>
      </c>
      <c r="AA286" s="267"/>
      <c r="AB286" s="267"/>
      <c r="AC286" s="267"/>
      <c r="AD286" s="267"/>
      <c r="AE286" s="267"/>
      <c r="AF286" s="267"/>
      <c r="AH286" s="263">
        <v>2038</v>
      </c>
      <c r="AI286" s="254">
        <v>-23.8</v>
      </c>
      <c r="AJ286" s="254" t="s">
        <v>82</v>
      </c>
      <c r="AK286" s="254" t="s">
        <v>82</v>
      </c>
      <c r="AL286" s="254" t="s">
        <v>82</v>
      </c>
      <c r="AM286" s="254" t="s">
        <v>82</v>
      </c>
      <c r="AN286" s="254" t="s">
        <v>82</v>
      </c>
      <c r="AO286" s="254" t="s">
        <v>82</v>
      </c>
    </row>
    <row r="287" spans="1:41" x14ac:dyDescent="0.2">
      <c r="A287" s="249">
        <v>283</v>
      </c>
      <c r="B287" s="195">
        <v>11</v>
      </c>
      <c r="C287" s="195" t="s">
        <v>293</v>
      </c>
      <c r="D287" s="195">
        <v>4</v>
      </c>
      <c r="E287" s="195" t="s">
        <v>295</v>
      </c>
      <c r="F287" s="196">
        <v>44381</v>
      </c>
      <c r="G287" s="250" t="s">
        <v>10</v>
      </c>
      <c r="H287" s="263">
        <v>2127</v>
      </c>
      <c r="I287" s="216" t="s">
        <v>290</v>
      </c>
      <c r="J287" s="264">
        <v>550</v>
      </c>
      <c r="K287" s="264">
        <v>619</v>
      </c>
      <c r="L287" s="265">
        <v>619</v>
      </c>
      <c r="M287" s="249">
        <v>1</v>
      </c>
      <c r="N287" s="200">
        <v>1</v>
      </c>
      <c r="O287" s="269"/>
      <c r="P287" s="263">
        <v>2127</v>
      </c>
      <c r="Q287" s="270">
        <v>2.4</v>
      </c>
      <c r="R287" s="270">
        <v>2.8</v>
      </c>
      <c r="S287" s="270">
        <v>0.4</v>
      </c>
      <c r="T287" s="270">
        <v>2.4</v>
      </c>
      <c r="U287" s="270">
        <v>3.6</v>
      </c>
      <c r="V287" s="270">
        <v>1.2</v>
      </c>
      <c r="W287" s="270">
        <v>2.4</v>
      </c>
      <c r="Y287" s="263">
        <v>2127</v>
      </c>
      <c r="Z287" s="270">
        <v>0</v>
      </c>
      <c r="AA287" s="270">
        <v>0.4</v>
      </c>
      <c r="AB287" s="270">
        <v>0.4</v>
      </c>
      <c r="AC287" s="270">
        <v>0</v>
      </c>
      <c r="AD287" s="270">
        <v>1.2</v>
      </c>
      <c r="AE287" s="270">
        <v>1.2</v>
      </c>
      <c r="AF287" s="270">
        <v>0</v>
      </c>
      <c r="AH287" s="263">
        <v>2127</v>
      </c>
      <c r="AI287" s="254">
        <v>-2.4</v>
      </c>
      <c r="AJ287" s="254">
        <v>-2.4</v>
      </c>
      <c r="AK287" s="254" t="s">
        <v>82</v>
      </c>
      <c r="AL287" s="254">
        <v>-2.4</v>
      </c>
      <c r="AM287" s="254">
        <v>-2.4000000000000004</v>
      </c>
      <c r="AN287" s="254" t="s">
        <v>82</v>
      </c>
      <c r="AO287" s="254">
        <v>-2.4</v>
      </c>
    </row>
    <row r="288" spans="1:41" x14ac:dyDescent="0.2">
      <c r="A288" s="249">
        <v>284</v>
      </c>
      <c r="B288" s="195">
        <v>11</v>
      </c>
      <c r="C288" s="195" t="s">
        <v>293</v>
      </c>
      <c r="D288" s="195">
        <v>6</v>
      </c>
      <c r="E288" s="195" t="s">
        <v>553</v>
      </c>
      <c r="F288" s="196">
        <v>44109</v>
      </c>
      <c r="G288" s="250" t="s">
        <v>4</v>
      </c>
      <c r="H288" s="263">
        <v>2041</v>
      </c>
      <c r="I288" s="216" t="s">
        <v>580</v>
      </c>
      <c r="J288" s="264">
        <v>1855</v>
      </c>
      <c r="K288" s="264">
        <v>1924</v>
      </c>
      <c r="L288" s="265">
        <v>1910</v>
      </c>
      <c r="M288" s="249">
        <v>0</v>
      </c>
      <c r="N288" s="200">
        <v>0</v>
      </c>
      <c r="O288" s="269"/>
      <c r="P288" s="263">
        <v>2041</v>
      </c>
      <c r="Q288" s="270">
        <v>7.4</v>
      </c>
      <c r="R288" s="267"/>
      <c r="S288" s="267"/>
      <c r="T288" s="267"/>
      <c r="U288" s="267"/>
      <c r="V288" s="267"/>
      <c r="W288" s="267"/>
      <c r="Y288" s="263">
        <v>2041</v>
      </c>
      <c r="Z288" s="270">
        <v>0</v>
      </c>
      <c r="AA288" s="267"/>
      <c r="AB288" s="267"/>
      <c r="AC288" s="267"/>
      <c r="AD288" s="267"/>
      <c r="AE288" s="267"/>
      <c r="AF288" s="267"/>
      <c r="AH288" s="263">
        <v>2041</v>
      </c>
      <c r="AI288" s="254">
        <v>-7.4</v>
      </c>
      <c r="AJ288" s="254" t="s">
        <v>82</v>
      </c>
      <c r="AK288" s="254" t="s">
        <v>82</v>
      </c>
      <c r="AL288" s="254" t="s">
        <v>82</v>
      </c>
      <c r="AM288" s="254" t="s">
        <v>82</v>
      </c>
      <c r="AN288" s="254" t="s">
        <v>82</v>
      </c>
      <c r="AO288" s="254" t="s">
        <v>82</v>
      </c>
    </row>
    <row r="289" spans="1:41" x14ac:dyDescent="0.2">
      <c r="A289" s="249">
        <v>285</v>
      </c>
      <c r="B289" s="195">
        <v>12</v>
      </c>
      <c r="C289" s="195" t="s">
        <v>677</v>
      </c>
      <c r="D289" s="195">
        <v>2</v>
      </c>
      <c r="E289" s="195" t="s">
        <v>297</v>
      </c>
      <c r="F289" s="196">
        <v>44035</v>
      </c>
      <c r="G289" s="250" t="s">
        <v>7</v>
      </c>
      <c r="H289" s="263">
        <v>2030</v>
      </c>
      <c r="I289" s="216" t="s">
        <v>678</v>
      </c>
      <c r="J289" s="264">
        <v>2359</v>
      </c>
      <c r="K289" s="264">
        <v>2453</v>
      </c>
      <c r="L289" s="265">
        <v>2447</v>
      </c>
      <c r="M289" s="249">
        <v>0</v>
      </c>
      <c r="N289" s="200">
        <v>0</v>
      </c>
      <c r="O289" s="269"/>
      <c r="P289" s="263">
        <v>2030</v>
      </c>
      <c r="Q289" s="270">
        <v>32.200000000000003</v>
      </c>
      <c r="R289" s="267"/>
      <c r="S289" s="267"/>
      <c r="T289" s="267"/>
      <c r="U289" s="267"/>
      <c r="V289" s="267"/>
      <c r="W289" s="267"/>
      <c r="Y289" s="263">
        <v>2030</v>
      </c>
      <c r="Z289" s="270">
        <v>8.9</v>
      </c>
      <c r="AA289" s="267"/>
      <c r="AB289" s="267"/>
      <c r="AC289" s="267"/>
      <c r="AD289" s="267"/>
      <c r="AE289" s="267"/>
      <c r="AF289" s="267"/>
      <c r="AH289" s="263">
        <v>2030</v>
      </c>
      <c r="AI289" s="254">
        <v>-23.300000000000004</v>
      </c>
      <c r="AJ289" s="254" t="s">
        <v>82</v>
      </c>
      <c r="AK289" s="254" t="s">
        <v>82</v>
      </c>
      <c r="AL289" s="254" t="s">
        <v>82</v>
      </c>
      <c r="AM289" s="254" t="s">
        <v>82</v>
      </c>
      <c r="AN289" s="254" t="s">
        <v>82</v>
      </c>
      <c r="AO289" s="254" t="s">
        <v>82</v>
      </c>
    </row>
    <row r="290" spans="1:41" x14ac:dyDescent="0.2">
      <c r="A290" s="249">
        <v>286</v>
      </c>
      <c r="B290" s="195">
        <v>12</v>
      </c>
      <c r="C290" s="195" t="s">
        <v>677</v>
      </c>
      <c r="D290" s="195">
        <v>2</v>
      </c>
      <c r="E290" s="195" t="s">
        <v>297</v>
      </c>
      <c r="F290" s="196">
        <v>44182</v>
      </c>
      <c r="G290" s="250" t="s">
        <v>7</v>
      </c>
      <c r="H290" s="263">
        <v>2051</v>
      </c>
      <c r="I290" s="216" t="s">
        <v>298</v>
      </c>
      <c r="J290" s="264">
        <v>1550</v>
      </c>
      <c r="K290" s="264">
        <v>1752</v>
      </c>
      <c r="L290" s="265">
        <v>1607</v>
      </c>
      <c r="M290" s="249">
        <v>1</v>
      </c>
      <c r="N290" s="200">
        <v>0</v>
      </c>
      <c r="O290" s="269"/>
      <c r="P290" s="263">
        <v>2051</v>
      </c>
      <c r="Q290" s="270">
        <v>4</v>
      </c>
      <c r="R290" s="270">
        <v>4.8</v>
      </c>
      <c r="S290" s="270">
        <v>4.7</v>
      </c>
      <c r="T290" s="270">
        <v>0.1</v>
      </c>
      <c r="U290" s="270">
        <v>6.7</v>
      </c>
      <c r="V290" s="270">
        <v>6.7</v>
      </c>
      <c r="W290" s="270" t="s">
        <v>84</v>
      </c>
      <c r="Y290" s="263">
        <v>2051</v>
      </c>
      <c r="Z290" s="270">
        <v>0</v>
      </c>
      <c r="AA290" s="270">
        <v>4.7</v>
      </c>
      <c r="AB290" s="270">
        <v>4.7</v>
      </c>
      <c r="AC290" s="270">
        <v>0</v>
      </c>
      <c r="AD290" s="270">
        <v>6.7</v>
      </c>
      <c r="AE290" s="270">
        <v>6.7</v>
      </c>
      <c r="AF290" s="270" t="s">
        <v>84</v>
      </c>
      <c r="AH290" s="263">
        <v>2051</v>
      </c>
      <c r="AI290" s="254">
        <v>-4</v>
      </c>
      <c r="AJ290" s="254">
        <v>-9.9999999999999645E-2</v>
      </c>
      <c r="AK290" s="254" t="s">
        <v>82</v>
      </c>
      <c r="AL290" s="254">
        <v>-0.1</v>
      </c>
      <c r="AM290" s="254" t="s">
        <v>82</v>
      </c>
      <c r="AN290" s="254" t="s">
        <v>82</v>
      </c>
      <c r="AO290" s="254" t="s">
        <v>82</v>
      </c>
    </row>
    <row r="291" spans="1:41" x14ac:dyDescent="0.2">
      <c r="A291" s="249">
        <v>287</v>
      </c>
      <c r="B291" s="195">
        <v>12</v>
      </c>
      <c r="C291" s="195" t="s">
        <v>677</v>
      </c>
      <c r="D291" s="195">
        <v>2</v>
      </c>
      <c r="E291" s="195" t="s">
        <v>297</v>
      </c>
      <c r="F291" s="196">
        <v>44254</v>
      </c>
      <c r="G291" s="250" t="s">
        <v>9</v>
      </c>
      <c r="H291" s="263">
        <v>2109</v>
      </c>
      <c r="I291" s="216" t="s">
        <v>679</v>
      </c>
      <c r="J291" s="264">
        <v>800</v>
      </c>
      <c r="K291" s="264">
        <v>924</v>
      </c>
      <c r="L291" s="265">
        <v>854</v>
      </c>
      <c r="M291" s="249">
        <v>1</v>
      </c>
      <c r="N291" s="200">
        <v>0</v>
      </c>
      <c r="O291" s="269"/>
      <c r="P291" s="263">
        <v>2109</v>
      </c>
      <c r="Q291" s="270">
        <v>5.0999999999999996</v>
      </c>
      <c r="R291" s="270">
        <v>5.2</v>
      </c>
      <c r="S291" s="270">
        <v>4.7</v>
      </c>
      <c r="T291" s="270">
        <v>0.5</v>
      </c>
      <c r="U291" s="270">
        <v>3.9</v>
      </c>
      <c r="V291" s="270">
        <v>3.5</v>
      </c>
      <c r="W291" s="270">
        <v>0.4</v>
      </c>
      <c r="Y291" s="263">
        <v>2109</v>
      </c>
      <c r="Z291" s="270">
        <v>0.2</v>
      </c>
      <c r="AA291" s="270">
        <v>4.9000000000000004</v>
      </c>
      <c r="AB291" s="270">
        <v>4.7</v>
      </c>
      <c r="AC291" s="270">
        <v>0.2</v>
      </c>
      <c r="AD291" s="270">
        <v>3.9</v>
      </c>
      <c r="AE291" s="270">
        <v>3.5</v>
      </c>
      <c r="AF291" s="270">
        <v>0.4</v>
      </c>
      <c r="AH291" s="263">
        <v>2109</v>
      </c>
      <c r="AI291" s="254">
        <v>-4.8999999999999995</v>
      </c>
      <c r="AJ291" s="254">
        <v>-0.29999999999999982</v>
      </c>
      <c r="AK291" s="254" t="s">
        <v>82</v>
      </c>
      <c r="AL291" s="254">
        <v>-0.3</v>
      </c>
      <c r="AM291" s="254" t="s">
        <v>82</v>
      </c>
      <c r="AN291" s="254" t="s">
        <v>82</v>
      </c>
      <c r="AO291" s="254" t="s">
        <v>82</v>
      </c>
    </row>
    <row r="292" spans="1:41" x14ac:dyDescent="0.2">
      <c r="A292" s="249">
        <v>288</v>
      </c>
      <c r="B292" s="195">
        <v>12</v>
      </c>
      <c r="C292" s="195" t="s">
        <v>677</v>
      </c>
      <c r="D292" s="195">
        <v>3</v>
      </c>
      <c r="E292" s="195" t="s">
        <v>300</v>
      </c>
      <c r="F292" s="196">
        <v>44154</v>
      </c>
      <c r="G292" s="250" t="s">
        <v>7</v>
      </c>
      <c r="H292" s="263">
        <v>2047</v>
      </c>
      <c r="I292" s="216" t="s">
        <v>347</v>
      </c>
      <c r="J292" s="264">
        <v>2154</v>
      </c>
      <c r="K292" s="264">
        <v>2309</v>
      </c>
      <c r="L292" s="265">
        <v>2207</v>
      </c>
      <c r="M292" s="249">
        <v>0</v>
      </c>
      <c r="N292" s="200">
        <v>0</v>
      </c>
      <c r="O292" s="269"/>
      <c r="P292" s="263">
        <v>2047</v>
      </c>
      <c r="Q292" s="270">
        <v>5.3</v>
      </c>
      <c r="R292" s="267"/>
      <c r="S292" s="267"/>
      <c r="T292" s="267"/>
      <c r="U292" s="267"/>
      <c r="V292" s="267"/>
      <c r="W292" s="267"/>
      <c r="Y292" s="263">
        <v>2047</v>
      </c>
      <c r="Z292" s="270">
        <v>0.2</v>
      </c>
      <c r="AA292" s="267"/>
      <c r="AB292" s="267"/>
      <c r="AC292" s="267"/>
      <c r="AD292" s="267"/>
      <c r="AE292" s="267"/>
      <c r="AF292" s="267"/>
      <c r="AH292" s="263">
        <v>2047</v>
      </c>
      <c r="AI292" s="254">
        <v>-5.0999999999999996</v>
      </c>
      <c r="AJ292" s="254" t="s">
        <v>82</v>
      </c>
      <c r="AK292" s="254" t="s">
        <v>82</v>
      </c>
      <c r="AL292" s="254" t="s">
        <v>82</v>
      </c>
      <c r="AM292" s="254" t="s">
        <v>82</v>
      </c>
      <c r="AN292" s="254" t="s">
        <v>82</v>
      </c>
      <c r="AO292" s="254" t="s">
        <v>82</v>
      </c>
    </row>
    <row r="293" spans="1:41" x14ac:dyDescent="0.2">
      <c r="A293" s="249">
        <v>289</v>
      </c>
      <c r="B293" s="195">
        <v>12</v>
      </c>
      <c r="C293" s="195" t="s">
        <v>677</v>
      </c>
      <c r="D293" s="195">
        <v>3</v>
      </c>
      <c r="E293" s="195" t="s">
        <v>300</v>
      </c>
      <c r="F293" s="196">
        <v>44475</v>
      </c>
      <c r="G293" s="250" t="s">
        <v>6</v>
      </c>
      <c r="H293" s="263">
        <v>2141</v>
      </c>
      <c r="I293" s="216" t="s">
        <v>680</v>
      </c>
      <c r="J293" s="264">
        <v>1900</v>
      </c>
      <c r="K293" s="264">
        <v>2153</v>
      </c>
      <c r="L293" s="265">
        <v>2147</v>
      </c>
      <c r="M293" s="249">
        <v>1</v>
      </c>
      <c r="N293" s="200">
        <v>0</v>
      </c>
      <c r="P293" s="263">
        <v>2141</v>
      </c>
      <c r="Q293" s="270">
        <v>57.3</v>
      </c>
      <c r="R293" s="270">
        <v>5.9</v>
      </c>
      <c r="S293" s="270">
        <v>4.0999999999999996</v>
      </c>
      <c r="T293" s="270">
        <v>1.8</v>
      </c>
      <c r="U293" s="270">
        <v>4.3</v>
      </c>
      <c r="V293" s="270">
        <v>4.3</v>
      </c>
      <c r="W293" s="270" t="s">
        <v>84</v>
      </c>
      <c r="Y293" s="263">
        <v>2141</v>
      </c>
      <c r="Z293" s="270">
        <v>0.2</v>
      </c>
      <c r="AA293" s="270">
        <v>4.3</v>
      </c>
      <c r="AB293" s="270">
        <v>4.0999999999999996</v>
      </c>
      <c r="AC293" s="270">
        <v>0.2</v>
      </c>
      <c r="AD293" s="270">
        <v>4.3</v>
      </c>
      <c r="AE293" s="270">
        <v>4.3</v>
      </c>
      <c r="AF293" s="270" t="s">
        <v>84</v>
      </c>
      <c r="AH293" s="263">
        <v>2141</v>
      </c>
      <c r="AI293" s="254">
        <v>-57.099999999999994</v>
      </c>
      <c r="AJ293" s="254">
        <v>-1.6000000000000005</v>
      </c>
      <c r="AK293" s="254" t="s">
        <v>82</v>
      </c>
      <c r="AL293" s="254">
        <v>-1.6</v>
      </c>
      <c r="AM293" s="254" t="s">
        <v>82</v>
      </c>
      <c r="AN293" s="254" t="s">
        <v>82</v>
      </c>
      <c r="AO293" s="254" t="s">
        <v>82</v>
      </c>
    </row>
    <row r="294" spans="1:41" x14ac:dyDescent="0.2">
      <c r="A294" s="249">
        <v>290</v>
      </c>
      <c r="B294" s="195">
        <v>12</v>
      </c>
      <c r="C294" s="195" t="s">
        <v>677</v>
      </c>
      <c r="D294" s="195">
        <v>5</v>
      </c>
      <c r="E294" s="195" t="s">
        <v>303</v>
      </c>
      <c r="F294" s="196">
        <v>44146</v>
      </c>
      <c r="G294" s="250" t="s">
        <v>6</v>
      </c>
      <c r="H294" s="263">
        <v>2046</v>
      </c>
      <c r="I294" s="216" t="s">
        <v>681</v>
      </c>
      <c r="J294" s="264">
        <v>1430</v>
      </c>
      <c r="K294" s="264">
        <v>1524</v>
      </c>
      <c r="L294" s="265">
        <v>1517</v>
      </c>
      <c r="M294" s="249">
        <v>0</v>
      </c>
      <c r="N294" s="200">
        <v>0</v>
      </c>
      <c r="O294" s="269"/>
      <c r="P294" s="263">
        <v>2046</v>
      </c>
      <c r="Q294" s="270">
        <v>28</v>
      </c>
      <c r="R294" s="267"/>
      <c r="S294" s="267"/>
      <c r="T294" s="267"/>
      <c r="U294" s="267"/>
      <c r="V294" s="267"/>
      <c r="W294" s="267"/>
      <c r="Y294" s="263">
        <v>2046</v>
      </c>
      <c r="Z294" s="270">
        <v>0</v>
      </c>
      <c r="AA294" s="267"/>
      <c r="AB294" s="267"/>
      <c r="AC294" s="267"/>
      <c r="AD294" s="267"/>
      <c r="AE294" s="267"/>
      <c r="AF294" s="267"/>
      <c r="AH294" s="263">
        <v>2046</v>
      </c>
      <c r="AI294" s="254">
        <v>-28</v>
      </c>
      <c r="AJ294" s="254" t="s">
        <v>82</v>
      </c>
      <c r="AK294" s="254" t="s">
        <v>82</v>
      </c>
      <c r="AL294" s="254" t="s">
        <v>82</v>
      </c>
      <c r="AM294" s="254" t="s">
        <v>82</v>
      </c>
      <c r="AN294" s="254" t="s">
        <v>82</v>
      </c>
      <c r="AO294" s="254" t="s">
        <v>82</v>
      </c>
    </row>
    <row r="295" spans="1:41" x14ac:dyDescent="0.2">
      <c r="A295" s="249">
        <v>291</v>
      </c>
      <c r="B295" s="195">
        <v>12</v>
      </c>
      <c r="C295" s="195" t="s">
        <v>677</v>
      </c>
      <c r="D295" s="195">
        <v>5</v>
      </c>
      <c r="E295" s="195" t="s">
        <v>303</v>
      </c>
      <c r="F295" s="196">
        <v>44163</v>
      </c>
      <c r="G295" s="250" t="s">
        <v>9</v>
      </c>
      <c r="H295" s="263">
        <v>2048</v>
      </c>
      <c r="I295" s="216" t="s">
        <v>304</v>
      </c>
      <c r="J295" s="264">
        <v>2420</v>
      </c>
      <c r="K295" s="264">
        <v>2449</v>
      </c>
      <c r="L295" s="265">
        <v>2437</v>
      </c>
      <c r="M295" s="249">
        <v>1</v>
      </c>
      <c r="N295" s="200">
        <v>0</v>
      </c>
      <c r="O295" s="269"/>
      <c r="P295" s="263">
        <v>2048</v>
      </c>
      <c r="Q295" s="270">
        <v>16.600000000000001</v>
      </c>
      <c r="R295" s="270">
        <v>3.6</v>
      </c>
      <c r="S295" s="270">
        <v>0.3</v>
      </c>
      <c r="T295" s="270">
        <v>3.3</v>
      </c>
      <c r="U295" s="270">
        <v>0.4</v>
      </c>
      <c r="V295" s="270">
        <v>0.4</v>
      </c>
      <c r="W295" s="270">
        <v>0</v>
      </c>
      <c r="Y295" s="263">
        <v>2048</v>
      </c>
      <c r="Z295" s="270">
        <v>0</v>
      </c>
      <c r="AA295" s="270">
        <v>0.3</v>
      </c>
      <c r="AB295" s="270">
        <v>0.3</v>
      </c>
      <c r="AC295" s="270">
        <v>0</v>
      </c>
      <c r="AD295" s="270">
        <v>0.4</v>
      </c>
      <c r="AE295" s="270">
        <v>0.4</v>
      </c>
      <c r="AF295" s="270">
        <v>0</v>
      </c>
      <c r="AH295" s="263">
        <v>2048</v>
      </c>
      <c r="AI295" s="254">
        <v>-16.600000000000001</v>
      </c>
      <c r="AJ295" s="254">
        <v>-3.3000000000000003</v>
      </c>
      <c r="AK295" s="254" t="s">
        <v>82</v>
      </c>
      <c r="AL295" s="254">
        <v>-3.3</v>
      </c>
      <c r="AM295" s="254" t="s">
        <v>82</v>
      </c>
      <c r="AN295" s="254" t="s">
        <v>82</v>
      </c>
      <c r="AO295" s="254" t="s">
        <v>82</v>
      </c>
    </row>
    <row r="296" spans="1:41" x14ac:dyDescent="0.2">
      <c r="A296" s="249">
        <v>292</v>
      </c>
      <c r="B296" s="195">
        <v>12</v>
      </c>
      <c r="C296" s="195" t="s">
        <v>677</v>
      </c>
      <c r="D296" s="195">
        <v>5</v>
      </c>
      <c r="E296" s="195" t="s">
        <v>303</v>
      </c>
      <c r="F296" s="196">
        <v>44214</v>
      </c>
      <c r="G296" s="250" t="s">
        <v>4</v>
      </c>
      <c r="H296" s="263">
        <v>2104</v>
      </c>
      <c r="I296" s="216" t="s">
        <v>608</v>
      </c>
      <c r="J296" s="264">
        <v>2300</v>
      </c>
      <c r="K296" s="264">
        <v>2357</v>
      </c>
      <c r="L296" s="265">
        <v>2317</v>
      </c>
      <c r="M296" s="249">
        <v>0</v>
      </c>
      <c r="N296" s="200">
        <v>0</v>
      </c>
      <c r="P296" s="263">
        <v>2104</v>
      </c>
      <c r="Q296" s="270">
        <v>34.299999999999997</v>
      </c>
      <c r="R296" s="267"/>
      <c r="S296" s="267"/>
      <c r="T296" s="267"/>
      <c r="U296" s="267"/>
      <c r="V296" s="267"/>
      <c r="W296" s="267"/>
      <c r="Y296" s="263">
        <v>2104</v>
      </c>
      <c r="Z296" s="270">
        <v>0</v>
      </c>
      <c r="AA296" s="267"/>
      <c r="AB296" s="267"/>
      <c r="AC296" s="267"/>
      <c r="AD296" s="267"/>
      <c r="AE296" s="267"/>
      <c r="AF296" s="267"/>
      <c r="AH296" s="263">
        <v>2104</v>
      </c>
      <c r="AI296" s="254">
        <v>-34.299999999999997</v>
      </c>
      <c r="AJ296" s="254" t="s">
        <v>82</v>
      </c>
      <c r="AK296" s="254" t="s">
        <v>82</v>
      </c>
      <c r="AL296" s="254" t="s">
        <v>82</v>
      </c>
      <c r="AM296" s="254" t="s">
        <v>82</v>
      </c>
      <c r="AN296" s="254" t="s">
        <v>82</v>
      </c>
      <c r="AO296" s="254" t="s">
        <v>82</v>
      </c>
    </row>
    <row r="297" spans="1:41" x14ac:dyDescent="0.2">
      <c r="A297" s="249">
        <v>293</v>
      </c>
      <c r="B297" s="195">
        <v>12</v>
      </c>
      <c r="C297" s="195" t="s">
        <v>677</v>
      </c>
      <c r="D297" s="195">
        <v>6</v>
      </c>
      <c r="E297" s="195" t="s">
        <v>549</v>
      </c>
      <c r="F297" s="196">
        <v>44113</v>
      </c>
      <c r="G297" s="250" t="s">
        <v>8</v>
      </c>
      <c r="H297" s="263">
        <v>2041</v>
      </c>
      <c r="I297" s="216" t="s">
        <v>621</v>
      </c>
      <c r="J297" s="264">
        <v>800</v>
      </c>
      <c r="K297" s="264">
        <v>814</v>
      </c>
      <c r="L297" s="265">
        <v>807</v>
      </c>
      <c r="M297" s="249">
        <v>0</v>
      </c>
      <c r="N297" s="200">
        <v>0</v>
      </c>
      <c r="O297" s="269"/>
      <c r="P297" s="263">
        <v>2041</v>
      </c>
      <c r="Q297" s="270">
        <v>33.4</v>
      </c>
      <c r="R297" s="267"/>
      <c r="S297" s="267"/>
      <c r="T297" s="267"/>
      <c r="U297" s="267"/>
      <c r="V297" s="267"/>
      <c r="W297" s="267"/>
      <c r="Y297" s="263">
        <v>2041</v>
      </c>
      <c r="Z297" s="270">
        <v>6.4</v>
      </c>
      <c r="AA297" s="267"/>
      <c r="AB297" s="267"/>
      <c r="AC297" s="267"/>
      <c r="AD297" s="267"/>
      <c r="AE297" s="267"/>
      <c r="AF297" s="267"/>
      <c r="AH297" s="263">
        <v>2041</v>
      </c>
      <c r="AI297" s="254">
        <v>-27</v>
      </c>
      <c r="AJ297" s="254" t="s">
        <v>82</v>
      </c>
      <c r="AK297" s="254" t="s">
        <v>82</v>
      </c>
      <c r="AL297" s="254" t="s">
        <v>82</v>
      </c>
      <c r="AM297" s="254" t="s">
        <v>82</v>
      </c>
      <c r="AN297" s="254" t="s">
        <v>82</v>
      </c>
      <c r="AO297" s="254" t="s">
        <v>82</v>
      </c>
    </row>
    <row r="298" spans="1:41" x14ac:dyDescent="0.2">
      <c r="A298" s="249">
        <v>294</v>
      </c>
      <c r="B298" s="195">
        <v>12</v>
      </c>
      <c r="C298" s="195" t="s">
        <v>677</v>
      </c>
      <c r="D298" s="195">
        <v>6</v>
      </c>
      <c r="E298" s="195" t="s">
        <v>549</v>
      </c>
      <c r="F298" s="196">
        <v>44113</v>
      </c>
      <c r="G298" s="250" t="s">
        <v>8</v>
      </c>
      <c r="H298" s="263">
        <v>2041</v>
      </c>
      <c r="I298" s="216" t="s">
        <v>621</v>
      </c>
      <c r="J298" s="264">
        <v>1245</v>
      </c>
      <c r="K298" s="264">
        <v>1259</v>
      </c>
      <c r="L298" s="265">
        <v>1247</v>
      </c>
      <c r="M298" s="249">
        <v>0</v>
      </c>
      <c r="N298" s="200">
        <v>0</v>
      </c>
      <c r="O298" s="269"/>
      <c r="P298" s="263">
        <v>2041</v>
      </c>
      <c r="Q298" s="270">
        <v>22.7</v>
      </c>
      <c r="R298" s="267"/>
      <c r="S298" s="267"/>
      <c r="T298" s="267"/>
      <c r="U298" s="267"/>
      <c r="V298" s="267"/>
      <c r="W298" s="267"/>
      <c r="Y298" s="263">
        <v>2041</v>
      </c>
      <c r="Z298" s="270">
        <v>0</v>
      </c>
      <c r="AA298" s="267"/>
      <c r="AB298" s="267"/>
      <c r="AC298" s="267"/>
      <c r="AD298" s="267"/>
      <c r="AE298" s="267"/>
      <c r="AF298" s="267"/>
      <c r="AH298" s="263">
        <v>2041</v>
      </c>
      <c r="AI298" s="254">
        <v>-22.7</v>
      </c>
      <c r="AJ298" s="254" t="s">
        <v>82</v>
      </c>
      <c r="AK298" s="254" t="s">
        <v>82</v>
      </c>
      <c r="AL298" s="254" t="s">
        <v>82</v>
      </c>
      <c r="AM298" s="254" t="s">
        <v>82</v>
      </c>
      <c r="AN298" s="254" t="s">
        <v>82</v>
      </c>
      <c r="AO298" s="254" t="s">
        <v>82</v>
      </c>
    </row>
    <row r="299" spans="1:41" x14ac:dyDescent="0.2">
      <c r="A299" s="249">
        <v>295</v>
      </c>
      <c r="B299" s="195">
        <v>12</v>
      </c>
      <c r="C299" s="195" t="s">
        <v>677</v>
      </c>
      <c r="D299" s="195">
        <v>6</v>
      </c>
      <c r="E299" s="195" t="s">
        <v>549</v>
      </c>
      <c r="F299" s="196">
        <v>44136</v>
      </c>
      <c r="G299" s="250" t="s">
        <v>10</v>
      </c>
      <c r="H299" s="263">
        <v>2044</v>
      </c>
      <c r="I299" s="216" t="s">
        <v>682</v>
      </c>
      <c r="J299" s="264">
        <v>2335</v>
      </c>
      <c r="K299" s="264">
        <v>2354</v>
      </c>
      <c r="L299" s="265">
        <v>2337</v>
      </c>
      <c r="M299" s="249">
        <v>0</v>
      </c>
      <c r="N299" s="200">
        <v>0</v>
      </c>
      <c r="O299" s="269"/>
      <c r="P299" s="263">
        <v>2044</v>
      </c>
      <c r="Q299" s="270">
        <v>7.3</v>
      </c>
      <c r="R299" s="267"/>
      <c r="S299" s="267"/>
      <c r="T299" s="267"/>
      <c r="U299" s="267"/>
      <c r="V299" s="267"/>
      <c r="W299" s="267"/>
      <c r="Y299" s="263">
        <v>2044</v>
      </c>
      <c r="Z299" s="270">
        <v>0</v>
      </c>
      <c r="AA299" s="267"/>
      <c r="AB299" s="267"/>
      <c r="AC299" s="267"/>
      <c r="AD299" s="267"/>
      <c r="AE299" s="267"/>
      <c r="AF299" s="267"/>
      <c r="AH299" s="263">
        <v>2044</v>
      </c>
      <c r="AI299" s="254">
        <v>-7.3</v>
      </c>
      <c r="AJ299" s="254" t="s">
        <v>82</v>
      </c>
      <c r="AK299" s="254" t="s">
        <v>82</v>
      </c>
      <c r="AL299" s="254" t="s">
        <v>82</v>
      </c>
      <c r="AM299" s="254" t="s">
        <v>82</v>
      </c>
      <c r="AN299" s="254" t="s">
        <v>82</v>
      </c>
      <c r="AO299" s="254" t="s">
        <v>82</v>
      </c>
    </row>
    <row r="300" spans="1:41" x14ac:dyDescent="0.2">
      <c r="A300" s="249">
        <v>296</v>
      </c>
      <c r="B300" s="195">
        <v>12</v>
      </c>
      <c r="C300" s="195" t="s">
        <v>677</v>
      </c>
      <c r="D300" s="195">
        <v>6</v>
      </c>
      <c r="E300" s="195" t="s">
        <v>549</v>
      </c>
      <c r="F300" s="196">
        <v>44151</v>
      </c>
      <c r="G300" s="250" t="s">
        <v>4</v>
      </c>
      <c r="H300" s="263">
        <v>2047</v>
      </c>
      <c r="I300" s="216" t="s">
        <v>683</v>
      </c>
      <c r="J300" s="264">
        <v>1613</v>
      </c>
      <c r="K300" s="264">
        <v>1700</v>
      </c>
      <c r="L300" s="265">
        <v>1617</v>
      </c>
      <c r="M300" s="249">
        <v>0</v>
      </c>
      <c r="N300" s="200">
        <v>0</v>
      </c>
      <c r="O300" s="269"/>
      <c r="P300" s="263">
        <v>2047</v>
      </c>
      <c r="Q300" s="270">
        <v>8.1</v>
      </c>
      <c r="R300" s="267"/>
      <c r="S300" s="267"/>
      <c r="T300" s="267"/>
      <c r="U300" s="267"/>
      <c r="V300" s="267"/>
      <c r="W300" s="267"/>
      <c r="Y300" s="263">
        <v>2047</v>
      </c>
      <c r="Z300" s="270">
        <v>0</v>
      </c>
      <c r="AA300" s="267"/>
      <c r="AB300" s="267"/>
      <c r="AC300" s="267"/>
      <c r="AD300" s="267"/>
      <c r="AE300" s="267"/>
      <c r="AF300" s="267"/>
      <c r="AH300" s="263">
        <v>2047</v>
      </c>
      <c r="AI300" s="254">
        <v>-8.1</v>
      </c>
      <c r="AJ300" s="254" t="s">
        <v>82</v>
      </c>
      <c r="AK300" s="254" t="s">
        <v>82</v>
      </c>
      <c r="AL300" s="254" t="s">
        <v>82</v>
      </c>
      <c r="AM300" s="254" t="s">
        <v>82</v>
      </c>
      <c r="AN300" s="254" t="s">
        <v>82</v>
      </c>
      <c r="AO300" s="254" t="s">
        <v>82</v>
      </c>
    </row>
    <row r="301" spans="1:41" x14ac:dyDescent="0.2">
      <c r="A301" s="249">
        <v>297</v>
      </c>
      <c r="B301" s="195">
        <v>12</v>
      </c>
      <c r="C301" s="195" t="s">
        <v>677</v>
      </c>
      <c r="D301" s="195">
        <v>6</v>
      </c>
      <c r="E301" s="195" t="s">
        <v>549</v>
      </c>
      <c r="F301" s="196">
        <v>44152</v>
      </c>
      <c r="G301" s="250" t="s">
        <v>5</v>
      </c>
      <c r="H301" s="263">
        <v>2047</v>
      </c>
      <c r="I301" s="216" t="s">
        <v>684</v>
      </c>
      <c r="J301" s="264">
        <v>500</v>
      </c>
      <c r="K301" s="264">
        <v>559</v>
      </c>
      <c r="L301" s="265">
        <v>516</v>
      </c>
      <c r="M301" s="249">
        <v>0</v>
      </c>
      <c r="N301" s="200">
        <v>0</v>
      </c>
      <c r="O301" s="269"/>
      <c r="P301" s="263">
        <v>2047</v>
      </c>
      <c r="Q301" s="270">
        <v>5.9</v>
      </c>
      <c r="R301" s="267"/>
      <c r="S301" s="267"/>
      <c r="T301" s="267"/>
      <c r="U301" s="267"/>
      <c r="V301" s="267"/>
      <c r="W301" s="267"/>
      <c r="Y301" s="263">
        <v>2047</v>
      </c>
      <c r="Z301" s="270">
        <v>0</v>
      </c>
      <c r="AA301" s="267"/>
      <c r="AB301" s="267"/>
      <c r="AC301" s="267"/>
      <c r="AD301" s="267"/>
      <c r="AE301" s="267"/>
      <c r="AF301" s="267"/>
      <c r="AH301" s="263">
        <v>2047</v>
      </c>
      <c r="AI301" s="254">
        <v>-5.9</v>
      </c>
      <c r="AJ301" s="254" t="s">
        <v>82</v>
      </c>
      <c r="AK301" s="254" t="s">
        <v>82</v>
      </c>
      <c r="AL301" s="254" t="s">
        <v>82</v>
      </c>
      <c r="AM301" s="254" t="s">
        <v>82</v>
      </c>
      <c r="AN301" s="254" t="s">
        <v>82</v>
      </c>
      <c r="AO301" s="254" t="s">
        <v>82</v>
      </c>
    </row>
    <row r="302" spans="1:41" x14ac:dyDescent="0.2">
      <c r="A302" s="249">
        <v>298</v>
      </c>
      <c r="B302" s="195">
        <v>12</v>
      </c>
      <c r="C302" s="195" t="s">
        <v>677</v>
      </c>
      <c r="D302" s="195">
        <v>6</v>
      </c>
      <c r="E302" s="195" t="s">
        <v>549</v>
      </c>
      <c r="F302" s="196">
        <v>44217</v>
      </c>
      <c r="G302" s="250" t="s">
        <v>7</v>
      </c>
      <c r="H302" s="263">
        <v>2104</v>
      </c>
      <c r="I302" s="216" t="s">
        <v>685</v>
      </c>
      <c r="J302" s="264">
        <v>1135</v>
      </c>
      <c r="K302" s="264">
        <v>1138</v>
      </c>
      <c r="L302" s="265">
        <v>1137</v>
      </c>
      <c r="M302" s="249">
        <v>0</v>
      </c>
      <c r="N302" s="200">
        <v>0</v>
      </c>
      <c r="O302" s="269"/>
      <c r="P302" s="263">
        <v>2104</v>
      </c>
      <c r="Q302" s="270">
        <v>7.5</v>
      </c>
      <c r="R302" s="267"/>
      <c r="S302" s="267"/>
      <c r="T302" s="267"/>
      <c r="U302" s="267"/>
      <c r="V302" s="267"/>
      <c r="W302" s="267"/>
      <c r="Y302" s="263">
        <v>2104</v>
      </c>
      <c r="Z302" s="270">
        <v>0</v>
      </c>
      <c r="AA302" s="267"/>
      <c r="AB302" s="267"/>
      <c r="AC302" s="267"/>
      <c r="AD302" s="267"/>
      <c r="AE302" s="267"/>
      <c r="AF302" s="267"/>
      <c r="AH302" s="263">
        <v>2104</v>
      </c>
      <c r="AI302" s="254">
        <v>-7.5</v>
      </c>
      <c r="AJ302" s="254" t="s">
        <v>82</v>
      </c>
      <c r="AK302" s="254" t="s">
        <v>82</v>
      </c>
      <c r="AL302" s="254" t="s">
        <v>82</v>
      </c>
      <c r="AM302" s="254" t="s">
        <v>82</v>
      </c>
      <c r="AN302" s="254" t="s">
        <v>82</v>
      </c>
      <c r="AO302" s="254" t="s">
        <v>82</v>
      </c>
    </row>
    <row r="303" spans="1:41" x14ac:dyDescent="0.2">
      <c r="A303" s="249">
        <v>299</v>
      </c>
      <c r="B303" s="195">
        <v>12</v>
      </c>
      <c r="C303" s="195" t="s">
        <v>677</v>
      </c>
      <c r="D303" s="195">
        <v>6</v>
      </c>
      <c r="E303" s="195" t="s">
        <v>549</v>
      </c>
      <c r="F303" s="196">
        <v>44363</v>
      </c>
      <c r="G303" s="250" t="s">
        <v>6</v>
      </c>
      <c r="H303" s="263">
        <v>2125</v>
      </c>
      <c r="I303" s="216" t="s">
        <v>646</v>
      </c>
      <c r="J303" s="264">
        <v>815</v>
      </c>
      <c r="K303" s="264">
        <v>859</v>
      </c>
      <c r="L303" s="265">
        <v>817</v>
      </c>
      <c r="M303" s="249">
        <v>0</v>
      </c>
      <c r="N303" s="200">
        <v>0</v>
      </c>
      <c r="O303" s="269"/>
      <c r="P303" s="263">
        <v>2125</v>
      </c>
      <c r="Q303" s="270">
        <v>15.7</v>
      </c>
      <c r="R303" s="267"/>
      <c r="S303" s="267"/>
      <c r="T303" s="267"/>
      <c r="U303" s="267"/>
      <c r="V303" s="267"/>
      <c r="W303" s="267"/>
      <c r="Y303" s="263">
        <v>2125</v>
      </c>
      <c r="Z303" s="270">
        <v>0</v>
      </c>
      <c r="AA303" s="267"/>
      <c r="AB303" s="267"/>
      <c r="AC303" s="267"/>
      <c r="AD303" s="267"/>
      <c r="AE303" s="267"/>
      <c r="AF303" s="267"/>
      <c r="AH303" s="263">
        <v>2125</v>
      </c>
      <c r="AI303" s="254">
        <v>-15.7</v>
      </c>
      <c r="AJ303" s="254" t="s">
        <v>82</v>
      </c>
      <c r="AK303" s="254" t="s">
        <v>82</v>
      </c>
      <c r="AL303" s="254" t="s">
        <v>82</v>
      </c>
      <c r="AM303" s="254" t="s">
        <v>82</v>
      </c>
      <c r="AN303" s="254" t="s">
        <v>82</v>
      </c>
      <c r="AO303" s="254" t="s">
        <v>82</v>
      </c>
    </row>
    <row r="304" spans="1:41" x14ac:dyDescent="0.2">
      <c r="A304" s="249">
        <v>300</v>
      </c>
      <c r="B304" s="195">
        <v>12</v>
      </c>
      <c r="C304" s="195" t="s">
        <v>677</v>
      </c>
      <c r="D304" s="195">
        <v>6</v>
      </c>
      <c r="E304" s="195" t="s">
        <v>549</v>
      </c>
      <c r="F304" s="196">
        <v>44368</v>
      </c>
      <c r="G304" s="250" t="s">
        <v>4</v>
      </c>
      <c r="H304" s="263">
        <v>2126</v>
      </c>
      <c r="I304" s="216" t="s">
        <v>566</v>
      </c>
      <c r="J304" s="264">
        <v>1200</v>
      </c>
      <c r="K304" s="264">
        <v>1219</v>
      </c>
      <c r="L304" s="265">
        <v>1217</v>
      </c>
      <c r="M304" s="249">
        <v>0</v>
      </c>
      <c r="N304" s="200">
        <v>0</v>
      </c>
      <c r="O304" s="269"/>
      <c r="P304" s="263">
        <v>2126</v>
      </c>
      <c r="Q304" s="270">
        <v>39.1</v>
      </c>
      <c r="R304" s="267"/>
      <c r="S304" s="267"/>
      <c r="T304" s="267"/>
      <c r="U304" s="267"/>
      <c r="V304" s="267"/>
      <c r="W304" s="267"/>
      <c r="Y304" s="263">
        <v>2126</v>
      </c>
      <c r="Z304" s="270">
        <v>0</v>
      </c>
      <c r="AA304" s="267"/>
      <c r="AB304" s="267"/>
      <c r="AC304" s="267"/>
      <c r="AD304" s="267"/>
      <c r="AE304" s="267"/>
      <c r="AF304" s="267"/>
      <c r="AH304" s="263">
        <v>2126</v>
      </c>
      <c r="AI304" s="254">
        <v>-39.1</v>
      </c>
      <c r="AJ304" s="254" t="s">
        <v>82</v>
      </c>
      <c r="AK304" s="254" t="s">
        <v>82</v>
      </c>
      <c r="AL304" s="254" t="s">
        <v>82</v>
      </c>
      <c r="AM304" s="254" t="s">
        <v>82</v>
      </c>
      <c r="AN304" s="254" t="s">
        <v>82</v>
      </c>
      <c r="AO304" s="254" t="s">
        <v>82</v>
      </c>
    </row>
    <row r="305" spans="1:41" x14ac:dyDescent="0.2">
      <c r="A305" s="249">
        <v>301</v>
      </c>
      <c r="B305" s="195">
        <v>12</v>
      </c>
      <c r="C305" s="195" t="s">
        <v>677</v>
      </c>
      <c r="D305" s="195">
        <v>6</v>
      </c>
      <c r="E305" s="195" t="s">
        <v>549</v>
      </c>
      <c r="F305" s="196">
        <v>44515</v>
      </c>
      <c r="G305" s="250" t="s">
        <v>4</v>
      </c>
      <c r="H305" s="263">
        <v>2147</v>
      </c>
      <c r="I305" s="216" t="s">
        <v>686</v>
      </c>
      <c r="J305" s="264">
        <v>2534</v>
      </c>
      <c r="K305" s="264">
        <v>2613</v>
      </c>
      <c r="L305" s="265">
        <v>2551</v>
      </c>
      <c r="M305" s="249">
        <v>0</v>
      </c>
      <c r="N305" s="200">
        <v>0</v>
      </c>
      <c r="P305" s="263">
        <v>2147</v>
      </c>
      <c r="Q305" s="270">
        <v>15.2</v>
      </c>
      <c r="R305" s="267"/>
      <c r="S305" s="267"/>
      <c r="T305" s="267"/>
      <c r="U305" s="267"/>
      <c r="V305" s="267"/>
      <c r="W305" s="267"/>
      <c r="Y305" s="263">
        <v>2147</v>
      </c>
      <c r="Z305" s="270">
        <v>0</v>
      </c>
      <c r="AA305" s="267"/>
      <c r="AB305" s="267"/>
      <c r="AC305" s="267"/>
      <c r="AD305" s="267"/>
      <c r="AE305" s="267"/>
      <c r="AF305" s="267"/>
      <c r="AH305" s="263">
        <v>2147</v>
      </c>
      <c r="AI305" s="254">
        <v>-15.2</v>
      </c>
      <c r="AJ305" s="254" t="s">
        <v>82</v>
      </c>
      <c r="AK305" s="254" t="s">
        <v>82</v>
      </c>
      <c r="AL305" s="254" t="s">
        <v>82</v>
      </c>
      <c r="AM305" s="254" t="s">
        <v>82</v>
      </c>
      <c r="AN305" s="254" t="s">
        <v>82</v>
      </c>
      <c r="AO305" s="254" t="s">
        <v>82</v>
      </c>
    </row>
    <row r="306" spans="1:41" x14ac:dyDescent="0.2">
      <c r="A306" s="249">
        <v>302</v>
      </c>
      <c r="B306" s="195">
        <v>12</v>
      </c>
      <c r="C306" s="195" t="s">
        <v>677</v>
      </c>
      <c r="D306" s="195">
        <v>6</v>
      </c>
      <c r="E306" s="195" t="s">
        <v>549</v>
      </c>
      <c r="F306" s="196">
        <v>44560</v>
      </c>
      <c r="G306" s="250" t="s">
        <v>7</v>
      </c>
      <c r="H306" s="271">
        <v>2201</v>
      </c>
      <c r="I306" s="216" t="s">
        <v>577</v>
      </c>
      <c r="J306" s="264">
        <v>2315</v>
      </c>
      <c r="K306" s="264">
        <v>2319</v>
      </c>
      <c r="L306" s="265">
        <v>2317</v>
      </c>
      <c r="M306" s="249">
        <v>0</v>
      </c>
      <c r="N306" s="200">
        <v>0</v>
      </c>
      <c r="O306" s="269"/>
      <c r="P306" s="263">
        <v>2201</v>
      </c>
      <c r="Q306" s="270">
        <v>2.7</v>
      </c>
      <c r="R306" s="267"/>
      <c r="S306" s="267"/>
      <c r="T306" s="267"/>
      <c r="U306" s="267"/>
      <c r="V306" s="267"/>
      <c r="W306" s="267"/>
      <c r="Y306" s="263">
        <v>2201</v>
      </c>
      <c r="Z306" s="270">
        <v>0</v>
      </c>
      <c r="AA306" s="267"/>
      <c r="AB306" s="267"/>
      <c r="AC306" s="267"/>
      <c r="AD306" s="267"/>
      <c r="AE306" s="267"/>
      <c r="AF306" s="267"/>
      <c r="AH306" s="263">
        <v>2201</v>
      </c>
      <c r="AI306" s="254">
        <v>-2.7</v>
      </c>
      <c r="AJ306" s="254" t="s">
        <v>82</v>
      </c>
      <c r="AK306" s="254" t="s">
        <v>82</v>
      </c>
      <c r="AL306" s="254" t="s">
        <v>82</v>
      </c>
      <c r="AM306" s="254" t="s">
        <v>82</v>
      </c>
      <c r="AN306" s="254" t="s">
        <v>82</v>
      </c>
      <c r="AO306" s="254" t="s">
        <v>82</v>
      </c>
    </row>
    <row r="307" spans="1:41" x14ac:dyDescent="0.2">
      <c r="A307" s="249">
        <v>303</v>
      </c>
      <c r="B307" s="195">
        <v>12</v>
      </c>
      <c r="C307" s="195" t="s">
        <v>677</v>
      </c>
      <c r="D307" s="195">
        <v>7</v>
      </c>
      <c r="E307" s="195" t="s">
        <v>553</v>
      </c>
      <c r="F307" s="196">
        <v>44176</v>
      </c>
      <c r="G307" s="250" t="s">
        <v>8</v>
      </c>
      <c r="H307" s="263">
        <v>2050</v>
      </c>
      <c r="I307" s="216" t="s">
        <v>596</v>
      </c>
      <c r="J307" s="264">
        <v>1605</v>
      </c>
      <c r="K307" s="264">
        <v>1619</v>
      </c>
      <c r="L307" s="265">
        <v>1617</v>
      </c>
      <c r="M307" s="249">
        <v>0</v>
      </c>
      <c r="N307" s="200">
        <v>0</v>
      </c>
      <c r="O307" s="269"/>
      <c r="P307" s="263">
        <v>2050</v>
      </c>
      <c r="Q307" s="270">
        <v>10.3</v>
      </c>
      <c r="R307" s="267"/>
      <c r="S307" s="267"/>
      <c r="T307" s="267"/>
      <c r="U307" s="267"/>
      <c r="V307" s="267"/>
      <c r="W307" s="267"/>
      <c r="Y307" s="263">
        <v>2050</v>
      </c>
      <c r="Z307" s="270">
        <v>0</v>
      </c>
      <c r="AA307" s="267"/>
      <c r="AB307" s="267"/>
      <c r="AC307" s="267"/>
      <c r="AD307" s="267"/>
      <c r="AE307" s="267"/>
      <c r="AF307" s="267"/>
      <c r="AH307" s="263">
        <v>2050</v>
      </c>
      <c r="AI307" s="254">
        <v>-10.3</v>
      </c>
      <c r="AJ307" s="254" t="s">
        <v>82</v>
      </c>
      <c r="AK307" s="254" t="s">
        <v>82</v>
      </c>
      <c r="AL307" s="254" t="s">
        <v>82</v>
      </c>
      <c r="AM307" s="254" t="s">
        <v>82</v>
      </c>
      <c r="AN307" s="254" t="s">
        <v>82</v>
      </c>
      <c r="AO307" s="254" t="s">
        <v>82</v>
      </c>
    </row>
    <row r="308" spans="1:41" x14ac:dyDescent="0.2">
      <c r="A308" s="249">
        <v>304</v>
      </c>
      <c r="B308" s="195">
        <v>13</v>
      </c>
      <c r="C308" s="195" t="s">
        <v>687</v>
      </c>
      <c r="D308" s="195">
        <v>1</v>
      </c>
      <c r="E308" s="195" t="s">
        <v>307</v>
      </c>
      <c r="F308" s="196">
        <v>44112</v>
      </c>
      <c r="G308" s="250" t="s">
        <v>7</v>
      </c>
      <c r="H308" s="263">
        <v>2041</v>
      </c>
      <c r="I308" s="216" t="s">
        <v>688</v>
      </c>
      <c r="J308" s="264">
        <v>2558</v>
      </c>
      <c r="K308" s="264">
        <v>2750</v>
      </c>
      <c r="L308" s="265">
        <v>2600</v>
      </c>
      <c r="M308" s="249">
        <v>1</v>
      </c>
      <c r="N308" s="200">
        <v>0</v>
      </c>
      <c r="O308" s="269"/>
      <c r="P308" s="263">
        <v>2041</v>
      </c>
      <c r="Q308" s="270">
        <v>17.899999999999999</v>
      </c>
      <c r="R308" s="270">
        <v>3.6</v>
      </c>
      <c r="S308" s="270">
        <v>0.9</v>
      </c>
      <c r="T308" s="270">
        <v>2.7</v>
      </c>
      <c r="U308" s="270">
        <v>0.2</v>
      </c>
      <c r="V308" s="270">
        <v>0.2</v>
      </c>
      <c r="W308" s="270">
        <v>0</v>
      </c>
      <c r="Y308" s="263">
        <v>2041</v>
      </c>
      <c r="Z308" s="270">
        <v>0.2</v>
      </c>
      <c r="AA308" s="270">
        <v>1</v>
      </c>
      <c r="AB308" s="270">
        <v>0.9</v>
      </c>
      <c r="AC308" s="270">
        <v>0.1</v>
      </c>
      <c r="AD308" s="270">
        <v>0.2</v>
      </c>
      <c r="AE308" s="270">
        <v>0.2</v>
      </c>
      <c r="AF308" s="270">
        <v>0</v>
      </c>
      <c r="AH308" s="263">
        <v>2041</v>
      </c>
      <c r="AI308" s="254">
        <v>-17.7</v>
      </c>
      <c r="AJ308" s="254">
        <v>-2.6</v>
      </c>
      <c r="AK308" s="254" t="s">
        <v>82</v>
      </c>
      <c r="AL308" s="254">
        <v>-2.6</v>
      </c>
      <c r="AM308" s="254" t="s">
        <v>82</v>
      </c>
      <c r="AN308" s="254" t="s">
        <v>82</v>
      </c>
      <c r="AO308" s="254" t="s">
        <v>82</v>
      </c>
    </row>
    <row r="309" spans="1:41" x14ac:dyDescent="0.2">
      <c r="A309" s="249">
        <v>305</v>
      </c>
      <c r="B309" s="195">
        <v>13</v>
      </c>
      <c r="C309" s="195" t="s">
        <v>687</v>
      </c>
      <c r="D309" s="195">
        <v>1</v>
      </c>
      <c r="E309" s="195" t="s">
        <v>307</v>
      </c>
      <c r="F309" s="196">
        <v>44140</v>
      </c>
      <c r="G309" s="250" t="s">
        <v>7</v>
      </c>
      <c r="H309" s="263">
        <v>2045</v>
      </c>
      <c r="I309" s="216" t="s">
        <v>689</v>
      </c>
      <c r="J309" s="264">
        <v>1855</v>
      </c>
      <c r="K309" s="264">
        <v>1859</v>
      </c>
      <c r="L309" s="265">
        <v>1856</v>
      </c>
      <c r="M309" s="249">
        <v>0</v>
      </c>
      <c r="N309" s="200">
        <v>0</v>
      </c>
      <c r="O309" s="269"/>
      <c r="P309" s="263">
        <v>2045</v>
      </c>
      <c r="Q309" s="270">
        <v>3.2</v>
      </c>
      <c r="R309" s="267"/>
      <c r="S309" s="267"/>
      <c r="T309" s="267"/>
      <c r="U309" s="267"/>
      <c r="V309" s="267"/>
      <c r="W309" s="267"/>
      <c r="Y309" s="263">
        <v>2045</v>
      </c>
      <c r="Z309" s="270">
        <v>0</v>
      </c>
      <c r="AA309" s="267"/>
      <c r="AB309" s="267"/>
      <c r="AC309" s="267"/>
      <c r="AD309" s="267"/>
      <c r="AE309" s="267"/>
      <c r="AF309" s="267"/>
      <c r="AH309" s="263">
        <v>2045</v>
      </c>
      <c r="AI309" s="254">
        <v>-3.2</v>
      </c>
      <c r="AJ309" s="254" t="s">
        <v>82</v>
      </c>
      <c r="AK309" s="254" t="s">
        <v>82</v>
      </c>
      <c r="AL309" s="254" t="s">
        <v>82</v>
      </c>
      <c r="AM309" s="254" t="s">
        <v>82</v>
      </c>
      <c r="AN309" s="254" t="s">
        <v>82</v>
      </c>
      <c r="AO309" s="254" t="s">
        <v>82</v>
      </c>
    </row>
    <row r="310" spans="1:41" x14ac:dyDescent="0.2">
      <c r="A310" s="249">
        <v>306</v>
      </c>
      <c r="B310" s="195">
        <v>13</v>
      </c>
      <c r="C310" s="195" t="s">
        <v>687</v>
      </c>
      <c r="D310" s="195">
        <v>1</v>
      </c>
      <c r="E310" s="195" t="s">
        <v>307</v>
      </c>
      <c r="F310" s="196">
        <v>44173</v>
      </c>
      <c r="G310" s="250" t="s">
        <v>5</v>
      </c>
      <c r="H310" s="263">
        <v>2050</v>
      </c>
      <c r="I310" s="216" t="s">
        <v>312</v>
      </c>
      <c r="J310" s="264">
        <v>1155</v>
      </c>
      <c r="K310" s="264">
        <v>1354</v>
      </c>
      <c r="L310" s="265">
        <v>1347</v>
      </c>
      <c r="M310" s="249">
        <v>1</v>
      </c>
      <c r="N310" s="200">
        <v>0</v>
      </c>
      <c r="O310" s="269"/>
      <c r="P310" s="263">
        <v>2050</v>
      </c>
      <c r="Q310" s="270">
        <v>3</v>
      </c>
      <c r="R310" s="270">
        <v>2.7</v>
      </c>
      <c r="S310" s="270">
        <v>2.6</v>
      </c>
      <c r="T310" s="270">
        <v>0.1</v>
      </c>
      <c r="U310" s="270">
        <v>3</v>
      </c>
      <c r="V310" s="270">
        <v>3</v>
      </c>
      <c r="W310" s="270" t="s">
        <v>84</v>
      </c>
      <c r="Y310" s="263">
        <v>2050</v>
      </c>
      <c r="Z310" s="270">
        <v>0</v>
      </c>
      <c r="AA310" s="270">
        <v>2.6</v>
      </c>
      <c r="AB310" s="270">
        <v>2.6</v>
      </c>
      <c r="AC310" s="270">
        <v>0</v>
      </c>
      <c r="AD310" s="270">
        <v>3</v>
      </c>
      <c r="AE310" s="270">
        <v>3</v>
      </c>
      <c r="AF310" s="270" t="s">
        <v>84</v>
      </c>
      <c r="AH310" s="263">
        <v>2050</v>
      </c>
      <c r="AI310" s="254">
        <v>-3</v>
      </c>
      <c r="AJ310" s="254">
        <v>-0.10000000000000009</v>
      </c>
      <c r="AK310" s="254" t="s">
        <v>82</v>
      </c>
      <c r="AL310" s="254">
        <v>-0.1</v>
      </c>
      <c r="AM310" s="254" t="s">
        <v>82</v>
      </c>
      <c r="AN310" s="254" t="s">
        <v>82</v>
      </c>
      <c r="AO310" s="254" t="s">
        <v>82</v>
      </c>
    </row>
    <row r="311" spans="1:41" x14ac:dyDescent="0.2">
      <c r="A311" s="249">
        <v>307</v>
      </c>
      <c r="B311" s="195">
        <v>13</v>
      </c>
      <c r="C311" s="195" t="s">
        <v>687</v>
      </c>
      <c r="D311" s="195">
        <v>1</v>
      </c>
      <c r="E311" s="195" t="s">
        <v>307</v>
      </c>
      <c r="F311" s="196">
        <v>44301</v>
      </c>
      <c r="G311" s="250" t="s">
        <v>7</v>
      </c>
      <c r="H311" s="263">
        <v>2116</v>
      </c>
      <c r="I311" s="216" t="s">
        <v>690</v>
      </c>
      <c r="J311" s="264">
        <v>2530</v>
      </c>
      <c r="K311" s="264">
        <v>2801</v>
      </c>
      <c r="L311" s="265">
        <v>2532</v>
      </c>
      <c r="M311" s="249">
        <v>1</v>
      </c>
      <c r="N311" s="200">
        <v>0</v>
      </c>
      <c r="O311" s="269"/>
      <c r="P311" s="263">
        <v>2116</v>
      </c>
      <c r="Q311" s="270">
        <v>12.7</v>
      </c>
      <c r="R311" s="270">
        <v>1.6</v>
      </c>
      <c r="S311" s="270">
        <v>0.7</v>
      </c>
      <c r="T311" s="270">
        <v>0.9</v>
      </c>
      <c r="U311" s="270">
        <v>0.2</v>
      </c>
      <c r="V311" s="270">
        <v>0.2</v>
      </c>
      <c r="W311" s="270" t="s">
        <v>84</v>
      </c>
      <c r="Y311" s="263">
        <v>2116</v>
      </c>
      <c r="Z311" s="270">
        <v>0</v>
      </c>
      <c r="AA311" s="270">
        <v>0.7</v>
      </c>
      <c r="AB311" s="270">
        <v>0.7</v>
      </c>
      <c r="AC311" s="270">
        <v>0</v>
      </c>
      <c r="AD311" s="270">
        <v>0.2</v>
      </c>
      <c r="AE311" s="270">
        <v>0.2</v>
      </c>
      <c r="AF311" s="270" t="s">
        <v>84</v>
      </c>
      <c r="AH311" s="263">
        <v>2116</v>
      </c>
      <c r="AI311" s="254">
        <v>-12.7</v>
      </c>
      <c r="AJ311" s="254">
        <v>-0.90000000000000013</v>
      </c>
      <c r="AK311" s="254" t="s">
        <v>82</v>
      </c>
      <c r="AL311" s="254">
        <v>-0.9</v>
      </c>
      <c r="AM311" s="254" t="s">
        <v>82</v>
      </c>
      <c r="AN311" s="254" t="s">
        <v>82</v>
      </c>
      <c r="AO311" s="254" t="s">
        <v>82</v>
      </c>
    </row>
    <row r="312" spans="1:41" x14ac:dyDescent="0.2">
      <c r="A312" s="249">
        <v>308</v>
      </c>
      <c r="B312" s="195">
        <v>13</v>
      </c>
      <c r="C312" s="195" t="s">
        <v>687</v>
      </c>
      <c r="D312" s="195">
        <v>1</v>
      </c>
      <c r="E312" s="195" t="s">
        <v>307</v>
      </c>
      <c r="F312" s="196">
        <v>44378</v>
      </c>
      <c r="G312" s="250" t="s">
        <v>7</v>
      </c>
      <c r="H312" s="263">
        <v>2127</v>
      </c>
      <c r="I312" s="216" t="s">
        <v>691</v>
      </c>
      <c r="J312" s="264">
        <v>2530</v>
      </c>
      <c r="K312" s="264">
        <v>2711</v>
      </c>
      <c r="L312" s="265">
        <v>2532</v>
      </c>
      <c r="M312" s="249">
        <v>1</v>
      </c>
      <c r="N312" s="200">
        <v>0</v>
      </c>
      <c r="O312" s="269"/>
      <c r="P312" s="263">
        <v>2127</v>
      </c>
      <c r="Q312" s="270">
        <v>9.1</v>
      </c>
      <c r="R312" s="270">
        <v>1.5</v>
      </c>
      <c r="S312" s="270">
        <v>0.8</v>
      </c>
      <c r="T312" s="270">
        <v>0.7</v>
      </c>
      <c r="U312" s="270">
        <v>0.8</v>
      </c>
      <c r="V312" s="270">
        <v>0.8</v>
      </c>
      <c r="W312" s="270" t="s">
        <v>84</v>
      </c>
      <c r="Y312" s="263">
        <v>2127</v>
      </c>
      <c r="Z312" s="270">
        <v>0</v>
      </c>
      <c r="AA312" s="270">
        <v>0.8</v>
      </c>
      <c r="AB312" s="270">
        <v>0.8</v>
      </c>
      <c r="AC312" s="270">
        <v>0</v>
      </c>
      <c r="AD312" s="270">
        <v>0.8</v>
      </c>
      <c r="AE312" s="270">
        <v>0.8</v>
      </c>
      <c r="AF312" s="270" t="s">
        <v>84</v>
      </c>
      <c r="AH312" s="263">
        <v>2127</v>
      </c>
      <c r="AI312" s="254">
        <v>-9.1</v>
      </c>
      <c r="AJ312" s="254">
        <v>-0.7</v>
      </c>
      <c r="AK312" s="254" t="s">
        <v>82</v>
      </c>
      <c r="AL312" s="254">
        <v>-0.7</v>
      </c>
      <c r="AM312" s="254" t="s">
        <v>82</v>
      </c>
      <c r="AN312" s="254" t="s">
        <v>82</v>
      </c>
      <c r="AO312" s="254" t="s">
        <v>82</v>
      </c>
    </row>
    <row r="313" spans="1:41" x14ac:dyDescent="0.2">
      <c r="A313" s="249">
        <v>309</v>
      </c>
      <c r="B313" s="195">
        <v>13</v>
      </c>
      <c r="C313" s="195" t="s">
        <v>687</v>
      </c>
      <c r="D313" s="195">
        <v>1</v>
      </c>
      <c r="E313" s="195" t="s">
        <v>307</v>
      </c>
      <c r="F313" s="196">
        <v>44463</v>
      </c>
      <c r="G313" s="250" t="s">
        <v>8</v>
      </c>
      <c r="H313" s="263">
        <v>2139</v>
      </c>
      <c r="I313" s="216" t="s">
        <v>692</v>
      </c>
      <c r="J313" s="264">
        <v>2200</v>
      </c>
      <c r="K313" s="264">
        <v>2253</v>
      </c>
      <c r="L313" s="265">
        <v>2217</v>
      </c>
      <c r="M313" s="249">
        <v>1</v>
      </c>
      <c r="N313" s="200">
        <v>0</v>
      </c>
      <c r="O313" s="269"/>
      <c r="P313" s="263">
        <v>2139</v>
      </c>
      <c r="Q313" s="270">
        <v>13.8</v>
      </c>
      <c r="R313" s="270">
        <v>7.4</v>
      </c>
      <c r="S313" s="270">
        <v>4.4000000000000004</v>
      </c>
      <c r="T313" s="270">
        <v>3</v>
      </c>
      <c r="U313" s="270">
        <v>6.3</v>
      </c>
      <c r="V313" s="270">
        <v>3.6</v>
      </c>
      <c r="W313" s="270">
        <v>2.7</v>
      </c>
      <c r="Y313" s="263">
        <v>2139</v>
      </c>
      <c r="Z313" s="270">
        <v>6.7</v>
      </c>
      <c r="AA313" s="270">
        <v>6.8</v>
      </c>
      <c r="AB313" s="270">
        <v>4.4000000000000004</v>
      </c>
      <c r="AC313" s="270">
        <v>2.4</v>
      </c>
      <c r="AD313" s="270">
        <v>6.3</v>
      </c>
      <c r="AE313" s="270">
        <v>3.6</v>
      </c>
      <c r="AF313" s="270">
        <v>2.7</v>
      </c>
      <c r="AH313" s="263">
        <v>2139</v>
      </c>
      <c r="AI313" s="254">
        <v>-7.1000000000000005</v>
      </c>
      <c r="AJ313" s="254">
        <v>-0.60000000000000053</v>
      </c>
      <c r="AK313" s="254" t="s">
        <v>82</v>
      </c>
      <c r="AL313" s="254">
        <v>-0.60000000000000009</v>
      </c>
      <c r="AM313" s="254" t="s">
        <v>82</v>
      </c>
      <c r="AN313" s="254" t="s">
        <v>82</v>
      </c>
      <c r="AO313" s="254" t="s">
        <v>82</v>
      </c>
    </row>
    <row r="314" spans="1:41" x14ac:dyDescent="0.2">
      <c r="A314" s="249">
        <v>310</v>
      </c>
      <c r="B314" s="195">
        <v>13</v>
      </c>
      <c r="C314" s="195" t="s">
        <v>687</v>
      </c>
      <c r="D314" s="195">
        <v>1</v>
      </c>
      <c r="E314" s="195" t="s">
        <v>307</v>
      </c>
      <c r="F314" s="196">
        <v>44595</v>
      </c>
      <c r="G314" s="250" t="s">
        <v>7</v>
      </c>
      <c r="H314" s="263">
        <v>2206</v>
      </c>
      <c r="I314" s="216" t="s">
        <v>693</v>
      </c>
      <c r="J314" s="264">
        <v>2540</v>
      </c>
      <c r="K314" s="264">
        <v>2735</v>
      </c>
      <c r="L314" s="265">
        <v>2542</v>
      </c>
      <c r="M314" s="249">
        <v>1</v>
      </c>
      <c r="N314" s="200">
        <v>0</v>
      </c>
      <c r="O314" s="269"/>
      <c r="P314" s="263">
        <v>2206</v>
      </c>
      <c r="Q314" s="270">
        <v>11</v>
      </c>
      <c r="R314" s="270">
        <v>1.5</v>
      </c>
      <c r="S314" s="270">
        <v>0.4</v>
      </c>
      <c r="T314" s="270">
        <v>1.1000000000000001</v>
      </c>
      <c r="U314" s="270">
        <v>0.2</v>
      </c>
      <c r="V314" s="270">
        <v>0.2</v>
      </c>
      <c r="W314" s="270">
        <v>0</v>
      </c>
      <c r="Y314" s="263">
        <v>2206</v>
      </c>
      <c r="Z314" s="270">
        <v>0.2</v>
      </c>
      <c r="AA314" s="270">
        <v>0.5</v>
      </c>
      <c r="AB314" s="270">
        <v>0.4</v>
      </c>
      <c r="AC314" s="270">
        <v>0.1</v>
      </c>
      <c r="AD314" s="270">
        <v>0.2</v>
      </c>
      <c r="AE314" s="270">
        <v>0.2</v>
      </c>
      <c r="AF314" s="270">
        <v>0</v>
      </c>
      <c r="AH314" s="263">
        <v>2206</v>
      </c>
      <c r="AI314" s="254">
        <v>-10.8</v>
      </c>
      <c r="AJ314" s="254">
        <v>-1</v>
      </c>
      <c r="AK314" s="254" t="s">
        <v>82</v>
      </c>
      <c r="AL314" s="254">
        <v>-1</v>
      </c>
      <c r="AM314" s="254" t="s">
        <v>82</v>
      </c>
      <c r="AN314" s="254" t="s">
        <v>82</v>
      </c>
      <c r="AO314" s="254" t="s">
        <v>82</v>
      </c>
    </row>
    <row r="315" spans="1:41" x14ac:dyDescent="0.2">
      <c r="A315" s="249">
        <v>311</v>
      </c>
      <c r="B315" s="195">
        <v>13</v>
      </c>
      <c r="C315" s="195" t="s">
        <v>687</v>
      </c>
      <c r="D315" s="195">
        <v>2</v>
      </c>
      <c r="E315" s="195" t="s">
        <v>324</v>
      </c>
      <c r="F315" s="196">
        <v>44089</v>
      </c>
      <c r="G315" s="250" t="s">
        <v>5</v>
      </c>
      <c r="H315" s="263">
        <v>2038</v>
      </c>
      <c r="I315" s="216" t="s">
        <v>325</v>
      </c>
      <c r="J315" s="264">
        <v>1450</v>
      </c>
      <c r="K315" s="264">
        <v>1549</v>
      </c>
      <c r="L315" s="265">
        <v>1535</v>
      </c>
      <c r="M315" s="249">
        <v>1</v>
      </c>
      <c r="N315" s="200">
        <v>0</v>
      </c>
      <c r="O315" s="269"/>
      <c r="P315" s="263">
        <v>2038</v>
      </c>
      <c r="Q315" s="270">
        <v>8.5</v>
      </c>
      <c r="R315" s="270">
        <v>2.8</v>
      </c>
      <c r="S315" s="270">
        <v>2.1</v>
      </c>
      <c r="T315" s="270">
        <v>0.7</v>
      </c>
      <c r="U315" s="270">
        <v>2.6</v>
      </c>
      <c r="V315" s="270">
        <v>2.6</v>
      </c>
      <c r="W315" s="270">
        <v>0</v>
      </c>
      <c r="Y315" s="263">
        <v>2038</v>
      </c>
      <c r="Z315" s="270">
        <v>0</v>
      </c>
      <c r="AA315" s="270">
        <v>2.1</v>
      </c>
      <c r="AB315" s="270">
        <v>2.1</v>
      </c>
      <c r="AC315" s="270">
        <v>0</v>
      </c>
      <c r="AD315" s="270">
        <v>2.6</v>
      </c>
      <c r="AE315" s="270">
        <v>2.6</v>
      </c>
      <c r="AF315" s="270">
        <v>0</v>
      </c>
      <c r="AH315" s="263">
        <v>2038</v>
      </c>
      <c r="AI315" s="254">
        <v>-8.5</v>
      </c>
      <c r="AJ315" s="254">
        <v>-0.69999999999999973</v>
      </c>
      <c r="AK315" s="254" t="s">
        <v>82</v>
      </c>
      <c r="AL315" s="254">
        <v>-0.7</v>
      </c>
      <c r="AM315" s="254" t="s">
        <v>82</v>
      </c>
      <c r="AN315" s="254" t="s">
        <v>82</v>
      </c>
      <c r="AO315" s="254" t="s">
        <v>82</v>
      </c>
    </row>
    <row r="316" spans="1:41" x14ac:dyDescent="0.2">
      <c r="A316" s="249">
        <v>312</v>
      </c>
      <c r="B316" s="195">
        <v>13</v>
      </c>
      <c r="C316" s="195" t="s">
        <v>687</v>
      </c>
      <c r="D316" s="195">
        <v>2</v>
      </c>
      <c r="E316" s="195" t="s">
        <v>324</v>
      </c>
      <c r="F316" s="196">
        <v>44230</v>
      </c>
      <c r="G316" s="250" t="s">
        <v>6</v>
      </c>
      <c r="H316" s="263">
        <v>2106</v>
      </c>
      <c r="I316" s="216" t="s">
        <v>694</v>
      </c>
      <c r="J316" s="264">
        <v>2425</v>
      </c>
      <c r="K316" s="264">
        <v>2454</v>
      </c>
      <c r="L316" s="265">
        <v>2426</v>
      </c>
      <c r="M316" s="249">
        <v>0</v>
      </c>
      <c r="N316" s="200">
        <v>0</v>
      </c>
      <c r="O316" s="269"/>
      <c r="P316" s="263">
        <v>2106</v>
      </c>
      <c r="Q316" s="270">
        <v>7.9</v>
      </c>
      <c r="R316" s="267"/>
      <c r="S316" s="267"/>
      <c r="T316" s="267"/>
      <c r="U316" s="267"/>
      <c r="V316" s="267"/>
      <c r="W316" s="267"/>
      <c r="Y316" s="263">
        <v>2106</v>
      </c>
      <c r="Z316" s="270">
        <v>0</v>
      </c>
      <c r="AA316" s="267"/>
      <c r="AB316" s="267"/>
      <c r="AC316" s="267"/>
      <c r="AD316" s="267"/>
      <c r="AE316" s="267"/>
      <c r="AF316" s="267"/>
      <c r="AH316" s="263">
        <v>2106</v>
      </c>
      <c r="AI316" s="254">
        <v>-7.9</v>
      </c>
      <c r="AJ316" s="254" t="s">
        <v>82</v>
      </c>
      <c r="AK316" s="254" t="s">
        <v>82</v>
      </c>
      <c r="AL316" s="254" t="s">
        <v>82</v>
      </c>
      <c r="AM316" s="254" t="s">
        <v>82</v>
      </c>
      <c r="AN316" s="254" t="s">
        <v>82</v>
      </c>
      <c r="AO316" s="254" t="s">
        <v>82</v>
      </c>
    </row>
    <row r="317" spans="1:41" x14ac:dyDescent="0.2">
      <c r="A317" s="249">
        <v>313</v>
      </c>
      <c r="B317" s="195">
        <v>13</v>
      </c>
      <c r="C317" s="195" t="s">
        <v>687</v>
      </c>
      <c r="D317" s="195">
        <v>2</v>
      </c>
      <c r="E317" s="195" t="s">
        <v>324</v>
      </c>
      <c r="F317" s="196">
        <v>44365</v>
      </c>
      <c r="G317" s="250" t="s">
        <v>8</v>
      </c>
      <c r="H317" s="263">
        <v>2125</v>
      </c>
      <c r="I317" s="216" t="s">
        <v>328</v>
      </c>
      <c r="J317" s="264">
        <v>1748</v>
      </c>
      <c r="K317" s="264">
        <v>1859</v>
      </c>
      <c r="L317" s="265">
        <v>1801</v>
      </c>
      <c r="M317" s="249">
        <v>1</v>
      </c>
      <c r="N317" s="200">
        <v>0</v>
      </c>
      <c r="O317" s="269"/>
      <c r="P317" s="263">
        <v>2125</v>
      </c>
      <c r="Q317" s="270">
        <v>4.4000000000000004</v>
      </c>
      <c r="R317" s="270">
        <v>5.3</v>
      </c>
      <c r="S317" s="270">
        <v>5</v>
      </c>
      <c r="T317" s="270">
        <v>0.3</v>
      </c>
      <c r="U317" s="270">
        <v>6.1</v>
      </c>
      <c r="V317" s="270">
        <v>6.1</v>
      </c>
      <c r="W317" s="270" t="s">
        <v>84</v>
      </c>
      <c r="Y317" s="263">
        <v>2125</v>
      </c>
      <c r="Z317" s="270">
        <v>0</v>
      </c>
      <c r="AA317" s="270">
        <v>5</v>
      </c>
      <c r="AB317" s="270">
        <v>5</v>
      </c>
      <c r="AC317" s="270">
        <v>0</v>
      </c>
      <c r="AD317" s="270">
        <v>6.1</v>
      </c>
      <c r="AE317" s="270">
        <v>6.1</v>
      </c>
      <c r="AF317" s="270" t="s">
        <v>84</v>
      </c>
      <c r="AH317" s="263">
        <v>2125</v>
      </c>
      <c r="AI317" s="254">
        <v>-4.4000000000000004</v>
      </c>
      <c r="AJ317" s="254">
        <v>-0.29999999999999982</v>
      </c>
      <c r="AK317" s="254" t="s">
        <v>82</v>
      </c>
      <c r="AL317" s="254">
        <v>-0.3</v>
      </c>
      <c r="AM317" s="254" t="s">
        <v>82</v>
      </c>
      <c r="AN317" s="254" t="s">
        <v>82</v>
      </c>
      <c r="AO317" s="254" t="s">
        <v>82</v>
      </c>
    </row>
    <row r="318" spans="1:41" x14ac:dyDescent="0.2">
      <c r="A318" s="249">
        <v>314</v>
      </c>
      <c r="B318" s="195">
        <v>13</v>
      </c>
      <c r="C318" s="195" t="s">
        <v>687</v>
      </c>
      <c r="D318" s="195">
        <v>2</v>
      </c>
      <c r="E318" s="195" t="s">
        <v>324</v>
      </c>
      <c r="F318" s="196">
        <v>44543</v>
      </c>
      <c r="G318" s="250" t="s">
        <v>4</v>
      </c>
      <c r="H318" s="263">
        <v>2151</v>
      </c>
      <c r="I318" s="216" t="s">
        <v>217</v>
      </c>
      <c r="J318" s="264">
        <v>800</v>
      </c>
      <c r="K318" s="264">
        <v>949</v>
      </c>
      <c r="L318" s="265">
        <v>937</v>
      </c>
      <c r="M318" s="249">
        <v>1</v>
      </c>
      <c r="N318" s="200">
        <v>0</v>
      </c>
      <c r="O318" s="269"/>
      <c r="P318" s="263">
        <v>2151</v>
      </c>
      <c r="Q318" s="270">
        <v>2.7</v>
      </c>
      <c r="R318" s="270">
        <v>3.2</v>
      </c>
      <c r="S318" s="270">
        <v>3.1</v>
      </c>
      <c r="T318" s="270">
        <v>0.1</v>
      </c>
      <c r="U318" s="270">
        <v>3.2</v>
      </c>
      <c r="V318" s="270">
        <v>3.2</v>
      </c>
      <c r="W318" s="270">
        <v>0</v>
      </c>
      <c r="Y318" s="263">
        <v>2151</v>
      </c>
      <c r="Z318" s="270">
        <v>0</v>
      </c>
      <c r="AA318" s="270">
        <v>3.1</v>
      </c>
      <c r="AB318" s="270">
        <v>3.1</v>
      </c>
      <c r="AC318" s="270">
        <v>0</v>
      </c>
      <c r="AD318" s="270">
        <v>3.2</v>
      </c>
      <c r="AE318" s="270">
        <v>3.2</v>
      </c>
      <c r="AF318" s="270">
        <v>0</v>
      </c>
      <c r="AH318" s="263">
        <v>2151</v>
      </c>
      <c r="AI318" s="254">
        <v>-2.7</v>
      </c>
      <c r="AJ318" s="254">
        <v>-0.10000000000000009</v>
      </c>
      <c r="AK318" s="254" t="s">
        <v>82</v>
      </c>
      <c r="AL318" s="254">
        <v>-0.1</v>
      </c>
      <c r="AM318" s="254" t="s">
        <v>82</v>
      </c>
      <c r="AN318" s="254" t="s">
        <v>82</v>
      </c>
      <c r="AO318" s="254" t="s">
        <v>82</v>
      </c>
    </row>
    <row r="319" spans="1:41" x14ac:dyDescent="0.2">
      <c r="A319" s="249">
        <v>315</v>
      </c>
      <c r="B319" s="195">
        <v>13</v>
      </c>
      <c r="C319" s="195" t="s">
        <v>687</v>
      </c>
      <c r="D319" s="195">
        <v>2</v>
      </c>
      <c r="E319" s="195" t="s">
        <v>324</v>
      </c>
      <c r="F319" s="196">
        <v>44560</v>
      </c>
      <c r="G319" s="250" t="s">
        <v>7</v>
      </c>
      <c r="H319" s="271">
        <v>2201</v>
      </c>
      <c r="I319" s="216" t="s">
        <v>695</v>
      </c>
      <c r="J319" s="264">
        <v>2555</v>
      </c>
      <c r="K319" s="264">
        <v>2654</v>
      </c>
      <c r="L319" s="265">
        <v>2614</v>
      </c>
      <c r="M319" s="249">
        <v>0</v>
      </c>
      <c r="N319" s="200">
        <v>0</v>
      </c>
      <c r="O319" s="269"/>
      <c r="P319" s="263">
        <v>2201</v>
      </c>
      <c r="Q319" s="270">
        <v>3.4</v>
      </c>
      <c r="R319" s="267"/>
      <c r="S319" s="267"/>
      <c r="T319" s="267"/>
      <c r="U319" s="267"/>
      <c r="V319" s="267"/>
      <c r="W319" s="267"/>
      <c r="Y319" s="263">
        <v>2201</v>
      </c>
      <c r="Z319" s="270">
        <v>0.6</v>
      </c>
      <c r="AA319" s="267"/>
      <c r="AB319" s="267"/>
      <c r="AC319" s="267"/>
      <c r="AD319" s="267"/>
      <c r="AE319" s="267"/>
      <c r="AF319" s="267"/>
      <c r="AH319" s="263">
        <v>2201</v>
      </c>
      <c r="AI319" s="254">
        <v>-2.8</v>
      </c>
      <c r="AJ319" s="254" t="s">
        <v>82</v>
      </c>
      <c r="AK319" s="254" t="s">
        <v>82</v>
      </c>
      <c r="AL319" s="254" t="s">
        <v>82</v>
      </c>
      <c r="AM319" s="254" t="s">
        <v>82</v>
      </c>
      <c r="AN319" s="254" t="s">
        <v>82</v>
      </c>
      <c r="AO319" s="254" t="s">
        <v>82</v>
      </c>
    </row>
    <row r="320" spans="1:41" x14ac:dyDescent="0.2">
      <c r="A320" s="249">
        <v>316</v>
      </c>
      <c r="B320" s="195">
        <v>13</v>
      </c>
      <c r="C320" s="195" t="s">
        <v>687</v>
      </c>
      <c r="D320" s="195">
        <v>2</v>
      </c>
      <c r="E320" s="195" t="s">
        <v>324</v>
      </c>
      <c r="F320" s="196">
        <v>44588</v>
      </c>
      <c r="G320" s="250" t="s">
        <v>7</v>
      </c>
      <c r="H320" s="263">
        <v>2205</v>
      </c>
      <c r="I320" s="216" t="s">
        <v>330</v>
      </c>
      <c r="J320" s="264">
        <v>1155</v>
      </c>
      <c r="K320" s="264">
        <v>1444</v>
      </c>
      <c r="L320" s="265">
        <v>1202</v>
      </c>
      <c r="M320" s="249">
        <v>1</v>
      </c>
      <c r="N320" s="200">
        <v>0</v>
      </c>
      <c r="O320" s="269"/>
      <c r="P320" s="263">
        <v>2205</v>
      </c>
      <c r="Q320" s="270">
        <v>24.9</v>
      </c>
      <c r="R320" s="270">
        <v>2.9</v>
      </c>
      <c r="S320" s="270">
        <v>2.2999999999999998</v>
      </c>
      <c r="T320" s="270">
        <v>0.6</v>
      </c>
      <c r="U320" s="270">
        <v>2.8</v>
      </c>
      <c r="V320" s="270">
        <v>2.8</v>
      </c>
      <c r="W320" s="270" t="s">
        <v>84</v>
      </c>
      <c r="Y320" s="263">
        <v>2205</v>
      </c>
      <c r="Z320" s="270">
        <v>0</v>
      </c>
      <c r="AA320" s="270">
        <v>2.2999999999999998</v>
      </c>
      <c r="AB320" s="270">
        <v>2.2999999999999998</v>
      </c>
      <c r="AC320" s="270">
        <v>0</v>
      </c>
      <c r="AD320" s="270">
        <v>2.8</v>
      </c>
      <c r="AE320" s="270">
        <v>2.8</v>
      </c>
      <c r="AF320" s="270" t="s">
        <v>84</v>
      </c>
      <c r="AH320" s="263">
        <v>2205</v>
      </c>
      <c r="AI320" s="254">
        <v>-24.9</v>
      </c>
      <c r="AJ320" s="254">
        <v>-0.60000000000000009</v>
      </c>
      <c r="AK320" s="254" t="s">
        <v>82</v>
      </c>
      <c r="AL320" s="254">
        <v>-0.6</v>
      </c>
      <c r="AM320" s="254" t="s">
        <v>82</v>
      </c>
      <c r="AN320" s="254" t="s">
        <v>82</v>
      </c>
      <c r="AO320" s="254" t="s">
        <v>82</v>
      </c>
    </row>
    <row r="321" spans="1:41" x14ac:dyDescent="0.2">
      <c r="A321" s="249">
        <v>317</v>
      </c>
      <c r="B321" s="195">
        <v>13</v>
      </c>
      <c r="C321" s="195" t="s">
        <v>687</v>
      </c>
      <c r="D321" s="195">
        <v>2</v>
      </c>
      <c r="E321" s="195" t="s">
        <v>324</v>
      </c>
      <c r="F321" s="196">
        <v>44625</v>
      </c>
      <c r="G321" s="250" t="s">
        <v>9</v>
      </c>
      <c r="H321" s="263">
        <v>2210</v>
      </c>
      <c r="I321" s="216" t="s">
        <v>696</v>
      </c>
      <c r="J321" s="264">
        <v>2640</v>
      </c>
      <c r="K321" s="264">
        <v>2709</v>
      </c>
      <c r="L321" s="265">
        <v>2641</v>
      </c>
      <c r="M321" s="249">
        <v>0</v>
      </c>
      <c r="N321" s="200">
        <v>0</v>
      </c>
      <c r="P321" s="263">
        <v>2210</v>
      </c>
      <c r="Q321" s="270">
        <v>2.9</v>
      </c>
      <c r="R321" s="267"/>
      <c r="S321" s="267"/>
      <c r="T321" s="267"/>
      <c r="U321" s="267"/>
      <c r="V321" s="267"/>
      <c r="W321" s="267"/>
      <c r="Y321" s="263">
        <v>2210</v>
      </c>
      <c r="Z321" s="270">
        <v>0</v>
      </c>
      <c r="AA321" s="267"/>
      <c r="AB321" s="267"/>
      <c r="AC321" s="267"/>
      <c r="AD321" s="267"/>
      <c r="AE321" s="267"/>
      <c r="AF321" s="267"/>
      <c r="AH321" s="263">
        <v>2210</v>
      </c>
      <c r="AI321" s="254">
        <v>-2.9</v>
      </c>
      <c r="AJ321" s="254" t="s">
        <v>82</v>
      </c>
      <c r="AK321" s="254" t="s">
        <v>82</v>
      </c>
      <c r="AL321" s="254" t="s">
        <v>82</v>
      </c>
      <c r="AM321" s="254" t="s">
        <v>82</v>
      </c>
      <c r="AN321" s="254" t="s">
        <v>82</v>
      </c>
      <c r="AO321" s="254" t="s">
        <v>82</v>
      </c>
    </row>
    <row r="322" spans="1:41" x14ac:dyDescent="0.2">
      <c r="A322" s="249">
        <v>318</v>
      </c>
      <c r="B322" s="195">
        <v>13</v>
      </c>
      <c r="C322" s="195" t="s">
        <v>687</v>
      </c>
      <c r="D322" s="195">
        <v>3</v>
      </c>
      <c r="E322" s="195" t="s">
        <v>331</v>
      </c>
      <c r="F322" s="196">
        <v>44245</v>
      </c>
      <c r="G322" s="250" t="s">
        <v>7</v>
      </c>
      <c r="H322" s="263">
        <v>2108</v>
      </c>
      <c r="I322" s="216" t="s">
        <v>269</v>
      </c>
      <c r="J322" s="264">
        <v>1550</v>
      </c>
      <c r="K322" s="264">
        <v>1649</v>
      </c>
      <c r="L322" s="265">
        <v>1638</v>
      </c>
      <c r="M322" s="249">
        <v>1</v>
      </c>
      <c r="N322" s="200">
        <v>0</v>
      </c>
      <c r="P322" s="263">
        <v>2108</v>
      </c>
      <c r="Q322" s="270">
        <v>4.0999999999999996</v>
      </c>
      <c r="R322" s="270">
        <v>2.5</v>
      </c>
      <c r="S322" s="270">
        <v>2.2000000000000002</v>
      </c>
      <c r="T322" s="270">
        <v>0.3</v>
      </c>
      <c r="U322" s="270">
        <v>2.9</v>
      </c>
      <c r="V322" s="270">
        <v>2.9</v>
      </c>
      <c r="W322" s="270" t="s">
        <v>84</v>
      </c>
      <c r="Y322" s="263">
        <v>2108</v>
      </c>
      <c r="Z322" s="270">
        <v>0</v>
      </c>
      <c r="AA322" s="270">
        <v>2.2000000000000002</v>
      </c>
      <c r="AB322" s="270">
        <v>2.2000000000000002</v>
      </c>
      <c r="AC322" s="270">
        <v>0</v>
      </c>
      <c r="AD322" s="270">
        <v>2.9</v>
      </c>
      <c r="AE322" s="270">
        <v>2.9</v>
      </c>
      <c r="AF322" s="270" t="s">
        <v>84</v>
      </c>
      <c r="AH322" s="263">
        <v>2108</v>
      </c>
      <c r="AI322" s="254">
        <v>-4.0999999999999996</v>
      </c>
      <c r="AJ322" s="254">
        <v>-0.29999999999999982</v>
      </c>
      <c r="AK322" s="254" t="s">
        <v>82</v>
      </c>
      <c r="AL322" s="254">
        <v>-0.3</v>
      </c>
      <c r="AM322" s="254" t="s">
        <v>82</v>
      </c>
      <c r="AN322" s="254" t="s">
        <v>82</v>
      </c>
      <c r="AO322" s="254" t="s">
        <v>82</v>
      </c>
    </row>
    <row r="323" spans="1:41" x14ac:dyDescent="0.2">
      <c r="A323" s="249">
        <v>319</v>
      </c>
      <c r="B323" s="195">
        <v>13</v>
      </c>
      <c r="C323" s="195" t="s">
        <v>687</v>
      </c>
      <c r="D323" s="195">
        <v>3</v>
      </c>
      <c r="E323" s="195" t="s">
        <v>331</v>
      </c>
      <c r="F323" s="196">
        <v>44541</v>
      </c>
      <c r="G323" s="250" t="s">
        <v>9</v>
      </c>
      <c r="H323" s="263">
        <v>2150</v>
      </c>
      <c r="I323" s="216" t="s">
        <v>697</v>
      </c>
      <c r="J323" s="264">
        <v>2200</v>
      </c>
      <c r="K323" s="264">
        <v>2253</v>
      </c>
      <c r="L323" s="265">
        <v>2242</v>
      </c>
      <c r="M323" s="249">
        <v>1</v>
      </c>
      <c r="N323" s="200">
        <v>0</v>
      </c>
      <c r="P323" s="263">
        <v>2150</v>
      </c>
      <c r="Q323" s="270">
        <v>6</v>
      </c>
      <c r="R323" s="270">
        <v>5.8</v>
      </c>
      <c r="S323" s="270">
        <v>3.7</v>
      </c>
      <c r="T323" s="270">
        <v>2.1</v>
      </c>
      <c r="U323" s="270">
        <v>3.5</v>
      </c>
      <c r="V323" s="270">
        <v>2.5</v>
      </c>
      <c r="W323" s="270">
        <v>1</v>
      </c>
      <c r="Y323" s="263">
        <v>2150</v>
      </c>
      <c r="Z323" s="270">
        <v>3.3</v>
      </c>
      <c r="AA323" s="270">
        <v>5.5</v>
      </c>
      <c r="AB323" s="270">
        <v>3.7</v>
      </c>
      <c r="AC323" s="270">
        <v>1.8</v>
      </c>
      <c r="AD323" s="270">
        <v>3.5</v>
      </c>
      <c r="AE323" s="270">
        <v>2.5</v>
      </c>
      <c r="AF323" s="270">
        <v>1</v>
      </c>
      <c r="AH323" s="263">
        <v>2150</v>
      </c>
      <c r="AI323" s="254">
        <v>-2.7</v>
      </c>
      <c r="AJ323" s="254">
        <v>-0.29999999999999982</v>
      </c>
      <c r="AK323" s="254" t="s">
        <v>82</v>
      </c>
      <c r="AL323" s="254">
        <v>-0.30000000000000004</v>
      </c>
      <c r="AM323" s="254" t="s">
        <v>82</v>
      </c>
      <c r="AN323" s="254" t="s">
        <v>82</v>
      </c>
      <c r="AO323" s="254" t="s">
        <v>82</v>
      </c>
    </row>
    <row r="324" spans="1:41" x14ac:dyDescent="0.2">
      <c r="A324" s="249">
        <v>320</v>
      </c>
      <c r="B324" s="195">
        <v>13</v>
      </c>
      <c r="C324" s="195" t="s">
        <v>687</v>
      </c>
      <c r="D324" s="195">
        <v>3</v>
      </c>
      <c r="E324" s="195" t="s">
        <v>331</v>
      </c>
      <c r="F324" s="196">
        <v>44590</v>
      </c>
      <c r="G324" s="250" t="s">
        <v>9</v>
      </c>
      <c r="H324" s="263">
        <v>2205</v>
      </c>
      <c r="I324" s="216" t="s">
        <v>698</v>
      </c>
      <c r="J324" s="264">
        <v>2200</v>
      </c>
      <c r="K324" s="264">
        <v>2253</v>
      </c>
      <c r="L324" s="265">
        <v>2242</v>
      </c>
      <c r="M324" s="249">
        <v>0</v>
      </c>
      <c r="N324" s="200">
        <v>0</v>
      </c>
      <c r="P324" s="263">
        <v>2205</v>
      </c>
      <c r="Q324" s="270">
        <v>26.5</v>
      </c>
      <c r="R324" s="267"/>
      <c r="S324" s="267"/>
      <c r="T324" s="267"/>
      <c r="U324" s="267"/>
      <c r="V324" s="267"/>
      <c r="W324" s="267"/>
      <c r="Y324" s="263">
        <v>2205</v>
      </c>
      <c r="Z324" s="270">
        <v>5.0999999999999996</v>
      </c>
      <c r="AA324" s="267"/>
      <c r="AB324" s="267"/>
      <c r="AC324" s="267"/>
      <c r="AD324" s="267"/>
      <c r="AE324" s="267"/>
      <c r="AF324" s="267"/>
      <c r="AH324" s="263">
        <v>2205</v>
      </c>
      <c r="AI324" s="254">
        <v>-21.4</v>
      </c>
      <c r="AJ324" s="254" t="s">
        <v>82</v>
      </c>
      <c r="AK324" s="254" t="s">
        <v>82</v>
      </c>
      <c r="AL324" s="254" t="s">
        <v>82</v>
      </c>
      <c r="AM324" s="254" t="s">
        <v>82</v>
      </c>
      <c r="AN324" s="254" t="s">
        <v>82</v>
      </c>
      <c r="AO324" s="254" t="s">
        <v>82</v>
      </c>
    </row>
    <row r="325" spans="1:41" x14ac:dyDescent="0.2">
      <c r="A325" s="249">
        <v>321</v>
      </c>
      <c r="B325" s="195">
        <v>13</v>
      </c>
      <c r="C325" s="195" t="s">
        <v>687</v>
      </c>
      <c r="D325" s="195">
        <v>3</v>
      </c>
      <c r="E325" s="195" t="s">
        <v>331</v>
      </c>
      <c r="F325" s="196">
        <v>44602</v>
      </c>
      <c r="G325" s="250" t="s">
        <v>7</v>
      </c>
      <c r="H325" s="263">
        <v>2207</v>
      </c>
      <c r="I325" s="216" t="s">
        <v>337</v>
      </c>
      <c r="J325" s="264">
        <v>2409</v>
      </c>
      <c r="K325" s="264">
        <v>2503</v>
      </c>
      <c r="L325" s="265">
        <v>2458</v>
      </c>
      <c r="M325" s="249">
        <v>1</v>
      </c>
      <c r="N325" s="200">
        <v>0</v>
      </c>
      <c r="P325" s="263">
        <v>2207</v>
      </c>
      <c r="Q325" s="270">
        <v>5.3</v>
      </c>
      <c r="R325" s="270">
        <v>2.1</v>
      </c>
      <c r="S325" s="270">
        <v>0.7</v>
      </c>
      <c r="T325" s="270">
        <v>1.4</v>
      </c>
      <c r="U325" s="270">
        <v>1.4</v>
      </c>
      <c r="V325" s="270">
        <v>0.6</v>
      </c>
      <c r="W325" s="270">
        <v>0.8</v>
      </c>
      <c r="Y325" s="263">
        <v>2207</v>
      </c>
      <c r="Z325" s="270">
        <v>2.2999999999999998</v>
      </c>
      <c r="AA325" s="270">
        <v>1.9</v>
      </c>
      <c r="AB325" s="270">
        <v>0.7</v>
      </c>
      <c r="AC325" s="270">
        <v>1.2</v>
      </c>
      <c r="AD325" s="270">
        <v>1.4</v>
      </c>
      <c r="AE325" s="270">
        <v>0.6</v>
      </c>
      <c r="AF325" s="270">
        <v>0.8</v>
      </c>
      <c r="AH325" s="263">
        <v>2207</v>
      </c>
      <c r="AI325" s="254">
        <v>-3</v>
      </c>
      <c r="AJ325" s="254">
        <v>-0.20000000000000018</v>
      </c>
      <c r="AK325" s="254" t="s">
        <v>82</v>
      </c>
      <c r="AL325" s="254">
        <v>-0.19999999999999996</v>
      </c>
      <c r="AM325" s="254" t="s">
        <v>82</v>
      </c>
      <c r="AN325" s="254" t="s">
        <v>82</v>
      </c>
      <c r="AO325" s="254" t="s">
        <v>82</v>
      </c>
    </row>
    <row r="326" spans="1:41" x14ac:dyDescent="0.2">
      <c r="A326" s="249">
        <v>322</v>
      </c>
      <c r="B326" s="195">
        <v>13</v>
      </c>
      <c r="C326" s="195" t="s">
        <v>687</v>
      </c>
      <c r="D326" s="195">
        <v>4</v>
      </c>
      <c r="E326" s="195" t="s">
        <v>339</v>
      </c>
      <c r="F326" s="196">
        <v>44218</v>
      </c>
      <c r="G326" s="250" t="s">
        <v>8</v>
      </c>
      <c r="H326" s="263">
        <v>2104</v>
      </c>
      <c r="I326" s="216" t="s">
        <v>699</v>
      </c>
      <c r="J326" s="264">
        <v>2315</v>
      </c>
      <c r="K326" s="264">
        <v>2414</v>
      </c>
      <c r="L326" s="265">
        <v>2317</v>
      </c>
      <c r="M326" s="249">
        <v>0</v>
      </c>
      <c r="N326" s="200">
        <v>0</v>
      </c>
      <c r="P326" s="263">
        <v>2104</v>
      </c>
      <c r="Q326" s="270">
        <v>12.5</v>
      </c>
      <c r="R326" s="267"/>
      <c r="S326" s="267"/>
      <c r="T326" s="267"/>
      <c r="U326" s="267"/>
      <c r="V326" s="267"/>
      <c r="W326" s="267"/>
      <c r="Y326" s="263">
        <v>2104</v>
      </c>
      <c r="Z326" s="270">
        <v>1.8</v>
      </c>
      <c r="AA326" s="267"/>
      <c r="AB326" s="267"/>
      <c r="AC326" s="267"/>
      <c r="AD326" s="267"/>
      <c r="AE326" s="267"/>
      <c r="AF326" s="267"/>
      <c r="AH326" s="263">
        <v>2104</v>
      </c>
      <c r="AI326" s="254">
        <v>-10.7</v>
      </c>
      <c r="AJ326" s="254" t="s">
        <v>82</v>
      </c>
      <c r="AK326" s="254" t="s">
        <v>82</v>
      </c>
      <c r="AL326" s="254" t="s">
        <v>82</v>
      </c>
      <c r="AM326" s="254" t="s">
        <v>82</v>
      </c>
      <c r="AN326" s="254" t="s">
        <v>82</v>
      </c>
      <c r="AO326" s="254" t="s">
        <v>82</v>
      </c>
    </row>
    <row r="327" spans="1:41" x14ac:dyDescent="0.2">
      <c r="A327" s="249">
        <v>323</v>
      </c>
      <c r="B327" s="195">
        <v>13</v>
      </c>
      <c r="C327" s="195" t="s">
        <v>687</v>
      </c>
      <c r="D327" s="195">
        <v>4</v>
      </c>
      <c r="E327" s="195" t="s">
        <v>339</v>
      </c>
      <c r="F327" s="196">
        <v>44321</v>
      </c>
      <c r="G327" s="250" t="s">
        <v>6</v>
      </c>
      <c r="H327" s="263">
        <v>2119</v>
      </c>
      <c r="I327" s="216" t="s">
        <v>700</v>
      </c>
      <c r="J327" s="264">
        <v>1600</v>
      </c>
      <c r="K327" s="264">
        <v>1609</v>
      </c>
      <c r="L327" s="265">
        <v>1609</v>
      </c>
      <c r="M327" s="249">
        <v>1</v>
      </c>
      <c r="N327" s="200">
        <v>1</v>
      </c>
      <c r="P327" s="263">
        <v>2119</v>
      </c>
      <c r="Q327" s="270">
        <v>9.4</v>
      </c>
      <c r="R327" s="270">
        <v>3.8</v>
      </c>
      <c r="S327" s="270">
        <v>0.7</v>
      </c>
      <c r="T327" s="270">
        <v>3.1</v>
      </c>
      <c r="U327" s="270">
        <v>10.4</v>
      </c>
      <c r="V327" s="270">
        <v>1</v>
      </c>
      <c r="W327" s="270">
        <v>9.4</v>
      </c>
      <c r="Y327" s="263">
        <v>2119</v>
      </c>
      <c r="Z327" s="270">
        <v>0</v>
      </c>
      <c r="AA327" s="270">
        <v>0.7</v>
      </c>
      <c r="AB327" s="270">
        <v>0.7</v>
      </c>
      <c r="AC327" s="270">
        <v>0</v>
      </c>
      <c r="AD327" s="270">
        <v>1</v>
      </c>
      <c r="AE327" s="270">
        <v>1</v>
      </c>
      <c r="AF327" s="270">
        <v>0</v>
      </c>
      <c r="AH327" s="263">
        <v>2119</v>
      </c>
      <c r="AI327" s="254">
        <v>-9.4</v>
      </c>
      <c r="AJ327" s="254">
        <v>-3.0999999999999996</v>
      </c>
      <c r="AK327" s="254" t="s">
        <v>82</v>
      </c>
      <c r="AL327" s="254">
        <v>-3.1</v>
      </c>
      <c r="AM327" s="254">
        <v>-9.4</v>
      </c>
      <c r="AN327" s="254" t="s">
        <v>82</v>
      </c>
      <c r="AO327" s="254">
        <v>-9.4</v>
      </c>
    </row>
    <row r="328" spans="1:41" x14ac:dyDescent="0.2">
      <c r="A328" s="249">
        <v>324</v>
      </c>
      <c r="B328" s="195">
        <v>13</v>
      </c>
      <c r="C328" s="195" t="s">
        <v>687</v>
      </c>
      <c r="D328" s="195">
        <v>4</v>
      </c>
      <c r="E328" s="195" t="s">
        <v>339</v>
      </c>
      <c r="F328" s="196">
        <v>44343</v>
      </c>
      <c r="G328" s="250" t="s">
        <v>7</v>
      </c>
      <c r="H328" s="263">
        <v>2122</v>
      </c>
      <c r="I328" s="216" t="s">
        <v>342</v>
      </c>
      <c r="J328" s="264">
        <v>1030</v>
      </c>
      <c r="K328" s="264">
        <v>1141</v>
      </c>
      <c r="L328" s="265">
        <v>1047</v>
      </c>
      <c r="M328" s="249">
        <v>1</v>
      </c>
      <c r="N328" s="200">
        <v>0</v>
      </c>
      <c r="O328" s="269"/>
      <c r="P328" s="263">
        <v>2122</v>
      </c>
      <c r="Q328" s="270">
        <v>29.3</v>
      </c>
      <c r="R328" s="270">
        <v>5</v>
      </c>
      <c r="S328" s="270">
        <v>3.5</v>
      </c>
      <c r="T328" s="270">
        <v>1.5</v>
      </c>
      <c r="U328" s="270">
        <v>3.3</v>
      </c>
      <c r="V328" s="270">
        <v>3.3</v>
      </c>
      <c r="W328" s="270">
        <v>0</v>
      </c>
      <c r="Y328" s="263">
        <v>2122</v>
      </c>
      <c r="Z328" s="270">
        <v>0</v>
      </c>
      <c r="AA328" s="270">
        <v>3.5</v>
      </c>
      <c r="AB328" s="270">
        <v>3.5</v>
      </c>
      <c r="AC328" s="270">
        <v>0</v>
      </c>
      <c r="AD328" s="270">
        <v>3.3</v>
      </c>
      <c r="AE328" s="270">
        <v>3.3</v>
      </c>
      <c r="AF328" s="270">
        <v>0</v>
      </c>
      <c r="AH328" s="263">
        <v>2122</v>
      </c>
      <c r="AI328" s="254">
        <v>-29.3</v>
      </c>
      <c r="AJ328" s="254">
        <v>-1.5</v>
      </c>
      <c r="AK328" s="254" t="s">
        <v>82</v>
      </c>
      <c r="AL328" s="254">
        <v>-1.5</v>
      </c>
      <c r="AM328" s="254" t="s">
        <v>82</v>
      </c>
      <c r="AN328" s="254" t="s">
        <v>82</v>
      </c>
      <c r="AO328" s="254" t="s">
        <v>82</v>
      </c>
    </row>
    <row r="329" spans="1:41" x14ac:dyDescent="0.2">
      <c r="A329" s="249">
        <v>325</v>
      </c>
      <c r="B329" s="195">
        <v>13</v>
      </c>
      <c r="C329" s="195" t="s">
        <v>687</v>
      </c>
      <c r="D329" s="195">
        <v>4</v>
      </c>
      <c r="E329" s="195" t="s">
        <v>339</v>
      </c>
      <c r="F329" s="196">
        <v>44444</v>
      </c>
      <c r="G329" s="250" t="s">
        <v>10</v>
      </c>
      <c r="H329" s="263">
        <v>2136</v>
      </c>
      <c r="I329" s="216" t="s">
        <v>343</v>
      </c>
      <c r="J329" s="264">
        <v>1630</v>
      </c>
      <c r="K329" s="264">
        <v>1724</v>
      </c>
      <c r="L329" s="265">
        <v>1724</v>
      </c>
      <c r="M329" s="249">
        <v>1</v>
      </c>
      <c r="N329" s="200">
        <v>1</v>
      </c>
      <c r="P329" s="263">
        <v>2136</v>
      </c>
      <c r="Q329" s="270">
        <v>6.9</v>
      </c>
      <c r="R329" s="270">
        <v>5.4</v>
      </c>
      <c r="S329" s="270">
        <v>5</v>
      </c>
      <c r="T329" s="270">
        <v>0.4</v>
      </c>
      <c r="U329" s="270">
        <v>12.7</v>
      </c>
      <c r="V329" s="270">
        <v>5.8</v>
      </c>
      <c r="W329" s="270">
        <v>6.9</v>
      </c>
      <c r="Y329" s="263">
        <v>2136</v>
      </c>
      <c r="Z329" s="270">
        <v>0</v>
      </c>
      <c r="AA329" s="270">
        <v>5</v>
      </c>
      <c r="AB329" s="270">
        <v>5</v>
      </c>
      <c r="AC329" s="270">
        <v>0</v>
      </c>
      <c r="AD329" s="270">
        <v>5.8</v>
      </c>
      <c r="AE329" s="270">
        <v>5.8</v>
      </c>
      <c r="AF329" s="270">
        <v>0</v>
      </c>
      <c r="AH329" s="263">
        <v>2136</v>
      </c>
      <c r="AI329" s="254">
        <v>-6.9</v>
      </c>
      <c r="AJ329" s="254">
        <v>-0.40000000000000036</v>
      </c>
      <c r="AK329" s="254" t="s">
        <v>82</v>
      </c>
      <c r="AL329" s="254">
        <v>-0.4</v>
      </c>
      <c r="AM329" s="254">
        <v>-6.8999999999999995</v>
      </c>
      <c r="AN329" s="254" t="s">
        <v>82</v>
      </c>
      <c r="AO329" s="254">
        <v>-6.9</v>
      </c>
    </row>
    <row r="330" spans="1:41" x14ac:dyDescent="0.2">
      <c r="A330" s="249">
        <v>326</v>
      </c>
      <c r="B330" s="195">
        <v>13</v>
      </c>
      <c r="C330" s="195" t="s">
        <v>687</v>
      </c>
      <c r="D330" s="195">
        <v>4</v>
      </c>
      <c r="E330" s="195" t="s">
        <v>339</v>
      </c>
      <c r="F330" s="196">
        <v>44501</v>
      </c>
      <c r="G330" s="250" t="s">
        <v>4</v>
      </c>
      <c r="H330" s="263">
        <v>2145</v>
      </c>
      <c r="I330" s="216" t="s">
        <v>345</v>
      </c>
      <c r="J330" s="264">
        <v>2035</v>
      </c>
      <c r="K330" s="264">
        <v>2147</v>
      </c>
      <c r="L330" s="265">
        <v>2124</v>
      </c>
      <c r="M330" s="249">
        <v>1</v>
      </c>
      <c r="N330" s="200">
        <v>0</v>
      </c>
      <c r="P330" s="263">
        <v>2145</v>
      </c>
      <c r="Q330" s="270">
        <v>8.5</v>
      </c>
      <c r="R330" s="270">
        <v>5.7</v>
      </c>
      <c r="S330" s="270">
        <v>5.2</v>
      </c>
      <c r="T330" s="270">
        <v>0.5</v>
      </c>
      <c r="U330" s="270">
        <v>3.2</v>
      </c>
      <c r="V330" s="270">
        <v>3.2</v>
      </c>
      <c r="W330" s="270">
        <v>0</v>
      </c>
      <c r="Y330" s="263">
        <v>2145</v>
      </c>
      <c r="Z330" s="270">
        <v>0</v>
      </c>
      <c r="AA330" s="270">
        <v>5.2</v>
      </c>
      <c r="AB330" s="270">
        <v>5.2</v>
      </c>
      <c r="AC330" s="270">
        <v>0</v>
      </c>
      <c r="AD330" s="270">
        <v>3.2</v>
      </c>
      <c r="AE330" s="270">
        <v>3.2</v>
      </c>
      <c r="AF330" s="270">
        <v>0</v>
      </c>
      <c r="AH330" s="263">
        <v>2145</v>
      </c>
      <c r="AI330" s="254">
        <v>-8.5</v>
      </c>
      <c r="AJ330" s="254">
        <v>-0.5</v>
      </c>
      <c r="AK330" s="254" t="s">
        <v>82</v>
      </c>
      <c r="AL330" s="254">
        <v>-0.5</v>
      </c>
      <c r="AM330" s="254" t="s">
        <v>82</v>
      </c>
      <c r="AN330" s="254" t="s">
        <v>82</v>
      </c>
      <c r="AO330" s="254" t="s">
        <v>82</v>
      </c>
    </row>
    <row r="331" spans="1:41" x14ac:dyDescent="0.2">
      <c r="A331" s="249">
        <v>327</v>
      </c>
      <c r="B331" s="195">
        <v>13</v>
      </c>
      <c r="C331" s="195" t="s">
        <v>687</v>
      </c>
      <c r="D331" s="195">
        <v>4</v>
      </c>
      <c r="E331" s="195" t="s">
        <v>339</v>
      </c>
      <c r="F331" s="196">
        <v>44539</v>
      </c>
      <c r="G331" s="250" t="s">
        <v>7</v>
      </c>
      <c r="H331" s="263">
        <v>2150</v>
      </c>
      <c r="I331" s="216" t="s">
        <v>347</v>
      </c>
      <c r="J331" s="264">
        <v>2200</v>
      </c>
      <c r="K331" s="264">
        <v>2315</v>
      </c>
      <c r="L331" s="265">
        <v>2254</v>
      </c>
      <c r="M331" s="249">
        <v>1</v>
      </c>
      <c r="N331" s="200">
        <v>0</v>
      </c>
      <c r="P331" s="263">
        <v>2150</v>
      </c>
      <c r="Q331" s="270">
        <v>2.5</v>
      </c>
      <c r="R331" s="270">
        <v>5.6</v>
      </c>
      <c r="S331" s="270">
        <v>5.5</v>
      </c>
      <c r="T331" s="270">
        <v>0.1</v>
      </c>
      <c r="U331" s="270">
        <v>1.3</v>
      </c>
      <c r="V331" s="270">
        <v>1.3</v>
      </c>
      <c r="W331" s="270">
        <v>0</v>
      </c>
      <c r="Y331" s="263">
        <v>2150</v>
      </c>
      <c r="Z331" s="270">
        <v>0</v>
      </c>
      <c r="AA331" s="270">
        <v>5.5</v>
      </c>
      <c r="AB331" s="270">
        <v>5.5</v>
      </c>
      <c r="AC331" s="270">
        <v>0</v>
      </c>
      <c r="AD331" s="270">
        <v>1.3</v>
      </c>
      <c r="AE331" s="270">
        <v>1.3</v>
      </c>
      <c r="AF331" s="270">
        <v>0</v>
      </c>
      <c r="AH331" s="263">
        <v>2150</v>
      </c>
      <c r="AI331" s="254">
        <v>-2.5</v>
      </c>
      <c r="AJ331" s="254">
        <v>-9.9999999999999645E-2</v>
      </c>
      <c r="AK331" s="254" t="s">
        <v>82</v>
      </c>
      <c r="AL331" s="254">
        <v>-0.1</v>
      </c>
      <c r="AM331" s="254" t="s">
        <v>82</v>
      </c>
      <c r="AN331" s="254" t="s">
        <v>82</v>
      </c>
      <c r="AO331" s="254" t="s">
        <v>82</v>
      </c>
    </row>
    <row r="332" spans="1:41" x14ac:dyDescent="0.2">
      <c r="A332" s="249">
        <v>328</v>
      </c>
      <c r="B332" s="195">
        <v>13</v>
      </c>
      <c r="C332" s="195" t="s">
        <v>687</v>
      </c>
      <c r="D332" s="195">
        <v>5</v>
      </c>
      <c r="E332" s="195" t="s">
        <v>549</v>
      </c>
      <c r="F332" s="196">
        <v>44093</v>
      </c>
      <c r="G332" s="250" t="s">
        <v>9</v>
      </c>
      <c r="H332" s="263">
        <v>2038</v>
      </c>
      <c r="I332" s="216" t="s">
        <v>565</v>
      </c>
      <c r="J332" s="264">
        <v>1305</v>
      </c>
      <c r="K332" s="264">
        <v>1347</v>
      </c>
      <c r="L332" s="265">
        <v>1338</v>
      </c>
      <c r="M332" s="249">
        <v>0</v>
      </c>
      <c r="N332" s="200">
        <v>0</v>
      </c>
      <c r="O332" s="269"/>
      <c r="P332" s="263">
        <v>2038</v>
      </c>
      <c r="Q332" s="270">
        <v>20.9</v>
      </c>
      <c r="R332" s="267"/>
      <c r="S332" s="267"/>
      <c r="T332" s="267"/>
      <c r="U332" s="267"/>
      <c r="V332" s="267"/>
      <c r="W332" s="267"/>
      <c r="Y332" s="263">
        <v>2038</v>
      </c>
      <c r="Z332" s="270">
        <v>0.2</v>
      </c>
      <c r="AA332" s="267"/>
      <c r="AB332" s="267"/>
      <c r="AC332" s="267"/>
      <c r="AD332" s="267"/>
      <c r="AE332" s="267"/>
      <c r="AF332" s="267"/>
      <c r="AH332" s="263">
        <v>2038</v>
      </c>
      <c r="AI332" s="254">
        <v>-20.7</v>
      </c>
      <c r="AJ332" s="254" t="s">
        <v>82</v>
      </c>
      <c r="AK332" s="254" t="s">
        <v>82</v>
      </c>
      <c r="AL332" s="254" t="s">
        <v>82</v>
      </c>
      <c r="AM332" s="254" t="s">
        <v>82</v>
      </c>
      <c r="AN332" s="254" t="s">
        <v>82</v>
      </c>
      <c r="AO332" s="254" t="s">
        <v>82</v>
      </c>
    </row>
    <row r="333" spans="1:41" x14ac:dyDescent="0.2">
      <c r="A333" s="249">
        <v>329</v>
      </c>
      <c r="B333" s="195">
        <v>13</v>
      </c>
      <c r="C333" s="195" t="s">
        <v>687</v>
      </c>
      <c r="D333" s="195">
        <v>5</v>
      </c>
      <c r="E333" s="195" t="s">
        <v>549</v>
      </c>
      <c r="F333" s="196">
        <v>44105</v>
      </c>
      <c r="G333" s="250" t="s">
        <v>7</v>
      </c>
      <c r="H333" s="263">
        <v>2040</v>
      </c>
      <c r="I333" s="216" t="s">
        <v>621</v>
      </c>
      <c r="J333" s="264">
        <v>800</v>
      </c>
      <c r="K333" s="264">
        <v>814</v>
      </c>
      <c r="L333" s="265">
        <v>801</v>
      </c>
      <c r="M333" s="249">
        <v>0</v>
      </c>
      <c r="N333" s="200">
        <v>0</v>
      </c>
      <c r="O333" s="269"/>
      <c r="P333" s="263">
        <v>2040</v>
      </c>
      <c r="Q333" s="270">
        <v>13.6</v>
      </c>
      <c r="R333" s="267"/>
      <c r="S333" s="267"/>
      <c r="T333" s="267"/>
      <c r="U333" s="267"/>
      <c r="V333" s="267"/>
      <c r="W333" s="267"/>
      <c r="Y333" s="263">
        <v>2040</v>
      </c>
      <c r="Z333" s="270">
        <v>1.4</v>
      </c>
      <c r="AA333" s="267"/>
      <c r="AB333" s="267"/>
      <c r="AC333" s="267"/>
      <c r="AD333" s="267"/>
      <c r="AE333" s="267"/>
      <c r="AF333" s="267"/>
      <c r="AH333" s="263">
        <v>2040</v>
      </c>
      <c r="AI333" s="254">
        <v>-12.2</v>
      </c>
      <c r="AJ333" s="254" t="s">
        <v>82</v>
      </c>
      <c r="AK333" s="254" t="s">
        <v>82</v>
      </c>
      <c r="AL333" s="254" t="s">
        <v>82</v>
      </c>
      <c r="AM333" s="254" t="s">
        <v>82</v>
      </c>
      <c r="AN333" s="254" t="s">
        <v>82</v>
      </c>
      <c r="AO333" s="254" t="s">
        <v>82</v>
      </c>
    </row>
    <row r="334" spans="1:41" x14ac:dyDescent="0.2">
      <c r="A334" s="249">
        <v>330</v>
      </c>
      <c r="B334" s="195">
        <v>13</v>
      </c>
      <c r="C334" s="195" t="s">
        <v>687</v>
      </c>
      <c r="D334" s="195">
        <v>5</v>
      </c>
      <c r="E334" s="195" t="s">
        <v>549</v>
      </c>
      <c r="F334" s="196">
        <v>44159</v>
      </c>
      <c r="G334" s="250" t="s">
        <v>5</v>
      </c>
      <c r="H334" s="263">
        <v>2048</v>
      </c>
      <c r="I334" s="216" t="s">
        <v>701</v>
      </c>
      <c r="J334" s="264">
        <v>2520</v>
      </c>
      <c r="K334" s="264">
        <v>2604</v>
      </c>
      <c r="L334" s="265">
        <v>2525</v>
      </c>
      <c r="M334" s="249">
        <v>0</v>
      </c>
      <c r="N334" s="200">
        <v>0</v>
      </c>
      <c r="O334" s="269"/>
      <c r="P334" s="263">
        <v>2048</v>
      </c>
      <c r="Q334" s="270">
        <v>21.3</v>
      </c>
      <c r="R334" s="267"/>
      <c r="S334" s="267"/>
      <c r="T334" s="267"/>
      <c r="U334" s="267"/>
      <c r="V334" s="267"/>
      <c r="W334" s="267"/>
      <c r="Y334" s="263">
        <v>2048</v>
      </c>
      <c r="Z334" s="270">
        <v>0.4</v>
      </c>
      <c r="AA334" s="267"/>
      <c r="AB334" s="267"/>
      <c r="AC334" s="267"/>
      <c r="AD334" s="267"/>
      <c r="AE334" s="267"/>
      <c r="AF334" s="267"/>
      <c r="AH334" s="263">
        <v>2048</v>
      </c>
      <c r="AI334" s="254">
        <v>-20.900000000000002</v>
      </c>
      <c r="AJ334" s="254" t="s">
        <v>82</v>
      </c>
      <c r="AK334" s="254" t="s">
        <v>82</v>
      </c>
      <c r="AL334" s="254" t="s">
        <v>82</v>
      </c>
      <c r="AM334" s="254" t="s">
        <v>82</v>
      </c>
      <c r="AN334" s="254" t="s">
        <v>82</v>
      </c>
      <c r="AO334" s="254" t="s">
        <v>82</v>
      </c>
    </row>
    <row r="335" spans="1:41" x14ac:dyDescent="0.2">
      <c r="A335" s="249">
        <v>331</v>
      </c>
      <c r="B335" s="195">
        <v>13</v>
      </c>
      <c r="C335" s="195" t="s">
        <v>687</v>
      </c>
      <c r="D335" s="195">
        <v>5</v>
      </c>
      <c r="E335" s="195" t="s">
        <v>549</v>
      </c>
      <c r="F335" s="196">
        <v>44464</v>
      </c>
      <c r="G335" s="250" t="s">
        <v>9</v>
      </c>
      <c r="H335" s="263">
        <v>2139</v>
      </c>
      <c r="I335" s="216" t="s">
        <v>552</v>
      </c>
      <c r="J335" s="264">
        <v>1350</v>
      </c>
      <c r="K335" s="264">
        <v>1449</v>
      </c>
      <c r="L335" s="265">
        <v>1357</v>
      </c>
      <c r="M335" s="249">
        <v>0</v>
      </c>
      <c r="N335" s="200">
        <v>0</v>
      </c>
      <c r="P335" s="263">
        <v>2139</v>
      </c>
      <c r="Q335" s="270">
        <v>2.9</v>
      </c>
      <c r="R335" s="267"/>
      <c r="S335" s="267"/>
      <c r="T335" s="267"/>
      <c r="U335" s="267"/>
      <c r="V335" s="267"/>
      <c r="W335" s="267"/>
      <c r="Y335" s="263">
        <v>2139</v>
      </c>
      <c r="Z335" s="270">
        <v>0</v>
      </c>
      <c r="AA335" s="267"/>
      <c r="AB335" s="267"/>
      <c r="AC335" s="267"/>
      <c r="AD335" s="267"/>
      <c r="AE335" s="267"/>
      <c r="AF335" s="267"/>
      <c r="AH335" s="263">
        <v>2139</v>
      </c>
      <c r="AI335" s="254">
        <v>-2.9</v>
      </c>
      <c r="AJ335" s="254" t="s">
        <v>82</v>
      </c>
      <c r="AK335" s="254" t="s">
        <v>82</v>
      </c>
      <c r="AL335" s="254" t="s">
        <v>82</v>
      </c>
      <c r="AM335" s="254" t="s">
        <v>82</v>
      </c>
      <c r="AN335" s="254" t="s">
        <v>82</v>
      </c>
      <c r="AO335" s="254" t="s">
        <v>82</v>
      </c>
    </row>
    <row r="336" spans="1:41" x14ac:dyDescent="0.2">
      <c r="A336" s="249">
        <v>332</v>
      </c>
      <c r="B336" s="195">
        <v>14</v>
      </c>
      <c r="C336" s="195" t="s">
        <v>702</v>
      </c>
      <c r="D336" s="195">
        <v>1</v>
      </c>
      <c r="E336" s="195" t="s">
        <v>703</v>
      </c>
      <c r="F336" s="196">
        <v>44316</v>
      </c>
      <c r="G336" s="250" t="s">
        <v>8</v>
      </c>
      <c r="H336" s="263">
        <v>2118</v>
      </c>
      <c r="I336" s="216" t="s">
        <v>590</v>
      </c>
      <c r="J336" s="264">
        <v>2330</v>
      </c>
      <c r="K336" s="264">
        <v>2414</v>
      </c>
      <c r="L336" s="265">
        <v>2332</v>
      </c>
      <c r="M336" s="249">
        <v>0</v>
      </c>
      <c r="N336" s="200">
        <v>0</v>
      </c>
      <c r="O336" s="269"/>
      <c r="P336" s="263">
        <v>2118</v>
      </c>
      <c r="Q336" s="270">
        <v>8.5</v>
      </c>
      <c r="R336" s="267"/>
      <c r="S336" s="267"/>
      <c r="T336" s="267"/>
      <c r="U336" s="267"/>
      <c r="V336" s="267"/>
      <c r="W336" s="267"/>
      <c r="Y336" s="263">
        <v>2118</v>
      </c>
      <c r="Z336" s="270">
        <v>0</v>
      </c>
      <c r="AA336" s="267"/>
      <c r="AB336" s="267"/>
      <c r="AC336" s="267"/>
      <c r="AD336" s="267"/>
      <c r="AE336" s="267"/>
      <c r="AF336" s="267"/>
      <c r="AH336" s="263">
        <v>2118</v>
      </c>
      <c r="AI336" s="254">
        <v>-8.5</v>
      </c>
      <c r="AJ336" s="254" t="s">
        <v>82</v>
      </c>
      <c r="AK336" s="254" t="s">
        <v>82</v>
      </c>
      <c r="AL336" s="254" t="s">
        <v>82</v>
      </c>
      <c r="AM336" s="254" t="s">
        <v>82</v>
      </c>
      <c r="AN336" s="254" t="s">
        <v>82</v>
      </c>
      <c r="AO336" s="254" t="s">
        <v>82</v>
      </c>
    </row>
    <row r="337" spans="1:41" x14ac:dyDescent="0.2">
      <c r="A337" s="249">
        <v>333</v>
      </c>
      <c r="B337" s="195">
        <v>14</v>
      </c>
      <c r="C337" s="195" t="s">
        <v>702</v>
      </c>
      <c r="D337" s="195">
        <v>1</v>
      </c>
      <c r="E337" s="195" t="s">
        <v>703</v>
      </c>
      <c r="F337" s="196">
        <v>44464</v>
      </c>
      <c r="G337" s="250" t="s">
        <v>9</v>
      </c>
      <c r="H337" s="263">
        <v>2139</v>
      </c>
      <c r="I337" s="216" t="s">
        <v>536</v>
      </c>
      <c r="J337" s="264">
        <v>530</v>
      </c>
      <c r="K337" s="264">
        <v>659</v>
      </c>
      <c r="L337" s="265">
        <v>637</v>
      </c>
      <c r="M337" s="249">
        <v>0</v>
      </c>
      <c r="N337" s="200">
        <v>0</v>
      </c>
      <c r="O337" s="269"/>
      <c r="P337" s="263">
        <v>2139</v>
      </c>
      <c r="Q337" s="270">
        <v>7.1</v>
      </c>
      <c r="R337" s="267"/>
      <c r="S337" s="267"/>
      <c r="T337" s="267"/>
      <c r="U337" s="267"/>
      <c r="V337" s="267"/>
      <c r="W337" s="267"/>
      <c r="Y337" s="263">
        <v>2139</v>
      </c>
      <c r="Z337" s="270">
        <v>1.1000000000000001</v>
      </c>
      <c r="AA337" s="267"/>
      <c r="AB337" s="267"/>
      <c r="AC337" s="267"/>
      <c r="AD337" s="267"/>
      <c r="AE337" s="267"/>
      <c r="AF337" s="267"/>
      <c r="AH337" s="263">
        <v>2139</v>
      </c>
      <c r="AI337" s="254">
        <v>-6</v>
      </c>
      <c r="AJ337" s="254" t="s">
        <v>82</v>
      </c>
      <c r="AK337" s="254" t="s">
        <v>82</v>
      </c>
      <c r="AL337" s="254" t="s">
        <v>82</v>
      </c>
      <c r="AM337" s="254" t="s">
        <v>82</v>
      </c>
      <c r="AN337" s="254" t="s">
        <v>82</v>
      </c>
      <c r="AO337" s="254" t="s">
        <v>82</v>
      </c>
    </row>
    <row r="338" spans="1:41" x14ac:dyDescent="0.2">
      <c r="A338" s="249">
        <v>334</v>
      </c>
      <c r="B338" s="195">
        <v>14</v>
      </c>
      <c r="C338" s="195" t="s">
        <v>702</v>
      </c>
      <c r="D338" s="195">
        <v>2</v>
      </c>
      <c r="E338" s="195" t="s">
        <v>350</v>
      </c>
      <c r="F338" s="196">
        <v>43968</v>
      </c>
      <c r="G338" s="250" t="s">
        <v>10</v>
      </c>
      <c r="H338" s="263">
        <v>2020</v>
      </c>
      <c r="I338" s="216" t="s">
        <v>704</v>
      </c>
      <c r="J338" s="264">
        <v>1605</v>
      </c>
      <c r="K338" s="264">
        <v>1719</v>
      </c>
      <c r="L338" s="265">
        <v>1617</v>
      </c>
      <c r="M338" s="249">
        <v>1</v>
      </c>
      <c r="N338" s="200">
        <v>0</v>
      </c>
      <c r="O338" s="269"/>
      <c r="P338" s="263">
        <v>2020</v>
      </c>
      <c r="Q338" s="270">
        <v>19</v>
      </c>
      <c r="R338" s="270">
        <v>5.9</v>
      </c>
      <c r="S338" s="270">
        <v>4</v>
      </c>
      <c r="T338" s="270">
        <v>1.9</v>
      </c>
      <c r="U338" s="270">
        <v>3.4</v>
      </c>
      <c r="V338" s="270">
        <v>3.4</v>
      </c>
      <c r="W338" s="270" t="s">
        <v>84</v>
      </c>
      <c r="Y338" s="263">
        <v>2020</v>
      </c>
      <c r="Z338" s="270">
        <v>0</v>
      </c>
      <c r="AA338" s="270">
        <v>4.0999999999999996</v>
      </c>
      <c r="AB338" s="270">
        <v>4</v>
      </c>
      <c r="AC338" s="270">
        <v>0.1</v>
      </c>
      <c r="AD338" s="270">
        <v>3.4</v>
      </c>
      <c r="AE338" s="270">
        <v>3.4</v>
      </c>
      <c r="AF338" s="270" t="s">
        <v>84</v>
      </c>
      <c r="AH338" s="263">
        <v>2020</v>
      </c>
      <c r="AI338" s="254">
        <v>-19</v>
      </c>
      <c r="AJ338" s="254">
        <v>-1.8000000000000007</v>
      </c>
      <c r="AK338" s="254" t="s">
        <v>82</v>
      </c>
      <c r="AL338" s="254">
        <v>-1.7999999999999998</v>
      </c>
      <c r="AM338" s="254" t="s">
        <v>82</v>
      </c>
      <c r="AN338" s="254" t="s">
        <v>82</v>
      </c>
      <c r="AO338" s="254" t="s">
        <v>82</v>
      </c>
    </row>
    <row r="339" spans="1:41" x14ac:dyDescent="0.2">
      <c r="A339" s="249">
        <v>335</v>
      </c>
      <c r="B339" s="195">
        <v>14</v>
      </c>
      <c r="C339" s="195" t="s">
        <v>702</v>
      </c>
      <c r="D339" s="195">
        <v>2</v>
      </c>
      <c r="E339" s="195" t="s">
        <v>350</v>
      </c>
      <c r="F339" s="196">
        <v>44213</v>
      </c>
      <c r="G339" s="250" t="s">
        <v>10</v>
      </c>
      <c r="H339" s="263">
        <v>2103</v>
      </c>
      <c r="I339" s="216" t="s">
        <v>355</v>
      </c>
      <c r="J339" s="264">
        <v>930</v>
      </c>
      <c r="K339" s="264">
        <v>959</v>
      </c>
      <c r="L339" s="265">
        <v>947</v>
      </c>
      <c r="M339" s="249">
        <v>1</v>
      </c>
      <c r="N339" s="200">
        <v>0</v>
      </c>
      <c r="O339" s="269"/>
      <c r="P339" s="263">
        <v>2103</v>
      </c>
      <c r="Q339" s="270">
        <v>40.6</v>
      </c>
      <c r="R339" s="270">
        <v>7.6</v>
      </c>
      <c r="S339" s="270">
        <v>1.7</v>
      </c>
      <c r="T339" s="270">
        <v>5.9</v>
      </c>
      <c r="U339" s="270">
        <v>3.4</v>
      </c>
      <c r="V339" s="270">
        <v>3</v>
      </c>
      <c r="W339" s="270">
        <v>0.4</v>
      </c>
      <c r="Y339" s="263">
        <v>2103</v>
      </c>
      <c r="Z339" s="270">
        <v>4.8</v>
      </c>
      <c r="AA339" s="270">
        <v>3.2</v>
      </c>
      <c r="AB339" s="270">
        <v>1.7</v>
      </c>
      <c r="AC339" s="270">
        <v>1.5</v>
      </c>
      <c r="AD339" s="270">
        <v>3.4</v>
      </c>
      <c r="AE339" s="270">
        <v>3</v>
      </c>
      <c r="AF339" s="270">
        <v>0.4</v>
      </c>
      <c r="AH339" s="263">
        <v>2103</v>
      </c>
      <c r="AI339" s="254">
        <v>-35.800000000000004</v>
      </c>
      <c r="AJ339" s="254">
        <v>-4.3999999999999995</v>
      </c>
      <c r="AK339" s="254" t="s">
        <v>82</v>
      </c>
      <c r="AL339" s="254">
        <v>-4.4000000000000004</v>
      </c>
      <c r="AM339" s="254" t="s">
        <v>82</v>
      </c>
      <c r="AN339" s="254" t="s">
        <v>82</v>
      </c>
      <c r="AO339" s="254" t="s">
        <v>82</v>
      </c>
    </row>
    <row r="340" spans="1:41" x14ac:dyDescent="0.2">
      <c r="A340" s="249">
        <v>336</v>
      </c>
      <c r="B340" s="195">
        <v>14</v>
      </c>
      <c r="C340" s="195" t="s">
        <v>702</v>
      </c>
      <c r="D340" s="195">
        <v>2</v>
      </c>
      <c r="E340" s="195" t="s">
        <v>350</v>
      </c>
      <c r="F340" s="196">
        <v>44552</v>
      </c>
      <c r="G340" s="250" t="s">
        <v>6</v>
      </c>
      <c r="H340" s="263">
        <v>2152</v>
      </c>
      <c r="I340" s="216" t="s">
        <v>356</v>
      </c>
      <c r="J340" s="264">
        <v>525</v>
      </c>
      <c r="K340" s="264">
        <v>609</v>
      </c>
      <c r="L340" s="265">
        <v>607</v>
      </c>
      <c r="M340" s="249">
        <v>1</v>
      </c>
      <c r="N340" s="200">
        <v>0</v>
      </c>
      <c r="O340" s="269"/>
      <c r="P340" s="263">
        <v>2152</v>
      </c>
      <c r="Q340" s="270">
        <v>2.2000000000000002</v>
      </c>
      <c r="R340" s="270">
        <v>2.2999999999999998</v>
      </c>
      <c r="S340" s="270">
        <v>1.9</v>
      </c>
      <c r="T340" s="270">
        <v>0.4</v>
      </c>
      <c r="U340" s="270">
        <v>3.7</v>
      </c>
      <c r="V340" s="270">
        <v>3.7</v>
      </c>
      <c r="W340" s="270" t="s">
        <v>84</v>
      </c>
      <c r="Y340" s="263">
        <v>2152</v>
      </c>
      <c r="Z340" s="270">
        <v>0</v>
      </c>
      <c r="AA340" s="270">
        <v>1.9</v>
      </c>
      <c r="AB340" s="270">
        <v>1.9</v>
      </c>
      <c r="AC340" s="270">
        <v>0</v>
      </c>
      <c r="AD340" s="270">
        <v>3.7</v>
      </c>
      <c r="AE340" s="270">
        <v>3.7</v>
      </c>
      <c r="AF340" s="270" t="s">
        <v>84</v>
      </c>
      <c r="AH340" s="263">
        <v>2152</v>
      </c>
      <c r="AI340" s="254">
        <v>-2.2000000000000002</v>
      </c>
      <c r="AJ340" s="254">
        <v>-0.39999999999999991</v>
      </c>
      <c r="AK340" s="254" t="s">
        <v>82</v>
      </c>
      <c r="AL340" s="254">
        <v>-0.4</v>
      </c>
      <c r="AM340" s="254" t="s">
        <v>82</v>
      </c>
      <c r="AN340" s="254" t="s">
        <v>82</v>
      </c>
      <c r="AO340" s="254" t="s">
        <v>82</v>
      </c>
    </row>
    <row r="341" spans="1:41" x14ac:dyDescent="0.2">
      <c r="A341" s="249">
        <v>337</v>
      </c>
      <c r="B341" s="195">
        <v>14</v>
      </c>
      <c r="C341" s="195" t="s">
        <v>702</v>
      </c>
      <c r="D341" s="195">
        <v>2</v>
      </c>
      <c r="E341" s="195" t="s">
        <v>350</v>
      </c>
      <c r="F341" s="196">
        <v>44590</v>
      </c>
      <c r="G341" s="250" t="s">
        <v>9</v>
      </c>
      <c r="H341" s="263">
        <v>2205</v>
      </c>
      <c r="I341" s="216" t="s">
        <v>281</v>
      </c>
      <c r="J341" s="264">
        <v>1900</v>
      </c>
      <c r="K341" s="264">
        <v>1959</v>
      </c>
      <c r="L341" s="265">
        <v>1914</v>
      </c>
      <c r="M341" s="249">
        <v>1</v>
      </c>
      <c r="N341" s="200">
        <v>0</v>
      </c>
      <c r="P341" s="263">
        <v>2205</v>
      </c>
      <c r="Q341" s="270">
        <v>12.9</v>
      </c>
      <c r="R341" s="270">
        <v>7.7</v>
      </c>
      <c r="S341" s="270">
        <v>6.5</v>
      </c>
      <c r="T341" s="270">
        <v>1.2</v>
      </c>
      <c r="U341" s="270">
        <v>7.2</v>
      </c>
      <c r="V341" s="270">
        <v>7.2</v>
      </c>
      <c r="W341" s="270" t="s">
        <v>84</v>
      </c>
      <c r="Y341" s="263">
        <v>2205</v>
      </c>
      <c r="Z341" s="270">
        <v>0</v>
      </c>
      <c r="AA341" s="270">
        <v>6.5</v>
      </c>
      <c r="AB341" s="270">
        <v>6.5</v>
      </c>
      <c r="AC341" s="270">
        <v>0</v>
      </c>
      <c r="AD341" s="270">
        <v>7.2</v>
      </c>
      <c r="AE341" s="270">
        <v>7.2</v>
      </c>
      <c r="AF341" s="270" t="s">
        <v>84</v>
      </c>
      <c r="AH341" s="263">
        <v>2205</v>
      </c>
      <c r="AI341" s="254">
        <v>-12.9</v>
      </c>
      <c r="AJ341" s="254">
        <v>-1.2000000000000002</v>
      </c>
      <c r="AK341" s="254" t="s">
        <v>82</v>
      </c>
      <c r="AL341" s="254">
        <v>-1.2</v>
      </c>
      <c r="AM341" s="254" t="s">
        <v>82</v>
      </c>
      <c r="AN341" s="254" t="s">
        <v>82</v>
      </c>
      <c r="AO341" s="254" t="s">
        <v>82</v>
      </c>
    </row>
    <row r="342" spans="1:41" x14ac:dyDescent="0.2">
      <c r="A342" s="249">
        <v>338</v>
      </c>
      <c r="B342" s="195">
        <v>14</v>
      </c>
      <c r="C342" s="195" t="s">
        <v>702</v>
      </c>
      <c r="D342" s="195">
        <v>3</v>
      </c>
      <c r="E342" s="195" t="s">
        <v>358</v>
      </c>
      <c r="F342" s="196">
        <v>44122</v>
      </c>
      <c r="G342" s="250" t="s">
        <v>10</v>
      </c>
      <c r="H342" s="263">
        <v>2042</v>
      </c>
      <c r="I342" s="216" t="s">
        <v>705</v>
      </c>
      <c r="J342" s="264">
        <v>2100</v>
      </c>
      <c r="K342" s="264">
        <v>2154</v>
      </c>
      <c r="L342" s="265">
        <v>2107</v>
      </c>
      <c r="M342" s="249">
        <v>0</v>
      </c>
      <c r="N342" s="200">
        <v>0</v>
      </c>
      <c r="O342" s="269"/>
      <c r="P342" s="263">
        <v>2042</v>
      </c>
      <c r="Q342" s="270">
        <v>11.4</v>
      </c>
      <c r="R342" s="267"/>
      <c r="S342" s="267"/>
      <c r="T342" s="267"/>
      <c r="U342" s="267"/>
      <c r="V342" s="267"/>
      <c r="W342" s="267"/>
      <c r="Y342" s="263">
        <v>2042</v>
      </c>
      <c r="Z342" s="270">
        <v>0</v>
      </c>
      <c r="AA342" s="267"/>
      <c r="AB342" s="267"/>
      <c r="AC342" s="267"/>
      <c r="AD342" s="267"/>
      <c r="AE342" s="267"/>
      <c r="AF342" s="267"/>
      <c r="AH342" s="263">
        <v>2042</v>
      </c>
      <c r="AI342" s="254">
        <v>-11.4</v>
      </c>
      <c r="AJ342" s="254" t="s">
        <v>82</v>
      </c>
      <c r="AK342" s="254" t="s">
        <v>82</v>
      </c>
      <c r="AL342" s="254" t="s">
        <v>82</v>
      </c>
      <c r="AM342" s="254" t="s">
        <v>82</v>
      </c>
      <c r="AN342" s="254" t="s">
        <v>82</v>
      </c>
      <c r="AO342" s="254" t="s">
        <v>82</v>
      </c>
    </row>
    <row r="343" spans="1:41" x14ac:dyDescent="0.2">
      <c r="A343" s="249">
        <v>339</v>
      </c>
      <c r="B343" s="195">
        <v>14</v>
      </c>
      <c r="C343" s="195" t="s">
        <v>702</v>
      </c>
      <c r="D343" s="195">
        <v>3</v>
      </c>
      <c r="E343" s="195" t="s">
        <v>358</v>
      </c>
      <c r="F343" s="196">
        <v>44203</v>
      </c>
      <c r="G343" s="250" t="s">
        <v>7</v>
      </c>
      <c r="H343" s="263">
        <v>2102</v>
      </c>
      <c r="I343" s="216" t="s">
        <v>706</v>
      </c>
      <c r="J343" s="264">
        <v>1442</v>
      </c>
      <c r="K343" s="264">
        <v>1637</v>
      </c>
      <c r="L343" s="265">
        <v>1547</v>
      </c>
      <c r="M343" s="249">
        <v>0</v>
      </c>
      <c r="N343" s="200">
        <v>0</v>
      </c>
      <c r="P343" s="263">
        <v>2102</v>
      </c>
      <c r="Q343" s="270">
        <v>77.8</v>
      </c>
      <c r="R343" s="267"/>
      <c r="S343" s="267"/>
      <c r="T343" s="267"/>
      <c r="U343" s="267"/>
      <c r="V343" s="267"/>
      <c r="W343" s="267"/>
      <c r="Y343" s="263">
        <v>2102</v>
      </c>
      <c r="Z343" s="270">
        <v>1.1000000000000001</v>
      </c>
      <c r="AA343" s="267"/>
      <c r="AB343" s="267"/>
      <c r="AC343" s="267"/>
      <c r="AD343" s="267"/>
      <c r="AE343" s="267"/>
      <c r="AF343" s="267"/>
      <c r="AH343" s="263">
        <v>2102</v>
      </c>
      <c r="AI343" s="254">
        <v>-76.7</v>
      </c>
      <c r="AJ343" s="254" t="s">
        <v>82</v>
      </c>
      <c r="AK343" s="254" t="s">
        <v>82</v>
      </c>
      <c r="AL343" s="254" t="s">
        <v>82</v>
      </c>
      <c r="AM343" s="254" t="s">
        <v>82</v>
      </c>
      <c r="AN343" s="254" t="s">
        <v>82</v>
      </c>
      <c r="AO343" s="254" t="s">
        <v>82</v>
      </c>
    </row>
    <row r="344" spans="1:41" x14ac:dyDescent="0.2">
      <c r="A344" s="249">
        <v>340</v>
      </c>
      <c r="B344" s="195">
        <v>14</v>
      </c>
      <c r="C344" s="195" t="s">
        <v>702</v>
      </c>
      <c r="D344" s="195">
        <v>3</v>
      </c>
      <c r="E344" s="195" t="s">
        <v>358</v>
      </c>
      <c r="F344" s="196">
        <v>44219</v>
      </c>
      <c r="G344" s="250" t="s">
        <v>9</v>
      </c>
      <c r="H344" s="263">
        <v>2104</v>
      </c>
      <c r="I344" s="216" t="s">
        <v>359</v>
      </c>
      <c r="J344" s="264">
        <v>2054</v>
      </c>
      <c r="K344" s="264">
        <v>2154</v>
      </c>
      <c r="L344" s="265">
        <v>2147</v>
      </c>
      <c r="M344" s="249">
        <v>1</v>
      </c>
      <c r="N344" s="200">
        <v>0</v>
      </c>
      <c r="P344" s="263">
        <v>2104</v>
      </c>
      <c r="Q344" s="270">
        <v>3.3</v>
      </c>
      <c r="R344" s="270">
        <v>6.8</v>
      </c>
      <c r="S344" s="270">
        <v>6.5</v>
      </c>
      <c r="T344" s="270">
        <v>0.3</v>
      </c>
      <c r="U344" s="270">
        <v>3.7</v>
      </c>
      <c r="V344" s="270">
        <v>3.7</v>
      </c>
      <c r="W344" s="270">
        <v>0</v>
      </c>
      <c r="Y344" s="263">
        <v>2104</v>
      </c>
      <c r="Z344" s="270">
        <v>0</v>
      </c>
      <c r="AA344" s="270">
        <v>6.5</v>
      </c>
      <c r="AB344" s="270">
        <v>6.5</v>
      </c>
      <c r="AC344" s="270">
        <v>0</v>
      </c>
      <c r="AD344" s="270">
        <v>3.7</v>
      </c>
      <c r="AE344" s="270">
        <v>3.7</v>
      </c>
      <c r="AF344" s="270">
        <v>0</v>
      </c>
      <c r="AH344" s="263">
        <v>2104</v>
      </c>
      <c r="AI344" s="254">
        <v>-3.3</v>
      </c>
      <c r="AJ344" s="254">
        <v>-0.29999999999999982</v>
      </c>
      <c r="AK344" s="254" t="s">
        <v>82</v>
      </c>
      <c r="AL344" s="254">
        <v>-0.3</v>
      </c>
      <c r="AM344" s="254" t="s">
        <v>82</v>
      </c>
      <c r="AN344" s="254" t="s">
        <v>82</v>
      </c>
      <c r="AO344" s="254" t="s">
        <v>82</v>
      </c>
    </row>
    <row r="345" spans="1:41" x14ac:dyDescent="0.2">
      <c r="A345" s="249">
        <v>341</v>
      </c>
      <c r="B345" s="195">
        <v>14</v>
      </c>
      <c r="C345" s="195" t="s">
        <v>702</v>
      </c>
      <c r="D345" s="195">
        <v>3</v>
      </c>
      <c r="E345" s="195" t="s">
        <v>358</v>
      </c>
      <c r="F345" s="196">
        <v>44253</v>
      </c>
      <c r="G345" s="250" t="s">
        <v>8</v>
      </c>
      <c r="H345" s="263">
        <v>2109</v>
      </c>
      <c r="I345" s="216" t="s">
        <v>488</v>
      </c>
      <c r="J345" s="264">
        <v>1640</v>
      </c>
      <c r="K345" s="264">
        <v>1814</v>
      </c>
      <c r="L345" s="265">
        <v>1652</v>
      </c>
      <c r="M345" s="249">
        <v>0</v>
      </c>
      <c r="N345" s="200">
        <v>0</v>
      </c>
      <c r="P345" s="263">
        <v>2109</v>
      </c>
      <c r="Q345" s="270">
        <v>3.7</v>
      </c>
      <c r="R345" s="267"/>
      <c r="S345" s="267"/>
      <c r="T345" s="267"/>
      <c r="U345" s="267"/>
      <c r="V345" s="267"/>
      <c r="W345" s="267"/>
      <c r="Y345" s="263">
        <v>2109</v>
      </c>
      <c r="Z345" s="270">
        <v>0</v>
      </c>
      <c r="AA345" s="267"/>
      <c r="AB345" s="267"/>
      <c r="AC345" s="267"/>
      <c r="AD345" s="267"/>
      <c r="AE345" s="267"/>
      <c r="AF345" s="267"/>
      <c r="AH345" s="263">
        <v>2109</v>
      </c>
      <c r="AI345" s="254">
        <v>-3.7</v>
      </c>
      <c r="AJ345" s="254" t="s">
        <v>82</v>
      </c>
      <c r="AK345" s="254" t="s">
        <v>82</v>
      </c>
      <c r="AL345" s="254" t="s">
        <v>82</v>
      </c>
      <c r="AM345" s="254" t="s">
        <v>82</v>
      </c>
      <c r="AN345" s="254" t="s">
        <v>82</v>
      </c>
      <c r="AO345" s="254" t="s">
        <v>82</v>
      </c>
    </row>
    <row r="346" spans="1:41" x14ac:dyDescent="0.2">
      <c r="A346" s="249">
        <v>342</v>
      </c>
      <c r="B346" s="195">
        <v>14</v>
      </c>
      <c r="C346" s="195" t="s">
        <v>702</v>
      </c>
      <c r="D346" s="195">
        <v>3</v>
      </c>
      <c r="E346" s="195" t="s">
        <v>358</v>
      </c>
      <c r="F346" s="196">
        <v>44320</v>
      </c>
      <c r="G346" s="250" t="s">
        <v>5</v>
      </c>
      <c r="H346" s="263">
        <v>2119</v>
      </c>
      <c r="I346" s="216" t="s">
        <v>360</v>
      </c>
      <c r="J346" s="264">
        <v>1330</v>
      </c>
      <c r="K346" s="264">
        <v>1344</v>
      </c>
      <c r="L346" s="265">
        <v>1344</v>
      </c>
      <c r="M346" s="249">
        <v>1</v>
      </c>
      <c r="N346" s="200">
        <v>1</v>
      </c>
      <c r="P346" s="263">
        <v>2119</v>
      </c>
      <c r="Q346" s="270">
        <v>11.6</v>
      </c>
      <c r="R346" s="270">
        <v>4.8</v>
      </c>
      <c r="S346" s="270">
        <v>1.9</v>
      </c>
      <c r="T346" s="270">
        <v>2.9</v>
      </c>
      <c r="U346" s="270">
        <v>12.7</v>
      </c>
      <c r="V346" s="270">
        <v>1.1000000000000001</v>
      </c>
      <c r="W346" s="270">
        <v>11.6</v>
      </c>
      <c r="Y346" s="263">
        <v>2119</v>
      </c>
      <c r="Z346" s="270">
        <v>0</v>
      </c>
      <c r="AA346" s="270">
        <v>1.9</v>
      </c>
      <c r="AB346" s="270">
        <v>1.9</v>
      </c>
      <c r="AC346" s="270">
        <v>0</v>
      </c>
      <c r="AD346" s="270">
        <v>1.1000000000000001</v>
      </c>
      <c r="AE346" s="270">
        <v>1.1000000000000001</v>
      </c>
      <c r="AF346" s="270">
        <v>0</v>
      </c>
      <c r="AH346" s="263">
        <v>2119</v>
      </c>
      <c r="AI346" s="254">
        <v>-11.6</v>
      </c>
      <c r="AJ346" s="254">
        <v>-2.9</v>
      </c>
      <c r="AK346" s="254" t="s">
        <v>82</v>
      </c>
      <c r="AL346" s="254">
        <v>-2.9</v>
      </c>
      <c r="AM346" s="254">
        <v>-11.6</v>
      </c>
      <c r="AN346" s="254" t="s">
        <v>82</v>
      </c>
      <c r="AO346" s="254">
        <v>-11.6</v>
      </c>
    </row>
    <row r="347" spans="1:41" x14ac:dyDescent="0.2">
      <c r="A347" s="249">
        <v>343</v>
      </c>
      <c r="B347" s="195">
        <v>14</v>
      </c>
      <c r="C347" s="195" t="s">
        <v>702</v>
      </c>
      <c r="D347" s="195">
        <v>3</v>
      </c>
      <c r="E347" s="195" t="s">
        <v>358</v>
      </c>
      <c r="F347" s="196">
        <v>44324</v>
      </c>
      <c r="G347" s="250" t="s">
        <v>9</v>
      </c>
      <c r="H347" s="263">
        <v>2119</v>
      </c>
      <c r="I347" s="216" t="s">
        <v>363</v>
      </c>
      <c r="J347" s="264">
        <v>1200</v>
      </c>
      <c r="K347" s="264">
        <v>1352</v>
      </c>
      <c r="L347" s="265">
        <v>1244</v>
      </c>
      <c r="M347" s="249">
        <v>1</v>
      </c>
      <c r="N347" s="200">
        <v>0</v>
      </c>
      <c r="O347" s="269"/>
      <c r="P347" s="263">
        <v>2119</v>
      </c>
      <c r="Q347" s="270">
        <v>6.5</v>
      </c>
      <c r="R347" s="270">
        <v>4.3</v>
      </c>
      <c r="S347" s="270">
        <v>4</v>
      </c>
      <c r="T347" s="270">
        <v>0.3</v>
      </c>
      <c r="U347" s="270">
        <v>3.1</v>
      </c>
      <c r="V347" s="270">
        <v>3.1</v>
      </c>
      <c r="W347" s="270">
        <v>0</v>
      </c>
      <c r="Y347" s="263">
        <v>2119</v>
      </c>
      <c r="Z347" s="270">
        <v>0.2</v>
      </c>
      <c r="AA347" s="270">
        <v>4</v>
      </c>
      <c r="AB347" s="270">
        <v>4</v>
      </c>
      <c r="AC347" s="270">
        <v>0</v>
      </c>
      <c r="AD347" s="270">
        <v>3.1</v>
      </c>
      <c r="AE347" s="270">
        <v>3.1</v>
      </c>
      <c r="AF347" s="270">
        <v>0</v>
      </c>
      <c r="AH347" s="263">
        <v>2119</v>
      </c>
      <c r="AI347" s="254">
        <v>-6.3</v>
      </c>
      <c r="AJ347" s="254">
        <v>-0.29999999999999982</v>
      </c>
      <c r="AK347" s="254" t="s">
        <v>82</v>
      </c>
      <c r="AL347" s="254">
        <v>-0.3</v>
      </c>
      <c r="AM347" s="254" t="s">
        <v>82</v>
      </c>
      <c r="AN347" s="254" t="s">
        <v>82</v>
      </c>
      <c r="AO347" s="254" t="s">
        <v>82</v>
      </c>
    </row>
    <row r="348" spans="1:41" x14ac:dyDescent="0.2">
      <c r="A348" s="249">
        <v>344</v>
      </c>
      <c r="B348" s="195">
        <v>14</v>
      </c>
      <c r="C348" s="195" t="s">
        <v>702</v>
      </c>
      <c r="D348" s="195">
        <v>3</v>
      </c>
      <c r="E348" s="195" t="s">
        <v>358</v>
      </c>
      <c r="F348" s="196">
        <v>44349</v>
      </c>
      <c r="G348" s="250" t="s">
        <v>6</v>
      </c>
      <c r="H348" s="263">
        <v>2123</v>
      </c>
      <c r="I348" s="216" t="s">
        <v>376</v>
      </c>
      <c r="J348" s="264">
        <v>2445</v>
      </c>
      <c r="K348" s="264">
        <v>2449</v>
      </c>
      <c r="L348" s="265">
        <v>2449</v>
      </c>
      <c r="M348" s="249">
        <v>0</v>
      </c>
      <c r="N348" s="200">
        <v>1</v>
      </c>
      <c r="P348" s="263">
        <v>2123</v>
      </c>
      <c r="Q348" s="270">
        <v>7.6</v>
      </c>
      <c r="R348" s="267"/>
      <c r="S348" s="267"/>
      <c r="T348" s="267"/>
      <c r="U348" s="267"/>
      <c r="V348" s="267"/>
      <c r="W348" s="267"/>
      <c r="Y348" s="263">
        <v>2123</v>
      </c>
      <c r="Z348" s="270">
        <v>0</v>
      </c>
      <c r="AA348" s="267"/>
      <c r="AB348" s="267"/>
      <c r="AC348" s="267"/>
      <c r="AD348" s="267"/>
      <c r="AE348" s="267"/>
      <c r="AF348" s="267"/>
      <c r="AH348" s="263">
        <v>2123</v>
      </c>
      <c r="AI348" s="254">
        <v>-7.6</v>
      </c>
      <c r="AJ348" s="254" t="s">
        <v>82</v>
      </c>
      <c r="AK348" s="254" t="s">
        <v>82</v>
      </c>
      <c r="AL348" s="254" t="s">
        <v>82</v>
      </c>
      <c r="AM348" s="254" t="s">
        <v>82</v>
      </c>
      <c r="AN348" s="254" t="s">
        <v>82</v>
      </c>
      <c r="AO348" s="254" t="s">
        <v>82</v>
      </c>
    </row>
    <row r="349" spans="1:41" x14ac:dyDescent="0.2">
      <c r="A349" s="249">
        <v>345</v>
      </c>
      <c r="B349" s="195">
        <v>14</v>
      </c>
      <c r="C349" s="195" t="s">
        <v>702</v>
      </c>
      <c r="D349" s="195">
        <v>3</v>
      </c>
      <c r="E349" s="195" t="s">
        <v>358</v>
      </c>
      <c r="F349" s="196">
        <v>44371</v>
      </c>
      <c r="G349" s="250" t="s">
        <v>7</v>
      </c>
      <c r="H349" s="263">
        <v>2126</v>
      </c>
      <c r="I349" s="216" t="s">
        <v>707</v>
      </c>
      <c r="J349" s="264">
        <v>1442</v>
      </c>
      <c r="K349" s="264">
        <v>1637</v>
      </c>
      <c r="L349" s="265">
        <v>1601</v>
      </c>
      <c r="M349" s="249">
        <v>1</v>
      </c>
      <c r="N349" s="200">
        <v>0</v>
      </c>
      <c r="P349" s="263">
        <v>2126</v>
      </c>
      <c r="Q349" s="270">
        <v>5.5</v>
      </c>
      <c r="R349" s="270">
        <v>3.3</v>
      </c>
      <c r="S349" s="270">
        <v>2.9</v>
      </c>
      <c r="T349" s="270">
        <v>0.4</v>
      </c>
      <c r="U349" s="270">
        <v>3.5</v>
      </c>
      <c r="V349" s="270">
        <v>3.5</v>
      </c>
      <c r="W349" s="270" t="s">
        <v>84</v>
      </c>
      <c r="Y349" s="263">
        <v>2126</v>
      </c>
      <c r="Z349" s="270">
        <v>0</v>
      </c>
      <c r="AA349" s="270">
        <v>3</v>
      </c>
      <c r="AB349" s="270">
        <v>2.9</v>
      </c>
      <c r="AC349" s="270">
        <v>0.1</v>
      </c>
      <c r="AD349" s="270">
        <v>3.5</v>
      </c>
      <c r="AE349" s="270">
        <v>3.5</v>
      </c>
      <c r="AF349" s="270" t="s">
        <v>84</v>
      </c>
      <c r="AH349" s="263">
        <v>2126</v>
      </c>
      <c r="AI349" s="254">
        <v>-5.5</v>
      </c>
      <c r="AJ349" s="254">
        <v>-0.29999999999999982</v>
      </c>
      <c r="AK349" s="254" t="s">
        <v>82</v>
      </c>
      <c r="AL349" s="254">
        <v>-0.30000000000000004</v>
      </c>
      <c r="AM349" s="254" t="s">
        <v>82</v>
      </c>
      <c r="AN349" s="254" t="s">
        <v>82</v>
      </c>
      <c r="AO349" s="254" t="s">
        <v>82</v>
      </c>
    </row>
    <row r="350" spans="1:41" x14ac:dyDescent="0.2">
      <c r="A350" s="249">
        <v>346</v>
      </c>
      <c r="B350" s="195">
        <v>14</v>
      </c>
      <c r="C350" s="195" t="s">
        <v>702</v>
      </c>
      <c r="D350" s="195">
        <v>3</v>
      </c>
      <c r="E350" s="195" t="s">
        <v>358</v>
      </c>
      <c r="F350" s="196">
        <v>44547</v>
      </c>
      <c r="G350" s="250" t="s">
        <v>8</v>
      </c>
      <c r="H350" s="263">
        <v>2151</v>
      </c>
      <c r="I350" s="216" t="s">
        <v>360</v>
      </c>
      <c r="J350" s="264">
        <v>1330</v>
      </c>
      <c r="K350" s="264">
        <v>1344</v>
      </c>
      <c r="L350" s="265">
        <v>1344</v>
      </c>
      <c r="M350" s="249">
        <v>1</v>
      </c>
      <c r="N350" s="200">
        <v>1</v>
      </c>
      <c r="P350" s="263">
        <v>2151</v>
      </c>
      <c r="Q350" s="270">
        <v>3.2</v>
      </c>
      <c r="R350" s="270">
        <v>1.3</v>
      </c>
      <c r="S350" s="270">
        <v>0.5</v>
      </c>
      <c r="T350" s="270">
        <v>0.8</v>
      </c>
      <c r="U350" s="270">
        <v>4.3</v>
      </c>
      <c r="V350" s="270">
        <v>1.1000000000000001</v>
      </c>
      <c r="W350" s="270">
        <v>3.2</v>
      </c>
      <c r="Y350" s="263">
        <v>2151</v>
      </c>
      <c r="Z350" s="270">
        <v>0</v>
      </c>
      <c r="AA350" s="270">
        <v>0.5</v>
      </c>
      <c r="AB350" s="270">
        <v>0.5</v>
      </c>
      <c r="AC350" s="270">
        <v>0</v>
      </c>
      <c r="AD350" s="270">
        <v>1.1000000000000001</v>
      </c>
      <c r="AE350" s="270">
        <v>1.1000000000000001</v>
      </c>
      <c r="AF350" s="270">
        <v>0</v>
      </c>
      <c r="AH350" s="263">
        <v>2151</v>
      </c>
      <c r="AI350" s="254">
        <v>-3.2</v>
      </c>
      <c r="AJ350" s="254">
        <v>-0.8</v>
      </c>
      <c r="AK350" s="254" t="s">
        <v>82</v>
      </c>
      <c r="AL350" s="254">
        <v>-0.8</v>
      </c>
      <c r="AM350" s="254">
        <v>-3.1999999999999997</v>
      </c>
      <c r="AN350" s="254" t="s">
        <v>82</v>
      </c>
      <c r="AO350" s="254">
        <v>-3.2</v>
      </c>
    </row>
    <row r="351" spans="1:41" x14ac:dyDescent="0.2">
      <c r="A351" s="249">
        <v>347</v>
      </c>
      <c r="B351" s="195">
        <v>14</v>
      </c>
      <c r="C351" s="195" t="s">
        <v>702</v>
      </c>
      <c r="D351" s="195">
        <v>4</v>
      </c>
      <c r="E351" s="195" t="s">
        <v>549</v>
      </c>
      <c r="F351" s="196">
        <v>44069</v>
      </c>
      <c r="G351" s="250" t="s">
        <v>6</v>
      </c>
      <c r="H351" s="263">
        <v>2035</v>
      </c>
      <c r="I351" s="216" t="s">
        <v>684</v>
      </c>
      <c r="J351" s="264">
        <v>600</v>
      </c>
      <c r="K351" s="264">
        <v>629</v>
      </c>
      <c r="L351" s="265">
        <v>617</v>
      </c>
      <c r="M351" s="249">
        <v>0</v>
      </c>
      <c r="N351" s="200">
        <v>0</v>
      </c>
      <c r="O351" s="269"/>
      <c r="P351" s="263">
        <v>2035</v>
      </c>
      <c r="Q351" s="270">
        <v>7.8</v>
      </c>
      <c r="R351" s="267"/>
      <c r="S351" s="267"/>
      <c r="T351" s="267"/>
      <c r="U351" s="267"/>
      <c r="V351" s="267"/>
      <c r="W351" s="267"/>
      <c r="Y351" s="263">
        <v>2035</v>
      </c>
      <c r="Z351" s="270">
        <v>0</v>
      </c>
      <c r="AA351" s="267"/>
      <c r="AB351" s="267"/>
      <c r="AC351" s="267"/>
      <c r="AD351" s="267"/>
      <c r="AE351" s="267"/>
      <c r="AF351" s="267"/>
      <c r="AH351" s="263">
        <v>2035</v>
      </c>
      <c r="AI351" s="254">
        <v>-7.8</v>
      </c>
      <c r="AJ351" s="254" t="s">
        <v>82</v>
      </c>
      <c r="AK351" s="254" t="s">
        <v>82</v>
      </c>
      <c r="AL351" s="254" t="s">
        <v>82</v>
      </c>
      <c r="AM351" s="254" t="s">
        <v>82</v>
      </c>
      <c r="AN351" s="254" t="s">
        <v>82</v>
      </c>
      <c r="AO351" s="254" t="s">
        <v>82</v>
      </c>
    </row>
    <row r="352" spans="1:41" x14ac:dyDescent="0.2">
      <c r="A352" s="249">
        <v>348</v>
      </c>
      <c r="B352" s="195">
        <v>14</v>
      </c>
      <c r="C352" s="195" t="s">
        <v>702</v>
      </c>
      <c r="D352" s="195">
        <v>4</v>
      </c>
      <c r="E352" s="195" t="s">
        <v>549</v>
      </c>
      <c r="F352" s="196">
        <v>44178</v>
      </c>
      <c r="G352" s="250" t="s">
        <v>10</v>
      </c>
      <c r="H352" s="263">
        <v>2050</v>
      </c>
      <c r="I352" s="216" t="s">
        <v>593</v>
      </c>
      <c r="J352" s="264">
        <v>1900</v>
      </c>
      <c r="K352" s="264">
        <v>1929</v>
      </c>
      <c r="L352" s="265">
        <v>1917</v>
      </c>
      <c r="M352" s="249">
        <v>0</v>
      </c>
      <c r="N352" s="200">
        <v>0</v>
      </c>
      <c r="O352" s="269"/>
      <c r="P352" s="263">
        <v>2050</v>
      </c>
      <c r="Q352" s="270">
        <v>13.8</v>
      </c>
      <c r="R352" s="267"/>
      <c r="S352" s="267"/>
      <c r="T352" s="267"/>
      <c r="U352" s="267"/>
      <c r="V352" s="267"/>
      <c r="W352" s="267"/>
      <c r="Y352" s="263">
        <v>2050</v>
      </c>
      <c r="Z352" s="270">
        <v>0</v>
      </c>
      <c r="AA352" s="267"/>
      <c r="AB352" s="267"/>
      <c r="AC352" s="267"/>
      <c r="AD352" s="267"/>
      <c r="AE352" s="267"/>
      <c r="AF352" s="267"/>
      <c r="AH352" s="263">
        <v>2050</v>
      </c>
      <c r="AI352" s="254">
        <v>-13.8</v>
      </c>
      <c r="AJ352" s="254" t="s">
        <v>82</v>
      </c>
      <c r="AK352" s="254" t="s">
        <v>82</v>
      </c>
      <c r="AL352" s="254" t="s">
        <v>82</v>
      </c>
      <c r="AM352" s="254" t="s">
        <v>82</v>
      </c>
      <c r="AN352" s="254" t="s">
        <v>82</v>
      </c>
      <c r="AO352" s="254" t="s">
        <v>82</v>
      </c>
    </row>
    <row r="353" spans="1:41" x14ac:dyDescent="0.2">
      <c r="A353" s="249">
        <v>349</v>
      </c>
      <c r="B353" s="195">
        <v>14</v>
      </c>
      <c r="C353" s="195" t="s">
        <v>702</v>
      </c>
      <c r="D353" s="195">
        <v>4</v>
      </c>
      <c r="E353" s="195" t="s">
        <v>549</v>
      </c>
      <c r="F353" s="196">
        <v>44190</v>
      </c>
      <c r="G353" s="250" t="s">
        <v>8</v>
      </c>
      <c r="H353" s="263">
        <v>2052</v>
      </c>
      <c r="I353" s="216" t="s">
        <v>708</v>
      </c>
      <c r="J353" s="264">
        <v>2200</v>
      </c>
      <c r="K353" s="264">
        <v>2247</v>
      </c>
      <c r="L353" s="265">
        <v>2237</v>
      </c>
      <c r="M353" s="249">
        <v>0</v>
      </c>
      <c r="N353" s="200">
        <v>0</v>
      </c>
      <c r="P353" s="263">
        <v>2052</v>
      </c>
      <c r="Q353" s="270">
        <v>20.399999999999999</v>
      </c>
      <c r="R353" s="267"/>
      <c r="S353" s="267"/>
      <c r="T353" s="267"/>
      <c r="U353" s="267"/>
      <c r="V353" s="267"/>
      <c r="W353" s="267"/>
      <c r="Y353" s="263">
        <v>2052</v>
      </c>
      <c r="Z353" s="270">
        <v>0.2</v>
      </c>
      <c r="AA353" s="267"/>
      <c r="AB353" s="267"/>
      <c r="AC353" s="267"/>
      <c r="AD353" s="267"/>
      <c r="AE353" s="267"/>
      <c r="AF353" s="267"/>
      <c r="AH353" s="263">
        <v>2052</v>
      </c>
      <c r="AI353" s="254">
        <v>-20.2</v>
      </c>
      <c r="AJ353" s="254" t="s">
        <v>82</v>
      </c>
      <c r="AK353" s="254" t="s">
        <v>82</v>
      </c>
      <c r="AL353" s="254" t="s">
        <v>82</v>
      </c>
      <c r="AM353" s="254" t="s">
        <v>82</v>
      </c>
      <c r="AN353" s="254" t="s">
        <v>82</v>
      </c>
      <c r="AO353" s="254" t="s">
        <v>82</v>
      </c>
    </row>
    <row r="354" spans="1:41" x14ac:dyDescent="0.2">
      <c r="A354" s="249">
        <v>350</v>
      </c>
      <c r="B354" s="195">
        <v>14</v>
      </c>
      <c r="C354" s="195" t="s">
        <v>702</v>
      </c>
      <c r="D354" s="195">
        <v>4</v>
      </c>
      <c r="E354" s="195" t="s">
        <v>549</v>
      </c>
      <c r="F354" s="196">
        <v>44229</v>
      </c>
      <c r="G354" s="250" t="s">
        <v>5</v>
      </c>
      <c r="H354" s="263">
        <v>2106</v>
      </c>
      <c r="I354" s="216" t="s">
        <v>684</v>
      </c>
      <c r="J354" s="264">
        <v>630</v>
      </c>
      <c r="K354" s="264">
        <v>652</v>
      </c>
      <c r="L354" s="265">
        <v>647</v>
      </c>
      <c r="M354" s="249">
        <v>0</v>
      </c>
      <c r="N354" s="200">
        <v>0</v>
      </c>
      <c r="O354" s="269"/>
      <c r="P354" s="263">
        <v>2106</v>
      </c>
      <c r="Q354" s="270">
        <v>11.4</v>
      </c>
      <c r="R354" s="267"/>
      <c r="S354" s="267"/>
      <c r="T354" s="267"/>
      <c r="U354" s="267"/>
      <c r="V354" s="267"/>
      <c r="W354" s="267"/>
      <c r="Y354" s="263">
        <v>2106</v>
      </c>
      <c r="Z354" s="270">
        <v>0</v>
      </c>
      <c r="AA354" s="267"/>
      <c r="AB354" s="267"/>
      <c r="AC354" s="267"/>
      <c r="AD354" s="267"/>
      <c r="AE354" s="267"/>
      <c r="AF354" s="267"/>
      <c r="AH354" s="263">
        <v>2106</v>
      </c>
      <c r="AI354" s="254">
        <v>-11.4</v>
      </c>
      <c r="AJ354" s="254" t="s">
        <v>82</v>
      </c>
      <c r="AK354" s="254" t="s">
        <v>82</v>
      </c>
      <c r="AL354" s="254" t="s">
        <v>82</v>
      </c>
      <c r="AM354" s="254" t="s">
        <v>82</v>
      </c>
      <c r="AN354" s="254" t="s">
        <v>82</v>
      </c>
      <c r="AO354" s="254" t="s">
        <v>82</v>
      </c>
    </row>
    <row r="355" spans="1:41" x14ac:dyDescent="0.2">
      <c r="A355" s="249">
        <v>351</v>
      </c>
      <c r="B355" s="195">
        <v>14</v>
      </c>
      <c r="C355" s="195" t="s">
        <v>702</v>
      </c>
      <c r="D355" s="195">
        <v>4</v>
      </c>
      <c r="E355" s="195" t="s">
        <v>549</v>
      </c>
      <c r="F355" s="196">
        <v>44253</v>
      </c>
      <c r="G355" s="250" t="s">
        <v>8</v>
      </c>
      <c r="H355" s="263">
        <v>2109</v>
      </c>
      <c r="I355" s="216" t="s">
        <v>709</v>
      </c>
      <c r="J355" s="264">
        <v>2045</v>
      </c>
      <c r="K355" s="264">
        <v>2059</v>
      </c>
      <c r="L355" s="265">
        <v>2047</v>
      </c>
      <c r="M355" s="249">
        <v>0</v>
      </c>
      <c r="N355" s="200">
        <v>0</v>
      </c>
      <c r="P355" s="263">
        <v>2109</v>
      </c>
      <c r="Q355" s="270">
        <v>38.200000000000003</v>
      </c>
      <c r="R355" s="267"/>
      <c r="S355" s="267"/>
      <c r="T355" s="267"/>
      <c r="U355" s="267"/>
      <c r="V355" s="267"/>
      <c r="W355" s="267"/>
      <c r="Y355" s="263">
        <v>2109</v>
      </c>
      <c r="Z355" s="270">
        <v>0</v>
      </c>
      <c r="AA355" s="267"/>
      <c r="AB355" s="267"/>
      <c r="AC355" s="267"/>
      <c r="AD355" s="267"/>
      <c r="AE355" s="267"/>
      <c r="AF355" s="267"/>
      <c r="AH355" s="263">
        <v>2109</v>
      </c>
      <c r="AI355" s="254">
        <v>-38.200000000000003</v>
      </c>
      <c r="AJ355" s="254" t="s">
        <v>82</v>
      </c>
      <c r="AK355" s="254" t="s">
        <v>82</v>
      </c>
      <c r="AL355" s="254" t="s">
        <v>82</v>
      </c>
      <c r="AM355" s="254" t="s">
        <v>82</v>
      </c>
      <c r="AN355" s="254" t="s">
        <v>82</v>
      </c>
      <c r="AO355" s="254" t="s">
        <v>82</v>
      </c>
    </row>
    <row r="356" spans="1:41" x14ac:dyDescent="0.2">
      <c r="A356" s="249">
        <v>352</v>
      </c>
      <c r="B356" s="195">
        <v>14</v>
      </c>
      <c r="C356" s="195" t="s">
        <v>702</v>
      </c>
      <c r="D356" s="195">
        <v>4</v>
      </c>
      <c r="E356" s="195" t="s">
        <v>549</v>
      </c>
      <c r="F356" s="196">
        <v>44488</v>
      </c>
      <c r="G356" s="250" t="s">
        <v>5</v>
      </c>
      <c r="H356" s="263">
        <v>2143</v>
      </c>
      <c r="I356" s="216" t="s">
        <v>578</v>
      </c>
      <c r="J356" s="264">
        <v>2200</v>
      </c>
      <c r="K356" s="264">
        <v>2229</v>
      </c>
      <c r="L356" s="265">
        <v>2204</v>
      </c>
      <c r="M356" s="249">
        <v>0</v>
      </c>
      <c r="N356" s="200">
        <v>0</v>
      </c>
      <c r="P356" s="263">
        <v>2143</v>
      </c>
      <c r="Q356" s="270">
        <v>4.4000000000000004</v>
      </c>
      <c r="R356" s="267"/>
      <c r="S356" s="267"/>
      <c r="T356" s="267"/>
      <c r="U356" s="267"/>
      <c r="V356" s="267"/>
      <c r="W356" s="267"/>
      <c r="Y356" s="263">
        <v>2143</v>
      </c>
      <c r="Z356" s="270">
        <v>0.2</v>
      </c>
      <c r="AA356" s="267"/>
      <c r="AB356" s="267"/>
      <c r="AC356" s="267"/>
      <c r="AD356" s="267"/>
      <c r="AE356" s="267"/>
      <c r="AF356" s="267"/>
      <c r="AH356" s="263">
        <v>2143</v>
      </c>
      <c r="AI356" s="254">
        <v>-4.2</v>
      </c>
      <c r="AJ356" s="254" t="s">
        <v>82</v>
      </c>
      <c r="AK356" s="254" t="s">
        <v>82</v>
      </c>
      <c r="AL356" s="254" t="s">
        <v>82</v>
      </c>
      <c r="AM356" s="254" t="s">
        <v>82</v>
      </c>
      <c r="AN356" s="254" t="s">
        <v>82</v>
      </c>
      <c r="AO356" s="254" t="s">
        <v>82</v>
      </c>
    </row>
    <row r="357" spans="1:41" x14ac:dyDescent="0.2">
      <c r="A357" s="249">
        <v>353</v>
      </c>
      <c r="B357" s="195">
        <v>14</v>
      </c>
      <c r="C357" s="195" t="s">
        <v>702</v>
      </c>
      <c r="D357" s="195">
        <v>5</v>
      </c>
      <c r="E357" s="195" t="s">
        <v>553</v>
      </c>
      <c r="F357" s="196">
        <v>43970</v>
      </c>
      <c r="G357" s="250" t="s">
        <v>5</v>
      </c>
      <c r="H357" s="263">
        <v>2021</v>
      </c>
      <c r="I357" s="216" t="s">
        <v>710</v>
      </c>
      <c r="J357" s="264">
        <v>1155</v>
      </c>
      <c r="K357" s="264">
        <v>1159</v>
      </c>
      <c r="L357" s="265">
        <v>1156</v>
      </c>
      <c r="M357" s="249">
        <v>0</v>
      </c>
      <c r="N357" s="200">
        <v>0</v>
      </c>
      <c r="O357" s="269"/>
      <c r="P357" s="263">
        <v>2021</v>
      </c>
      <c r="Q357" s="270">
        <v>4.3</v>
      </c>
      <c r="R357" s="267"/>
      <c r="S357" s="267"/>
      <c r="T357" s="267"/>
      <c r="U357" s="267"/>
      <c r="V357" s="267"/>
      <c r="W357" s="267"/>
      <c r="Y357" s="263">
        <v>2021</v>
      </c>
      <c r="Z357" s="270">
        <v>0</v>
      </c>
      <c r="AA357" s="267"/>
      <c r="AB357" s="267"/>
      <c r="AC357" s="267"/>
      <c r="AD357" s="267"/>
      <c r="AE357" s="267"/>
      <c r="AF357" s="267"/>
      <c r="AH357" s="263">
        <v>2021</v>
      </c>
      <c r="AI357" s="254">
        <v>-4.3</v>
      </c>
      <c r="AJ357" s="254" t="s">
        <v>82</v>
      </c>
      <c r="AK357" s="254" t="s">
        <v>82</v>
      </c>
      <c r="AL357" s="254" t="s">
        <v>82</v>
      </c>
      <c r="AM357" s="254" t="s">
        <v>82</v>
      </c>
      <c r="AN357" s="254" t="s">
        <v>82</v>
      </c>
      <c r="AO357" s="254" t="s">
        <v>82</v>
      </c>
    </row>
    <row r="358" spans="1:41" x14ac:dyDescent="0.2">
      <c r="A358" s="249">
        <v>354</v>
      </c>
      <c r="B358" s="195">
        <v>14</v>
      </c>
      <c r="C358" s="195" t="s">
        <v>702</v>
      </c>
      <c r="D358" s="195">
        <v>5</v>
      </c>
      <c r="E358" s="195" t="s">
        <v>553</v>
      </c>
      <c r="F358" s="196">
        <v>44087</v>
      </c>
      <c r="G358" s="250" t="s">
        <v>10</v>
      </c>
      <c r="H358" s="263">
        <v>2037</v>
      </c>
      <c r="I358" s="216" t="s">
        <v>711</v>
      </c>
      <c r="J358" s="264">
        <v>500</v>
      </c>
      <c r="K358" s="264">
        <v>559</v>
      </c>
      <c r="L358" s="265">
        <v>517</v>
      </c>
      <c r="M358" s="249">
        <v>0</v>
      </c>
      <c r="N358" s="200">
        <v>0</v>
      </c>
      <c r="O358" s="269"/>
      <c r="P358" s="263">
        <v>2037</v>
      </c>
      <c r="Q358" s="270">
        <v>17.7</v>
      </c>
      <c r="R358" s="267"/>
      <c r="S358" s="267"/>
      <c r="T358" s="267"/>
      <c r="U358" s="267"/>
      <c r="V358" s="267"/>
      <c r="W358" s="267"/>
      <c r="Y358" s="263">
        <v>2037</v>
      </c>
      <c r="Z358" s="270">
        <v>0</v>
      </c>
      <c r="AA358" s="267"/>
      <c r="AB358" s="267"/>
      <c r="AC358" s="267"/>
      <c r="AD358" s="267"/>
      <c r="AE358" s="267"/>
      <c r="AF358" s="267"/>
      <c r="AH358" s="263">
        <v>2037</v>
      </c>
      <c r="AI358" s="254">
        <v>-17.7</v>
      </c>
      <c r="AJ358" s="254" t="s">
        <v>82</v>
      </c>
      <c r="AK358" s="254" t="s">
        <v>82</v>
      </c>
      <c r="AL358" s="254" t="s">
        <v>82</v>
      </c>
      <c r="AM358" s="254" t="s">
        <v>82</v>
      </c>
      <c r="AN358" s="254" t="s">
        <v>82</v>
      </c>
      <c r="AO358" s="254" t="s">
        <v>82</v>
      </c>
    </row>
    <row r="359" spans="1:41" x14ac:dyDescent="0.2">
      <c r="A359" s="249">
        <v>355</v>
      </c>
      <c r="B359" s="195">
        <v>14</v>
      </c>
      <c r="C359" s="195" t="s">
        <v>702</v>
      </c>
      <c r="D359" s="195">
        <v>5</v>
      </c>
      <c r="E359" s="195" t="s">
        <v>553</v>
      </c>
      <c r="F359" s="196">
        <v>44110</v>
      </c>
      <c r="G359" s="250" t="s">
        <v>5</v>
      </c>
      <c r="H359" s="263">
        <v>2041</v>
      </c>
      <c r="I359" s="216" t="s">
        <v>712</v>
      </c>
      <c r="J359" s="264">
        <v>1100</v>
      </c>
      <c r="K359" s="264">
        <v>1123</v>
      </c>
      <c r="L359" s="265">
        <v>1112</v>
      </c>
      <c r="M359" s="249">
        <v>0</v>
      </c>
      <c r="N359" s="200">
        <v>0</v>
      </c>
      <c r="O359" s="269"/>
      <c r="P359" s="263">
        <v>2041</v>
      </c>
      <c r="Q359" s="270">
        <v>15.1</v>
      </c>
      <c r="R359" s="267"/>
      <c r="S359" s="267"/>
      <c r="T359" s="267"/>
      <c r="U359" s="267"/>
      <c r="V359" s="267"/>
      <c r="W359" s="267"/>
      <c r="Y359" s="263">
        <v>2041</v>
      </c>
      <c r="Z359" s="270">
        <v>0</v>
      </c>
      <c r="AA359" s="267"/>
      <c r="AB359" s="267"/>
      <c r="AC359" s="267"/>
      <c r="AD359" s="267"/>
      <c r="AE359" s="267"/>
      <c r="AF359" s="267"/>
      <c r="AH359" s="263">
        <v>2041</v>
      </c>
      <c r="AI359" s="254">
        <v>-15.1</v>
      </c>
      <c r="AJ359" s="254" t="s">
        <v>82</v>
      </c>
      <c r="AK359" s="254" t="s">
        <v>82</v>
      </c>
      <c r="AL359" s="254" t="s">
        <v>82</v>
      </c>
      <c r="AM359" s="254" t="s">
        <v>82</v>
      </c>
      <c r="AN359" s="254" t="s">
        <v>82</v>
      </c>
      <c r="AO359" s="254" t="s">
        <v>82</v>
      </c>
    </row>
    <row r="360" spans="1:41" x14ac:dyDescent="0.2">
      <c r="A360" s="249">
        <v>356</v>
      </c>
      <c r="B360" s="195">
        <v>14</v>
      </c>
      <c r="C360" s="195" t="s">
        <v>702</v>
      </c>
      <c r="D360" s="195">
        <v>5</v>
      </c>
      <c r="E360" s="195" t="s">
        <v>553</v>
      </c>
      <c r="F360" s="196">
        <v>44226</v>
      </c>
      <c r="G360" s="250" t="s">
        <v>9</v>
      </c>
      <c r="H360" s="263">
        <v>2105</v>
      </c>
      <c r="I360" s="216" t="s">
        <v>713</v>
      </c>
      <c r="J360" s="264">
        <v>2300</v>
      </c>
      <c r="K360" s="264">
        <v>2359</v>
      </c>
      <c r="L360" s="265">
        <v>2307</v>
      </c>
      <c r="M360" s="249">
        <v>0</v>
      </c>
      <c r="N360" s="200">
        <v>0</v>
      </c>
      <c r="P360" s="263">
        <v>2105</v>
      </c>
      <c r="Q360" s="270">
        <v>14.7</v>
      </c>
      <c r="R360" s="267"/>
      <c r="S360" s="267"/>
      <c r="T360" s="267"/>
      <c r="U360" s="267"/>
      <c r="V360" s="267"/>
      <c r="W360" s="267"/>
      <c r="Y360" s="263">
        <v>2105</v>
      </c>
      <c r="Z360" s="270">
        <v>0</v>
      </c>
      <c r="AA360" s="267"/>
      <c r="AB360" s="267"/>
      <c r="AC360" s="267"/>
      <c r="AD360" s="267"/>
      <c r="AE360" s="267"/>
      <c r="AF360" s="267"/>
      <c r="AH360" s="263">
        <v>2105</v>
      </c>
      <c r="AI360" s="254">
        <v>-14.7</v>
      </c>
      <c r="AJ360" s="254" t="s">
        <v>82</v>
      </c>
      <c r="AK360" s="254" t="s">
        <v>82</v>
      </c>
      <c r="AL360" s="254" t="s">
        <v>82</v>
      </c>
      <c r="AM360" s="254" t="s">
        <v>82</v>
      </c>
      <c r="AN360" s="254" t="s">
        <v>82</v>
      </c>
      <c r="AO360" s="254" t="s">
        <v>82</v>
      </c>
    </row>
    <row r="361" spans="1:41" x14ac:dyDescent="0.2">
      <c r="A361" s="249">
        <v>357</v>
      </c>
      <c r="B361" s="195">
        <v>14</v>
      </c>
      <c r="C361" s="195" t="s">
        <v>702</v>
      </c>
      <c r="D361" s="195">
        <v>6</v>
      </c>
      <c r="E361" s="195" t="s">
        <v>369</v>
      </c>
      <c r="F361" s="196">
        <v>44153</v>
      </c>
      <c r="G361" s="250" t="s">
        <v>6</v>
      </c>
      <c r="H361" s="263">
        <v>2047</v>
      </c>
      <c r="I361" s="216" t="s">
        <v>205</v>
      </c>
      <c r="J361" s="264">
        <v>1355</v>
      </c>
      <c r="K361" s="264">
        <v>1549</v>
      </c>
      <c r="L361" s="265">
        <v>1535</v>
      </c>
      <c r="M361" s="249">
        <v>1</v>
      </c>
      <c r="N361" s="200">
        <v>0</v>
      </c>
      <c r="O361" s="269"/>
      <c r="P361" s="263">
        <v>2047</v>
      </c>
      <c r="Q361" s="270">
        <v>13.6</v>
      </c>
      <c r="R361" s="270">
        <v>5.7</v>
      </c>
      <c r="S361" s="270">
        <v>5.0999999999999996</v>
      </c>
      <c r="T361" s="270">
        <v>0.6</v>
      </c>
      <c r="U361" s="270">
        <v>2.8</v>
      </c>
      <c r="V361" s="270">
        <v>2.8</v>
      </c>
      <c r="W361" s="270">
        <v>0</v>
      </c>
      <c r="Y361" s="263">
        <v>2047</v>
      </c>
      <c r="Z361" s="270">
        <v>0</v>
      </c>
      <c r="AA361" s="270">
        <v>5.0999999999999996</v>
      </c>
      <c r="AB361" s="270">
        <v>5.0999999999999996</v>
      </c>
      <c r="AC361" s="270">
        <v>0</v>
      </c>
      <c r="AD361" s="270">
        <v>2.8</v>
      </c>
      <c r="AE361" s="270">
        <v>2.8</v>
      </c>
      <c r="AF361" s="270">
        <v>0</v>
      </c>
      <c r="AH361" s="263">
        <v>2047</v>
      </c>
      <c r="AI361" s="254">
        <v>-13.6</v>
      </c>
      <c r="AJ361" s="254">
        <v>-0.60000000000000053</v>
      </c>
      <c r="AK361" s="254" t="s">
        <v>82</v>
      </c>
      <c r="AL361" s="254">
        <v>-0.6</v>
      </c>
      <c r="AM361" s="254" t="s">
        <v>82</v>
      </c>
      <c r="AN361" s="254" t="s">
        <v>82</v>
      </c>
      <c r="AO361" s="254" t="s">
        <v>82</v>
      </c>
    </row>
    <row r="362" spans="1:41" x14ac:dyDescent="0.2">
      <c r="A362" s="249">
        <v>358</v>
      </c>
      <c r="B362" s="195">
        <v>14</v>
      </c>
      <c r="C362" s="195" t="s">
        <v>702</v>
      </c>
      <c r="D362" s="195">
        <v>6</v>
      </c>
      <c r="E362" s="195" t="s">
        <v>369</v>
      </c>
      <c r="F362" s="196">
        <v>44160</v>
      </c>
      <c r="G362" s="250" t="s">
        <v>6</v>
      </c>
      <c r="H362" s="263">
        <v>2048</v>
      </c>
      <c r="I362" s="216" t="s">
        <v>714</v>
      </c>
      <c r="J362" s="264">
        <v>500</v>
      </c>
      <c r="K362" s="264">
        <v>519</v>
      </c>
      <c r="L362" s="265">
        <v>515</v>
      </c>
      <c r="M362" s="249">
        <v>0</v>
      </c>
      <c r="N362" s="200">
        <v>0</v>
      </c>
      <c r="O362" s="269"/>
      <c r="P362" s="263">
        <v>2048</v>
      </c>
      <c r="Q362" s="270">
        <v>9.1999999999999993</v>
      </c>
      <c r="R362" s="267"/>
      <c r="S362" s="267"/>
      <c r="T362" s="267"/>
      <c r="U362" s="267"/>
      <c r="V362" s="267"/>
      <c r="W362" s="267"/>
      <c r="Y362" s="263">
        <v>2048</v>
      </c>
      <c r="Z362" s="270">
        <v>0</v>
      </c>
      <c r="AA362" s="267"/>
      <c r="AB362" s="267"/>
      <c r="AC362" s="267"/>
      <c r="AD362" s="267"/>
      <c r="AE362" s="267"/>
      <c r="AF362" s="267"/>
      <c r="AH362" s="263">
        <v>2048</v>
      </c>
      <c r="AI362" s="254">
        <v>-9.1999999999999993</v>
      </c>
      <c r="AJ362" s="254" t="s">
        <v>82</v>
      </c>
      <c r="AK362" s="254" t="s">
        <v>82</v>
      </c>
      <c r="AL362" s="254" t="s">
        <v>82</v>
      </c>
      <c r="AM362" s="254" t="s">
        <v>82</v>
      </c>
      <c r="AN362" s="254" t="s">
        <v>82</v>
      </c>
      <c r="AO362" s="254" t="s">
        <v>82</v>
      </c>
    </row>
    <row r="363" spans="1:41" x14ac:dyDescent="0.2">
      <c r="A363" s="249">
        <v>359</v>
      </c>
      <c r="B363" s="195">
        <v>14</v>
      </c>
      <c r="C363" s="195" t="s">
        <v>702</v>
      </c>
      <c r="D363" s="195">
        <v>6</v>
      </c>
      <c r="E363" s="195" t="s">
        <v>369</v>
      </c>
      <c r="F363" s="196">
        <v>44198</v>
      </c>
      <c r="G363" s="250" t="s">
        <v>9</v>
      </c>
      <c r="H363" s="271">
        <v>2101</v>
      </c>
      <c r="I363" s="216" t="s">
        <v>566</v>
      </c>
      <c r="J363" s="264">
        <v>645</v>
      </c>
      <c r="K363" s="264">
        <v>659</v>
      </c>
      <c r="L363" s="265">
        <v>647</v>
      </c>
      <c r="M363" s="249">
        <v>1</v>
      </c>
      <c r="N363" s="200">
        <v>0</v>
      </c>
      <c r="O363" s="269"/>
      <c r="P363" s="263">
        <v>2101</v>
      </c>
      <c r="Q363" s="270">
        <v>5.2</v>
      </c>
      <c r="R363" s="270">
        <v>3</v>
      </c>
      <c r="S363" s="270">
        <v>2.1</v>
      </c>
      <c r="T363" s="270">
        <v>0.9</v>
      </c>
      <c r="U363" s="270">
        <v>2.8</v>
      </c>
      <c r="V363" s="270">
        <v>2.8</v>
      </c>
      <c r="W363" s="270">
        <v>0</v>
      </c>
      <c r="Y363" s="263">
        <v>2101</v>
      </c>
      <c r="Z363" s="270">
        <v>0</v>
      </c>
      <c r="AA363" s="270">
        <v>2.1</v>
      </c>
      <c r="AB363" s="270">
        <v>2.1</v>
      </c>
      <c r="AC363" s="270">
        <v>0</v>
      </c>
      <c r="AD363" s="270">
        <v>2.8</v>
      </c>
      <c r="AE363" s="270">
        <v>2.8</v>
      </c>
      <c r="AF363" s="270">
        <v>0</v>
      </c>
      <c r="AH363" s="263">
        <v>2101</v>
      </c>
      <c r="AI363" s="254">
        <v>-5.2</v>
      </c>
      <c r="AJ363" s="254">
        <v>-0.89999999999999991</v>
      </c>
      <c r="AK363" s="254" t="s">
        <v>82</v>
      </c>
      <c r="AL363" s="254">
        <v>-0.9</v>
      </c>
      <c r="AM363" s="254" t="s">
        <v>82</v>
      </c>
      <c r="AN363" s="254" t="s">
        <v>82</v>
      </c>
      <c r="AO363" s="254" t="s">
        <v>82</v>
      </c>
    </row>
    <row r="364" spans="1:41" x14ac:dyDescent="0.2">
      <c r="A364" s="249">
        <v>360</v>
      </c>
      <c r="B364" s="195">
        <v>14</v>
      </c>
      <c r="C364" s="195" t="s">
        <v>702</v>
      </c>
      <c r="D364" s="195">
        <v>6</v>
      </c>
      <c r="E364" s="195" t="s">
        <v>369</v>
      </c>
      <c r="F364" s="196">
        <v>44203</v>
      </c>
      <c r="G364" s="250" t="s">
        <v>7</v>
      </c>
      <c r="H364" s="263">
        <v>2102</v>
      </c>
      <c r="I364" s="216" t="s">
        <v>95</v>
      </c>
      <c r="J364" s="264">
        <v>1900</v>
      </c>
      <c r="K364" s="264">
        <v>2053</v>
      </c>
      <c r="L364" s="265">
        <v>1946</v>
      </c>
      <c r="M364" s="249">
        <v>0</v>
      </c>
      <c r="N364" s="200">
        <v>0</v>
      </c>
      <c r="P364" s="263">
        <v>2102</v>
      </c>
      <c r="Q364" s="270">
        <v>10.199999999999999</v>
      </c>
      <c r="R364" s="267"/>
      <c r="S364" s="267"/>
      <c r="T364" s="267"/>
      <c r="U364" s="267"/>
      <c r="V364" s="267"/>
      <c r="W364" s="267"/>
      <c r="Y364" s="263">
        <v>2102</v>
      </c>
      <c r="Z364" s="270">
        <v>0.4</v>
      </c>
      <c r="AA364" s="267"/>
      <c r="AB364" s="267"/>
      <c r="AC364" s="267"/>
      <c r="AD364" s="267"/>
      <c r="AE364" s="267"/>
      <c r="AF364" s="267"/>
      <c r="AH364" s="263">
        <v>2102</v>
      </c>
      <c r="AI364" s="254">
        <v>-9.7999999999999989</v>
      </c>
      <c r="AJ364" s="254" t="s">
        <v>82</v>
      </c>
      <c r="AK364" s="254" t="s">
        <v>82</v>
      </c>
      <c r="AL364" s="254" t="s">
        <v>82</v>
      </c>
      <c r="AM364" s="254" t="s">
        <v>82</v>
      </c>
      <c r="AN364" s="254" t="s">
        <v>82</v>
      </c>
      <c r="AO364" s="254" t="s">
        <v>82</v>
      </c>
    </row>
    <row r="365" spans="1:41" x14ac:dyDescent="0.2">
      <c r="A365" s="249">
        <v>361</v>
      </c>
      <c r="B365" s="195">
        <v>14</v>
      </c>
      <c r="C365" s="195" t="s">
        <v>702</v>
      </c>
      <c r="D365" s="195">
        <v>6</v>
      </c>
      <c r="E365" s="195" t="s">
        <v>369</v>
      </c>
      <c r="F365" s="196">
        <v>44224</v>
      </c>
      <c r="G365" s="250" t="s">
        <v>7</v>
      </c>
      <c r="H365" s="263">
        <v>2105</v>
      </c>
      <c r="I365" s="216" t="s">
        <v>715</v>
      </c>
      <c r="J365" s="264">
        <v>1815</v>
      </c>
      <c r="K365" s="264">
        <v>1854</v>
      </c>
      <c r="L365" s="265">
        <v>1817</v>
      </c>
      <c r="M365" s="249">
        <v>0</v>
      </c>
      <c r="N365" s="200">
        <v>0</v>
      </c>
      <c r="P365" s="263">
        <v>2105</v>
      </c>
      <c r="Q365" s="270">
        <v>6.6</v>
      </c>
      <c r="R365" s="267"/>
      <c r="S365" s="267"/>
      <c r="T365" s="267"/>
      <c r="U365" s="267"/>
      <c r="V365" s="267"/>
      <c r="W365" s="267"/>
      <c r="Y365" s="263">
        <v>2105</v>
      </c>
      <c r="Z365" s="270">
        <v>0</v>
      </c>
      <c r="AA365" s="267"/>
      <c r="AB365" s="267"/>
      <c r="AC365" s="267"/>
      <c r="AD365" s="267"/>
      <c r="AE365" s="267"/>
      <c r="AF365" s="267"/>
      <c r="AH365" s="263">
        <v>2105</v>
      </c>
      <c r="AI365" s="254">
        <v>-6.6</v>
      </c>
      <c r="AJ365" s="254" t="s">
        <v>82</v>
      </c>
      <c r="AK365" s="254" t="s">
        <v>82</v>
      </c>
      <c r="AL365" s="254" t="s">
        <v>82</v>
      </c>
      <c r="AM365" s="254" t="s">
        <v>82</v>
      </c>
      <c r="AN365" s="254" t="s">
        <v>82</v>
      </c>
      <c r="AO365" s="254" t="s">
        <v>82</v>
      </c>
    </row>
    <row r="366" spans="1:41" x14ac:dyDescent="0.2">
      <c r="A366" s="249">
        <v>362</v>
      </c>
      <c r="B366" s="195">
        <v>14</v>
      </c>
      <c r="C366" s="195" t="s">
        <v>702</v>
      </c>
      <c r="D366" s="195">
        <v>6</v>
      </c>
      <c r="E366" s="195" t="s">
        <v>369</v>
      </c>
      <c r="F366" s="196">
        <v>44294</v>
      </c>
      <c r="G366" s="250" t="s">
        <v>7</v>
      </c>
      <c r="H366" s="263">
        <v>2115</v>
      </c>
      <c r="I366" s="216" t="s">
        <v>371</v>
      </c>
      <c r="J366" s="264">
        <v>2459</v>
      </c>
      <c r="K366" s="264">
        <v>2528</v>
      </c>
      <c r="L366" s="265">
        <v>2517</v>
      </c>
      <c r="M366" s="249">
        <v>1</v>
      </c>
      <c r="N366" s="200">
        <v>0</v>
      </c>
      <c r="P366" s="263">
        <v>2115</v>
      </c>
      <c r="Q366" s="270">
        <v>53.6</v>
      </c>
      <c r="R366" s="270">
        <v>6.7</v>
      </c>
      <c r="S366" s="270">
        <v>1.2</v>
      </c>
      <c r="T366" s="270">
        <v>5.5</v>
      </c>
      <c r="U366" s="270">
        <v>1.1000000000000001</v>
      </c>
      <c r="V366" s="270">
        <v>0.7</v>
      </c>
      <c r="W366" s="270">
        <v>0.4</v>
      </c>
      <c r="Y366" s="263">
        <v>2115</v>
      </c>
      <c r="Z366" s="270">
        <v>0.2</v>
      </c>
      <c r="AA366" s="270">
        <v>1.8</v>
      </c>
      <c r="AB366" s="270">
        <v>1.2</v>
      </c>
      <c r="AC366" s="270">
        <v>0.6</v>
      </c>
      <c r="AD366" s="270">
        <v>1.1000000000000001</v>
      </c>
      <c r="AE366" s="270">
        <v>0.7</v>
      </c>
      <c r="AF366" s="270">
        <v>0.4</v>
      </c>
      <c r="AH366" s="263">
        <v>2115</v>
      </c>
      <c r="AI366" s="254">
        <v>-53.4</v>
      </c>
      <c r="AJ366" s="254">
        <v>-4.9000000000000004</v>
      </c>
      <c r="AK366" s="254" t="s">
        <v>82</v>
      </c>
      <c r="AL366" s="254">
        <v>-4.9000000000000004</v>
      </c>
      <c r="AM366" s="254" t="s">
        <v>82</v>
      </c>
      <c r="AN366" s="254" t="s">
        <v>82</v>
      </c>
      <c r="AO366" s="254" t="s">
        <v>82</v>
      </c>
    </row>
    <row r="367" spans="1:41" x14ac:dyDescent="0.2">
      <c r="A367" s="249">
        <v>363</v>
      </c>
      <c r="B367" s="195">
        <v>15</v>
      </c>
      <c r="C367" s="195" t="s">
        <v>716</v>
      </c>
      <c r="D367" s="195">
        <v>1</v>
      </c>
      <c r="E367" s="195" t="s">
        <v>373</v>
      </c>
      <c r="F367" s="196">
        <v>43957</v>
      </c>
      <c r="G367" s="250" t="s">
        <v>6</v>
      </c>
      <c r="H367" s="263">
        <v>2019</v>
      </c>
      <c r="I367" s="216" t="s">
        <v>717</v>
      </c>
      <c r="J367" s="264">
        <v>1815</v>
      </c>
      <c r="K367" s="264">
        <v>1859</v>
      </c>
      <c r="L367" s="265">
        <v>1817</v>
      </c>
      <c r="M367" s="249">
        <v>0</v>
      </c>
      <c r="N367" s="200">
        <v>0</v>
      </c>
      <c r="O367" s="269"/>
      <c r="P367" s="263">
        <v>2019</v>
      </c>
      <c r="Q367" s="270">
        <v>22.5</v>
      </c>
      <c r="R367" s="267"/>
      <c r="S367" s="267"/>
      <c r="T367" s="267"/>
      <c r="U367" s="267"/>
      <c r="V367" s="267"/>
      <c r="W367" s="267"/>
      <c r="Y367" s="263">
        <v>2019</v>
      </c>
      <c r="Z367" s="270">
        <v>0</v>
      </c>
      <c r="AA367" s="267"/>
      <c r="AB367" s="267"/>
      <c r="AC367" s="267"/>
      <c r="AD367" s="267"/>
      <c r="AE367" s="267"/>
      <c r="AF367" s="267"/>
      <c r="AH367" s="263">
        <v>2019</v>
      </c>
      <c r="AI367" s="254">
        <v>-22.5</v>
      </c>
      <c r="AJ367" s="254" t="s">
        <v>82</v>
      </c>
      <c r="AK367" s="254" t="s">
        <v>82</v>
      </c>
      <c r="AL367" s="254" t="s">
        <v>82</v>
      </c>
      <c r="AM367" s="254" t="s">
        <v>82</v>
      </c>
      <c r="AN367" s="254" t="s">
        <v>82</v>
      </c>
      <c r="AO367" s="254" t="s">
        <v>82</v>
      </c>
    </row>
    <row r="368" spans="1:41" x14ac:dyDescent="0.2">
      <c r="A368" s="249">
        <v>364</v>
      </c>
      <c r="B368" s="195">
        <v>15</v>
      </c>
      <c r="C368" s="195" t="s">
        <v>716</v>
      </c>
      <c r="D368" s="195">
        <v>1</v>
      </c>
      <c r="E368" s="195" t="s">
        <v>373</v>
      </c>
      <c r="F368" s="196">
        <v>44129</v>
      </c>
      <c r="G368" s="250" t="s">
        <v>10</v>
      </c>
      <c r="H368" s="263">
        <v>2043</v>
      </c>
      <c r="I368" s="216" t="s">
        <v>718</v>
      </c>
      <c r="J368" s="264">
        <v>1800</v>
      </c>
      <c r="K368" s="264">
        <v>1829</v>
      </c>
      <c r="L368" s="265">
        <v>1817</v>
      </c>
      <c r="M368" s="249">
        <v>0</v>
      </c>
      <c r="N368" s="200">
        <v>0</v>
      </c>
      <c r="O368" s="269"/>
      <c r="P368" s="263">
        <v>2043</v>
      </c>
      <c r="Q368" s="270">
        <v>12.7</v>
      </c>
      <c r="R368" s="267"/>
      <c r="S368" s="267"/>
      <c r="T368" s="267"/>
      <c r="U368" s="267"/>
      <c r="V368" s="267"/>
      <c r="W368" s="267"/>
      <c r="Y368" s="263">
        <v>2043</v>
      </c>
      <c r="Z368" s="270">
        <v>0.4</v>
      </c>
      <c r="AA368" s="267"/>
      <c r="AB368" s="267"/>
      <c r="AC368" s="267"/>
      <c r="AD368" s="267"/>
      <c r="AE368" s="267"/>
      <c r="AF368" s="267"/>
      <c r="AH368" s="263">
        <v>2043</v>
      </c>
      <c r="AI368" s="254">
        <v>-12.299999999999999</v>
      </c>
      <c r="AJ368" s="254" t="s">
        <v>82</v>
      </c>
      <c r="AK368" s="254" t="s">
        <v>82</v>
      </c>
      <c r="AL368" s="254" t="s">
        <v>82</v>
      </c>
      <c r="AM368" s="254" t="s">
        <v>82</v>
      </c>
      <c r="AN368" s="254" t="s">
        <v>82</v>
      </c>
      <c r="AO368" s="254" t="s">
        <v>82</v>
      </c>
    </row>
    <row r="369" spans="1:41" x14ac:dyDescent="0.2">
      <c r="A369" s="249">
        <v>365</v>
      </c>
      <c r="B369" s="195">
        <v>15</v>
      </c>
      <c r="C369" s="195" t="s">
        <v>716</v>
      </c>
      <c r="D369" s="195">
        <v>1</v>
      </c>
      <c r="E369" s="195" t="s">
        <v>373</v>
      </c>
      <c r="F369" s="196">
        <v>44161</v>
      </c>
      <c r="G369" s="250" t="s">
        <v>7</v>
      </c>
      <c r="H369" s="263">
        <v>2048</v>
      </c>
      <c r="I369" s="216" t="s">
        <v>374</v>
      </c>
      <c r="J369" s="264">
        <v>1025</v>
      </c>
      <c r="K369" s="264">
        <v>1129</v>
      </c>
      <c r="L369" s="265">
        <v>1051</v>
      </c>
      <c r="M369" s="249">
        <v>1</v>
      </c>
      <c r="N369" s="200">
        <v>0</v>
      </c>
      <c r="O369" s="269"/>
      <c r="P369" s="263">
        <v>2048</v>
      </c>
      <c r="Q369" s="270">
        <v>20</v>
      </c>
      <c r="R369" s="270">
        <v>4.0999999999999996</v>
      </c>
      <c r="S369" s="270">
        <v>2.6</v>
      </c>
      <c r="T369" s="270">
        <v>1.5</v>
      </c>
      <c r="U369" s="270">
        <v>2.2999999999999998</v>
      </c>
      <c r="V369" s="270">
        <v>2.2999999999999998</v>
      </c>
      <c r="W369" s="270" t="s">
        <v>84</v>
      </c>
      <c r="Y369" s="263">
        <v>2048</v>
      </c>
      <c r="Z369" s="270">
        <v>0</v>
      </c>
      <c r="AA369" s="270">
        <v>2.6</v>
      </c>
      <c r="AB369" s="270">
        <v>2.6</v>
      </c>
      <c r="AC369" s="270">
        <v>0</v>
      </c>
      <c r="AD369" s="270">
        <v>2.2999999999999998</v>
      </c>
      <c r="AE369" s="270">
        <v>2.2999999999999998</v>
      </c>
      <c r="AF369" s="270" t="s">
        <v>84</v>
      </c>
      <c r="AH369" s="263">
        <v>2048</v>
      </c>
      <c r="AI369" s="254">
        <v>-20</v>
      </c>
      <c r="AJ369" s="254">
        <v>-1.4999999999999996</v>
      </c>
      <c r="AK369" s="254" t="s">
        <v>82</v>
      </c>
      <c r="AL369" s="254">
        <v>-1.5</v>
      </c>
      <c r="AM369" s="254" t="s">
        <v>82</v>
      </c>
      <c r="AN369" s="254" t="s">
        <v>82</v>
      </c>
      <c r="AO369" s="254" t="s">
        <v>82</v>
      </c>
    </row>
    <row r="370" spans="1:41" x14ac:dyDescent="0.2">
      <c r="A370" s="249">
        <v>366</v>
      </c>
      <c r="B370" s="195">
        <v>15</v>
      </c>
      <c r="C370" s="195" t="s">
        <v>716</v>
      </c>
      <c r="D370" s="195">
        <v>1</v>
      </c>
      <c r="E370" s="195" t="s">
        <v>373</v>
      </c>
      <c r="F370" s="196">
        <v>44251</v>
      </c>
      <c r="G370" s="250" t="s">
        <v>6</v>
      </c>
      <c r="H370" s="263">
        <v>2109</v>
      </c>
      <c r="I370" s="216" t="s">
        <v>719</v>
      </c>
      <c r="J370" s="264">
        <v>2000</v>
      </c>
      <c r="K370" s="264">
        <v>2156</v>
      </c>
      <c r="L370" s="265">
        <v>2147</v>
      </c>
      <c r="M370" s="249">
        <v>0</v>
      </c>
      <c r="N370" s="200">
        <v>0</v>
      </c>
      <c r="O370" s="269"/>
      <c r="P370" s="263">
        <v>2109</v>
      </c>
      <c r="Q370" s="270">
        <v>120</v>
      </c>
      <c r="R370" s="267"/>
      <c r="S370" s="267"/>
      <c r="T370" s="267"/>
      <c r="U370" s="267"/>
      <c r="V370" s="267"/>
      <c r="W370" s="267"/>
      <c r="Y370" s="263">
        <v>2109</v>
      </c>
      <c r="Z370" s="270">
        <v>5.6</v>
      </c>
      <c r="AA370" s="267"/>
      <c r="AB370" s="267"/>
      <c r="AC370" s="267"/>
      <c r="AD370" s="267"/>
      <c r="AE370" s="267"/>
      <c r="AF370" s="267"/>
      <c r="AH370" s="263">
        <v>2109</v>
      </c>
      <c r="AI370" s="254">
        <v>-114.4</v>
      </c>
      <c r="AJ370" s="254" t="s">
        <v>82</v>
      </c>
      <c r="AK370" s="254" t="s">
        <v>82</v>
      </c>
      <c r="AL370" s="254" t="s">
        <v>82</v>
      </c>
      <c r="AM370" s="254" t="s">
        <v>82</v>
      </c>
      <c r="AN370" s="254" t="s">
        <v>82</v>
      </c>
      <c r="AO370" s="254" t="s">
        <v>82</v>
      </c>
    </row>
    <row r="371" spans="1:41" x14ac:dyDescent="0.2">
      <c r="A371" s="249">
        <v>367</v>
      </c>
      <c r="B371" s="195">
        <v>15</v>
      </c>
      <c r="C371" s="195" t="s">
        <v>716</v>
      </c>
      <c r="D371" s="195">
        <v>1</v>
      </c>
      <c r="E371" s="195" t="s">
        <v>373</v>
      </c>
      <c r="F371" s="196">
        <v>44478</v>
      </c>
      <c r="G371" s="250" t="s">
        <v>9</v>
      </c>
      <c r="H371" s="263">
        <v>2141</v>
      </c>
      <c r="I371" s="216" t="s">
        <v>720</v>
      </c>
      <c r="J371" s="264">
        <v>930</v>
      </c>
      <c r="K371" s="264">
        <v>1144</v>
      </c>
      <c r="L371" s="265">
        <v>942</v>
      </c>
      <c r="M371" s="249">
        <v>0</v>
      </c>
      <c r="N371" s="200">
        <v>0</v>
      </c>
      <c r="O371" s="269"/>
      <c r="P371" s="263">
        <v>2141</v>
      </c>
      <c r="Q371" s="270">
        <v>30.3</v>
      </c>
      <c r="R371" s="267"/>
      <c r="S371" s="267"/>
      <c r="T371" s="267"/>
      <c r="U371" s="267"/>
      <c r="V371" s="267"/>
      <c r="W371" s="267"/>
      <c r="Y371" s="263">
        <v>2141</v>
      </c>
      <c r="Z371" s="270">
        <v>0</v>
      </c>
      <c r="AA371" s="267"/>
      <c r="AB371" s="267"/>
      <c r="AC371" s="267"/>
      <c r="AD371" s="267"/>
      <c r="AE371" s="267"/>
      <c r="AF371" s="267"/>
      <c r="AH371" s="263">
        <v>2141</v>
      </c>
      <c r="AI371" s="254">
        <v>-30.3</v>
      </c>
      <c r="AJ371" s="254" t="s">
        <v>82</v>
      </c>
      <c r="AK371" s="254" t="s">
        <v>82</v>
      </c>
      <c r="AL371" s="254" t="s">
        <v>82</v>
      </c>
      <c r="AM371" s="254" t="s">
        <v>82</v>
      </c>
      <c r="AN371" s="254" t="s">
        <v>82</v>
      </c>
      <c r="AO371" s="254" t="s">
        <v>82</v>
      </c>
    </row>
    <row r="372" spans="1:41" x14ac:dyDescent="0.2">
      <c r="A372" s="249">
        <v>368</v>
      </c>
      <c r="B372" s="195">
        <v>15</v>
      </c>
      <c r="C372" s="195" t="s">
        <v>716</v>
      </c>
      <c r="D372" s="195">
        <v>1</v>
      </c>
      <c r="E372" s="195" t="s">
        <v>373</v>
      </c>
      <c r="F372" s="196">
        <v>44532</v>
      </c>
      <c r="G372" s="250" t="s">
        <v>7</v>
      </c>
      <c r="H372" s="263">
        <v>2149</v>
      </c>
      <c r="I372" s="216" t="s">
        <v>375</v>
      </c>
      <c r="J372" s="264">
        <v>1650</v>
      </c>
      <c r="K372" s="264">
        <v>1749</v>
      </c>
      <c r="L372" s="265">
        <v>1659</v>
      </c>
      <c r="M372" s="249">
        <v>1</v>
      </c>
      <c r="N372" s="200">
        <v>0</v>
      </c>
      <c r="O372" s="269"/>
      <c r="P372" s="263">
        <v>2149</v>
      </c>
      <c r="Q372" s="270">
        <v>22.5</v>
      </c>
      <c r="R372" s="270">
        <v>5.7</v>
      </c>
      <c r="S372" s="270">
        <v>4.3</v>
      </c>
      <c r="T372" s="270">
        <v>1.4</v>
      </c>
      <c r="U372" s="270">
        <v>4.2</v>
      </c>
      <c r="V372" s="270">
        <v>4.2</v>
      </c>
      <c r="W372" s="270" t="s">
        <v>84</v>
      </c>
      <c r="Y372" s="263">
        <v>2149</v>
      </c>
      <c r="Z372" s="270">
        <v>0</v>
      </c>
      <c r="AA372" s="270">
        <v>4.3</v>
      </c>
      <c r="AB372" s="270">
        <v>4.3</v>
      </c>
      <c r="AC372" s="270">
        <v>0</v>
      </c>
      <c r="AD372" s="270">
        <v>4.2</v>
      </c>
      <c r="AE372" s="270">
        <v>4.2</v>
      </c>
      <c r="AF372" s="270" t="s">
        <v>84</v>
      </c>
      <c r="AH372" s="263">
        <v>2149</v>
      </c>
      <c r="AI372" s="254">
        <v>-22.5</v>
      </c>
      <c r="AJ372" s="254">
        <v>-1.4000000000000004</v>
      </c>
      <c r="AK372" s="254" t="s">
        <v>82</v>
      </c>
      <c r="AL372" s="254">
        <v>-1.4</v>
      </c>
      <c r="AM372" s="254" t="s">
        <v>82</v>
      </c>
      <c r="AN372" s="254" t="s">
        <v>82</v>
      </c>
      <c r="AO372" s="254" t="s">
        <v>82</v>
      </c>
    </row>
    <row r="373" spans="1:41" x14ac:dyDescent="0.2">
      <c r="A373" s="249">
        <v>369</v>
      </c>
      <c r="B373" s="195">
        <v>15</v>
      </c>
      <c r="C373" s="195" t="s">
        <v>716</v>
      </c>
      <c r="D373" s="195">
        <v>2</v>
      </c>
      <c r="E373" s="195" t="s">
        <v>377</v>
      </c>
      <c r="F373" s="196">
        <v>44098</v>
      </c>
      <c r="G373" s="250" t="s">
        <v>7</v>
      </c>
      <c r="H373" s="263">
        <v>2039</v>
      </c>
      <c r="I373" s="216" t="s">
        <v>721</v>
      </c>
      <c r="J373" s="264">
        <v>1130</v>
      </c>
      <c r="K373" s="264">
        <v>1154</v>
      </c>
      <c r="L373" s="265">
        <v>1132</v>
      </c>
      <c r="M373" s="249">
        <v>0</v>
      </c>
      <c r="N373" s="200">
        <v>0</v>
      </c>
      <c r="O373" s="269"/>
      <c r="P373" s="263">
        <v>2039</v>
      </c>
      <c r="Q373" s="270">
        <v>19.2</v>
      </c>
      <c r="R373" s="267"/>
      <c r="S373" s="267"/>
      <c r="T373" s="267"/>
      <c r="U373" s="267"/>
      <c r="V373" s="267"/>
      <c r="W373" s="267"/>
      <c r="Y373" s="263">
        <v>2039</v>
      </c>
      <c r="Z373" s="270">
        <v>0</v>
      </c>
      <c r="AA373" s="267"/>
      <c r="AB373" s="267"/>
      <c r="AC373" s="267"/>
      <c r="AD373" s="267"/>
      <c r="AE373" s="267"/>
      <c r="AF373" s="267"/>
      <c r="AH373" s="263">
        <v>2039</v>
      </c>
      <c r="AI373" s="254">
        <v>-19.2</v>
      </c>
      <c r="AJ373" s="254" t="s">
        <v>82</v>
      </c>
      <c r="AK373" s="254" t="s">
        <v>82</v>
      </c>
      <c r="AL373" s="254" t="s">
        <v>82</v>
      </c>
      <c r="AM373" s="254" t="s">
        <v>82</v>
      </c>
      <c r="AN373" s="254" t="s">
        <v>82</v>
      </c>
      <c r="AO373" s="254" t="s">
        <v>82</v>
      </c>
    </row>
    <row r="374" spans="1:41" x14ac:dyDescent="0.2">
      <c r="A374" s="249">
        <v>370</v>
      </c>
      <c r="B374" s="195">
        <v>15</v>
      </c>
      <c r="C374" s="195" t="s">
        <v>716</v>
      </c>
      <c r="D374" s="195">
        <v>2</v>
      </c>
      <c r="E374" s="195" t="s">
        <v>377</v>
      </c>
      <c r="F374" s="196">
        <v>44261</v>
      </c>
      <c r="G374" s="250" t="s">
        <v>9</v>
      </c>
      <c r="H374" s="263">
        <v>2110</v>
      </c>
      <c r="I374" s="216" t="s">
        <v>722</v>
      </c>
      <c r="J374" s="264">
        <v>2630</v>
      </c>
      <c r="K374" s="264">
        <v>2659</v>
      </c>
      <c r="L374" s="265">
        <v>2647</v>
      </c>
      <c r="M374" s="249">
        <v>0</v>
      </c>
      <c r="N374" s="200">
        <v>0</v>
      </c>
      <c r="O374" s="269"/>
      <c r="P374" s="263">
        <v>2110</v>
      </c>
      <c r="Q374" s="270">
        <v>51.9</v>
      </c>
      <c r="R374" s="267"/>
      <c r="S374" s="267"/>
      <c r="T374" s="267"/>
      <c r="U374" s="267"/>
      <c r="V374" s="267"/>
      <c r="W374" s="267"/>
      <c r="Y374" s="263">
        <v>2110</v>
      </c>
      <c r="Z374" s="270">
        <v>0.2</v>
      </c>
      <c r="AA374" s="267"/>
      <c r="AB374" s="267"/>
      <c r="AC374" s="267"/>
      <c r="AD374" s="267"/>
      <c r="AE374" s="267"/>
      <c r="AF374" s="267"/>
      <c r="AH374" s="263">
        <v>2110</v>
      </c>
      <c r="AI374" s="254">
        <v>-51.699999999999996</v>
      </c>
      <c r="AJ374" s="254" t="s">
        <v>82</v>
      </c>
      <c r="AK374" s="254" t="s">
        <v>82</v>
      </c>
      <c r="AL374" s="254" t="s">
        <v>82</v>
      </c>
      <c r="AM374" s="254" t="s">
        <v>82</v>
      </c>
      <c r="AN374" s="254" t="s">
        <v>82</v>
      </c>
      <c r="AO374" s="254" t="s">
        <v>82</v>
      </c>
    </row>
    <row r="375" spans="1:41" x14ac:dyDescent="0.2">
      <c r="A375" s="249">
        <v>371</v>
      </c>
      <c r="B375" s="195">
        <v>15</v>
      </c>
      <c r="C375" s="195" t="s">
        <v>716</v>
      </c>
      <c r="D375" s="195">
        <v>2</v>
      </c>
      <c r="E375" s="195" t="s">
        <v>377</v>
      </c>
      <c r="F375" s="196">
        <v>44320</v>
      </c>
      <c r="G375" s="250" t="s">
        <v>5</v>
      </c>
      <c r="H375" s="263">
        <v>2119</v>
      </c>
      <c r="I375" s="216" t="s">
        <v>378</v>
      </c>
      <c r="J375" s="264">
        <v>950</v>
      </c>
      <c r="K375" s="264">
        <v>1119</v>
      </c>
      <c r="L375" s="265">
        <v>1035</v>
      </c>
      <c r="M375" s="249">
        <v>1</v>
      </c>
      <c r="N375" s="200">
        <v>0</v>
      </c>
      <c r="O375" s="269"/>
      <c r="P375" s="263">
        <v>2119</v>
      </c>
      <c r="Q375" s="270">
        <v>189.6</v>
      </c>
      <c r="R375" s="270">
        <v>13</v>
      </c>
      <c r="S375" s="270">
        <v>4.3</v>
      </c>
      <c r="T375" s="270">
        <v>8.6999999999999993</v>
      </c>
      <c r="U375" s="270">
        <v>2.5</v>
      </c>
      <c r="V375" s="270">
        <v>2.5</v>
      </c>
      <c r="W375" s="270">
        <v>0</v>
      </c>
      <c r="Y375" s="263">
        <v>2119</v>
      </c>
      <c r="Z375" s="270">
        <v>0</v>
      </c>
      <c r="AA375" s="270">
        <v>4.4000000000000004</v>
      </c>
      <c r="AB375" s="270">
        <v>4.3</v>
      </c>
      <c r="AC375" s="270">
        <v>0.1</v>
      </c>
      <c r="AD375" s="270">
        <v>2.5</v>
      </c>
      <c r="AE375" s="270">
        <v>2.5</v>
      </c>
      <c r="AF375" s="270">
        <v>0</v>
      </c>
      <c r="AH375" s="263">
        <v>2119</v>
      </c>
      <c r="AI375" s="254">
        <v>-189.6</v>
      </c>
      <c r="AJ375" s="254">
        <v>-8.6</v>
      </c>
      <c r="AK375" s="254" t="s">
        <v>82</v>
      </c>
      <c r="AL375" s="254">
        <v>-8.6</v>
      </c>
      <c r="AM375" s="254" t="s">
        <v>82</v>
      </c>
      <c r="AN375" s="254" t="s">
        <v>82</v>
      </c>
      <c r="AO375" s="254" t="s">
        <v>82</v>
      </c>
    </row>
    <row r="376" spans="1:41" x14ac:dyDescent="0.2">
      <c r="A376" s="249">
        <v>372</v>
      </c>
      <c r="B376" s="195">
        <v>15</v>
      </c>
      <c r="C376" s="195" t="s">
        <v>716</v>
      </c>
      <c r="D376" s="195">
        <v>2</v>
      </c>
      <c r="E376" s="195" t="s">
        <v>377</v>
      </c>
      <c r="F376" s="196">
        <v>44368</v>
      </c>
      <c r="G376" s="250" t="s">
        <v>4</v>
      </c>
      <c r="H376" s="263">
        <v>2126</v>
      </c>
      <c r="I376" s="216" t="s">
        <v>379</v>
      </c>
      <c r="J376" s="264">
        <v>1650</v>
      </c>
      <c r="K376" s="264">
        <v>1747</v>
      </c>
      <c r="L376" s="265">
        <v>1702</v>
      </c>
      <c r="M376" s="249">
        <v>1</v>
      </c>
      <c r="N376" s="200">
        <v>0</v>
      </c>
      <c r="O376" s="269"/>
      <c r="P376" s="263">
        <v>2126</v>
      </c>
      <c r="Q376" s="270">
        <v>2.8</v>
      </c>
      <c r="R376" s="270">
        <v>1.6</v>
      </c>
      <c r="S376" s="270">
        <v>1.4</v>
      </c>
      <c r="T376" s="270">
        <v>0.2</v>
      </c>
      <c r="U376" s="270">
        <v>1.1000000000000001</v>
      </c>
      <c r="V376" s="270">
        <v>1.1000000000000001</v>
      </c>
      <c r="W376" s="270" t="s">
        <v>84</v>
      </c>
      <c r="Y376" s="263">
        <v>2126</v>
      </c>
      <c r="Z376" s="270">
        <v>0</v>
      </c>
      <c r="AA376" s="270">
        <v>1.4</v>
      </c>
      <c r="AB376" s="270">
        <v>1.4</v>
      </c>
      <c r="AC376" s="270">
        <v>0</v>
      </c>
      <c r="AD376" s="270">
        <v>1.1000000000000001</v>
      </c>
      <c r="AE376" s="270">
        <v>1.1000000000000001</v>
      </c>
      <c r="AF376" s="270" t="s">
        <v>84</v>
      </c>
      <c r="AH376" s="263">
        <v>2126</v>
      </c>
      <c r="AI376" s="254">
        <v>-2.8</v>
      </c>
      <c r="AJ376" s="254">
        <v>-0.20000000000000018</v>
      </c>
      <c r="AK376" s="254" t="s">
        <v>82</v>
      </c>
      <c r="AL376" s="254">
        <v>-0.2</v>
      </c>
      <c r="AM376" s="254" t="s">
        <v>82</v>
      </c>
      <c r="AN376" s="254" t="s">
        <v>82</v>
      </c>
      <c r="AO376" s="254" t="s">
        <v>82</v>
      </c>
    </row>
    <row r="377" spans="1:41" x14ac:dyDescent="0.2">
      <c r="A377" s="249">
        <v>373</v>
      </c>
      <c r="B377" s="195">
        <v>15</v>
      </c>
      <c r="C377" s="195" t="s">
        <v>716</v>
      </c>
      <c r="D377" s="195">
        <v>2</v>
      </c>
      <c r="E377" s="195" t="s">
        <v>377</v>
      </c>
      <c r="F377" s="196">
        <v>44406</v>
      </c>
      <c r="G377" s="250" t="s">
        <v>7</v>
      </c>
      <c r="H377" s="263">
        <v>2131</v>
      </c>
      <c r="I377" s="216" t="s">
        <v>376</v>
      </c>
      <c r="J377" s="264">
        <v>2640</v>
      </c>
      <c r="K377" s="264">
        <v>2644</v>
      </c>
      <c r="L377" s="265">
        <v>2642</v>
      </c>
      <c r="M377" s="249">
        <v>0</v>
      </c>
      <c r="N377" s="200">
        <v>0</v>
      </c>
      <c r="O377" s="269"/>
      <c r="P377" s="263">
        <v>2131</v>
      </c>
      <c r="Q377" s="270">
        <v>4.0999999999999996</v>
      </c>
      <c r="R377" s="267"/>
      <c r="S377" s="267"/>
      <c r="T377" s="267"/>
      <c r="U377" s="267"/>
      <c r="V377" s="267"/>
      <c r="W377" s="267"/>
      <c r="Y377" s="263">
        <v>2131</v>
      </c>
      <c r="Z377" s="270">
        <v>0</v>
      </c>
      <c r="AA377" s="267"/>
      <c r="AB377" s="267"/>
      <c r="AC377" s="267"/>
      <c r="AD377" s="267"/>
      <c r="AE377" s="267"/>
      <c r="AF377" s="267"/>
      <c r="AH377" s="263">
        <v>2131</v>
      </c>
      <c r="AI377" s="254">
        <v>-4.0999999999999996</v>
      </c>
      <c r="AJ377" s="254" t="s">
        <v>82</v>
      </c>
      <c r="AK377" s="254" t="s">
        <v>82</v>
      </c>
      <c r="AL377" s="254" t="s">
        <v>82</v>
      </c>
      <c r="AM377" s="254" t="s">
        <v>82</v>
      </c>
      <c r="AN377" s="254" t="s">
        <v>82</v>
      </c>
      <c r="AO377" s="254" t="s">
        <v>82</v>
      </c>
    </row>
    <row r="378" spans="1:41" x14ac:dyDescent="0.2">
      <c r="A378" s="249">
        <v>374</v>
      </c>
      <c r="B378" s="195">
        <v>15</v>
      </c>
      <c r="C378" s="195" t="s">
        <v>716</v>
      </c>
      <c r="D378" s="195">
        <v>2</v>
      </c>
      <c r="E378" s="195" t="s">
        <v>377</v>
      </c>
      <c r="F378" s="196">
        <v>44553</v>
      </c>
      <c r="G378" s="250" t="s">
        <v>7</v>
      </c>
      <c r="H378" s="263">
        <v>2152</v>
      </c>
      <c r="I378" s="216" t="s">
        <v>383</v>
      </c>
      <c r="J378" s="264">
        <v>2100</v>
      </c>
      <c r="K378" s="264">
        <v>2153</v>
      </c>
      <c r="L378" s="265">
        <v>2143</v>
      </c>
      <c r="M378" s="249">
        <v>1</v>
      </c>
      <c r="N378" s="200">
        <v>0</v>
      </c>
      <c r="P378" s="263">
        <v>2152</v>
      </c>
      <c r="Q378" s="270">
        <v>11.8</v>
      </c>
      <c r="R378" s="270">
        <v>6.4</v>
      </c>
      <c r="S378" s="270">
        <v>5</v>
      </c>
      <c r="T378" s="270">
        <v>1.4</v>
      </c>
      <c r="U378" s="270">
        <v>5.0999999999999996</v>
      </c>
      <c r="V378" s="270">
        <v>4.9000000000000004</v>
      </c>
      <c r="W378" s="270">
        <v>0.2</v>
      </c>
      <c r="Y378" s="263">
        <v>2152</v>
      </c>
      <c r="Z378" s="270">
        <v>0.7</v>
      </c>
      <c r="AA378" s="270">
        <v>5.5</v>
      </c>
      <c r="AB378" s="270">
        <v>5</v>
      </c>
      <c r="AC378" s="270">
        <v>0.5</v>
      </c>
      <c r="AD378" s="270">
        <v>5.0999999999999996</v>
      </c>
      <c r="AE378" s="270">
        <v>4.9000000000000004</v>
      </c>
      <c r="AF378" s="270">
        <v>0.2</v>
      </c>
      <c r="AH378" s="263">
        <v>2152</v>
      </c>
      <c r="AI378" s="254">
        <v>-11.100000000000001</v>
      </c>
      <c r="AJ378" s="254">
        <v>-0.90000000000000036</v>
      </c>
      <c r="AK378" s="254" t="s">
        <v>82</v>
      </c>
      <c r="AL378" s="254">
        <v>-0.89999999999999991</v>
      </c>
      <c r="AM378" s="254" t="s">
        <v>82</v>
      </c>
      <c r="AN378" s="254" t="s">
        <v>82</v>
      </c>
      <c r="AO378" s="254" t="s">
        <v>82</v>
      </c>
    </row>
    <row r="379" spans="1:41" x14ac:dyDescent="0.2">
      <c r="A379" s="249">
        <v>375</v>
      </c>
      <c r="B379" s="195">
        <v>15</v>
      </c>
      <c r="C379" s="195" t="s">
        <v>716</v>
      </c>
      <c r="D379" s="195">
        <v>3</v>
      </c>
      <c r="E379" s="195" t="s">
        <v>384</v>
      </c>
      <c r="F379" s="196">
        <v>43970</v>
      </c>
      <c r="G379" s="250" t="s">
        <v>5</v>
      </c>
      <c r="H379" s="263">
        <v>2021</v>
      </c>
      <c r="I379" s="216" t="s">
        <v>723</v>
      </c>
      <c r="J379" s="264">
        <v>955</v>
      </c>
      <c r="K379" s="264">
        <v>1024</v>
      </c>
      <c r="L379" s="265">
        <v>1007</v>
      </c>
      <c r="M379" s="249">
        <v>0</v>
      </c>
      <c r="N379" s="200">
        <v>0</v>
      </c>
      <c r="O379" s="269"/>
      <c r="P379" s="263">
        <v>2021</v>
      </c>
      <c r="Q379" s="270">
        <v>3.3</v>
      </c>
      <c r="R379" s="267"/>
      <c r="S379" s="267"/>
      <c r="T379" s="267"/>
      <c r="U379" s="267"/>
      <c r="V379" s="267"/>
      <c r="W379" s="267"/>
      <c r="Y379" s="263">
        <v>2021</v>
      </c>
      <c r="Z379" s="270">
        <v>0</v>
      </c>
      <c r="AA379" s="267"/>
      <c r="AB379" s="267"/>
      <c r="AC379" s="267"/>
      <c r="AD379" s="267"/>
      <c r="AE379" s="267"/>
      <c r="AF379" s="267"/>
      <c r="AH379" s="263">
        <v>2021</v>
      </c>
      <c r="AI379" s="254">
        <v>-3.3</v>
      </c>
      <c r="AJ379" s="254" t="s">
        <v>82</v>
      </c>
      <c r="AK379" s="254" t="s">
        <v>82</v>
      </c>
      <c r="AL379" s="254" t="s">
        <v>82</v>
      </c>
      <c r="AM379" s="254" t="s">
        <v>82</v>
      </c>
      <c r="AN379" s="254" t="s">
        <v>82</v>
      </c>
      <c r="AO379" s="254" t="s">
        <v>82</v>
      </c>
    </row>
    <row r="380" spans="1:41" x14ac:dyDescent="0.2">
      <c r="A380" s="249">
        <v>376</v>
      </c>
      <c r="B380" s="195">
        <v>15</v>
      </c>
      <c r="C380" s="195" t="s">
        <v>716</v>
      </c>
      <c r="D380" s="195">
        <v>3</v>
      </c>
      <c r="E380" s="195" t="s">
        <v>384</v>
      </c>
      <c r="F380" s="196">
        <v>44004</v>
      </c>
      <c r="G380" s="250" t="s">
        <v>4</v>
      </c>
      <c r="H380" s="263">
        <v>2026</v>
      </c>
      <c r="I380" s="216" t="s">
        <v>137</v>
      </c>
      <c r="J380" s="264">
        <v>500</v>
      </c>
      <c r="K380" s="264">
        <v>549</v>
      </c>
      <c r="L380" s="265">
        <v>517</v>
      </c>
      <c r="M380" s="249">
        <v>0</v>
      </c>
      <c r="N380" s="200">
        <v>0</v>
      </c>
      <c r="O380" s="269"/>
      <c r="P380" s="263">
        <v>2026</v>
      </c>
      <c r="Q380" s="270">
        <v>7</v>
      </c>
      <c r="R380" s="267"/>
      <c r="S380" s="267"/>
      <c r="T380" s="267"/>
      <c r="U380" s="267"/>
      <c r="V380" s="267"/>
      <c r="W380" s="267"/>
      <c r="Y380" s="263">
        <v>2026</v>
      </c>
      <c r="Z380" s="270">
        <v>0</v>
      </c>
      <c r="AA380" s="267"/>
      <c r="AB380" s="267"/>
      <c r="AC380" s="267"/>
      <c r="AD380" s="267"/>
      <c r="AE380" s="267"/>
      <c r="AF380" s="267"/>
      <c r="AH380" s="263">
        <v>2026</v>
      </c>
      <c r="AI380" s="254">
        <v>-7</v>
      </c>
      <c r="AJ380" s="254" t="s">
        <v>82</v>
      </c>
      <c r="AK380" s="254" t="s">
        <v>82</v>
      </c>
      <c r="AL380" s="254" t="s">
        <v>82</v>
      </c>
      <c r="AM380" s="254" t="s">
        <v>82</v>
      </c>
      <c r="AN380" s="254" t="s">
        <v>82</v>
      </c>
      <c r="AO380" s="254" t="s">
        <v>82</v>
      </c>
    </row>
    <row r="381" spans="1:41" x14ac:dyDescent="0.2">
      <c r="A381" s="249">
        <v>377</v>
      </c>
      <c r="B381" s="195">
        <v>15</v>
      </c>
      <c r="C381" s="195" t="s">
        <v>716</v>
      </c>
      <c r="D381" s="195">
        <v>3</v>
      </c>
      <c r="E381" s="195" t="s">
        <v>384</v>
      </c>
      <c r="F381" s="196">
        <v>44514</v>
      </c>
      <c r="G381" s="250" t="s">
        <v>10</v>
      </c>
      <c r="H381" s="263">
        <v>2146</v>
      </c>
      <c r="I381" s="216" t="s">
        <v>385</v>
      </c>
      <c r="J381" s="264">
        <v>2300</v>
      </c>
      <c r="K381" s="264">
        <v>2354</v>
      </c>
      <c r="L381" s="265">
        <v>2302</v>
      </c>
      <c r="M381" s="249">
        <v>1</v>
      </c>
      <c r="N381" s="200">
        <v>0</v>
      </c>
      <c r="P381" s="263">
        <v>2146</v>
      </c>
      <c r="Q381" s="270">
        <v>7.8</v>
      </c>
      <c r="R381" s="270">
        <v>6.4</v>
      </c>
      <c r="S381" s="270">
        <v>5.7</v>
      </c>
      <c r="T381" s="270">
        <v>0.7</v>
      </c>
      <c r="U381" s="270">
        <v>3.7</v>
      </c>
      <c r="V381" s="270">
        <v>3.7</v>
      </c>
      <c r="W381" s="270">
        <v>0</v>
      </c>
      <c r="Y381" s="263">
        <v>2146</v>
      </c>
      <c r="Z381" s="270">
        <v>0</v>
      </c>
      <c r="AA381" s="270">
        <v>5.7</v>
      </c>
      <c r="AB381" s="270">
        <v>5.7</v>
      </c>
      <c r="AC381" s="270">
        <v>0</v>
      </c>
      <c r="AD381" s="270">
        <v>3.7</v>
      </c>
      <c r="AE381" s="270">
        <v>3.7</v>
      </c>
      <c r="AF381" s="270">
        <v>0</v>
      </c>
      <c r="AH381" s="263">
        <v>2146</v>
      </c>
      <c r="AI381" s="254">
        <v>-7.8</v>
      </c>
      <c r="AJ381" s="254">
        <v>-0.70000000000000018</v>
      </c>
      <c r="AK381" s="254" t="s">
        <v>82</v>
      </c>
      <c r="AL381" s="254">
        <v>-0.7</v>
      </c>
      <c r="AM381" s="254" t="s">
        <v>82</v>
      </c>
      <c r="AN381" s="254" t="s">
        <v>82</v>
      </c>
      <c r="AO381" s="254" t="s">
        <v>82</v>
      </c>
    </row>
    <row r="382" spans="1:41" x14ac:dyDescent="0.2">
      <c r="A382" s="249">
        <v>378</v>
      </c>
      <c r="B382" s="195">
        <v>15</v>
      </c>
      <c r="C382" s="195" t="s">
        <v>716</v>
      </c>
      <c r="D382" s="195">
        <v>4</v>
      </c>
      <c r="E382" s="195" t="s">
        <v>724</v>
      </c>
      <c r="F382" s="196">
        <v>44361</v>
      </c>
      <c r="G382" s="250" t="s">
        <v>4</v>
      </c>
      <c r="H382" s="263">
        <v>2125</v>
      </c>
      <c r="I382" s="216" t="s">
        <v>725</v>
      </c>
      <c r="J382" s="264">
        <v>2459</v>
      </c>
      <c r="K382" s="264">
        <v>2528</v>
      </c>
      <c r="L382" s="265">
        <v>2509</v>
      </c>
      <c r="M382" s="249">
        <v>0</v>
      </c>
      <c r="N382" s="200">
        <v>0</v>
      </c>
      <c r="P382" s="263">
        <v>2125</v>
      </c>
      <c r="Q382" s="270">
        <v>2.2999999999999998</v>
      </c>
      <c r="R382" s="267"/>
      <c r="S382" s="267"/>
      <c r="T382" s="267"/>
      <c r="U382" s="267"/>
      <c r="V382" s="267"/>
      <c r="W382" s="267"/>
      <c r="Y382" s="263">
        <v>2125</v>
      </c>
      <c r="Z382" s="270">
        <v>0</v>
      </c>
      <c r="AA382" s="267"/>
      <c r="AB382" s="267"/>
      <c r="AC382" s="267"/>
      <c r="AD382" s="267"/>
      <c r="AE382" s="267"/>
      <c r="AF382" s="267"/>
      <c r="AH382" s="263">
        <v>2125</v>
      </c>
      <c r="AI382" s="254">
        <v>-2.2999999999999998</v>
      </c>
      <c r="AJ382" s="254" t="s">
        <v>82</v>
      </c>
      <c r="AK382" s="254" t="s">
        <v>82</v>
      </c>
      <c r="AL382" s="254" t="s">
        <v>82</v>
      </c>
      <c r="AM382" s="254" t="s">
        <v>82</v>
      </c>
      <c r="AN382" s="254" t="s">
        <v>82</v>
      </c>
      <c r="AO382" s="254" t="s">
        <v>82</v>
      </c>
    </row>
    <row r="383" spans="1:41" x14ac:dyDescent="0.2">
      <c r="A383" s="249">
        <v>379</v>
      </c>
      <c r="B383" s="195">
        <v>15</v>
      </c>
      <c r="C383" s="195" t="s">
        <v>716</v>
      </c>
      <c r="D383" s="195">
        <v>5</v>
      </c>
      <c r="E383" s="195" t="s">
        <v>549</v>
      </c>
      <c r="F383" s="196">
        <v>44019</v>
      </c>
      <c r="G383" s="250" t="s">
        <v>5</v>
      </c>
      <c r="H383" s="263">
        <v>2028</v>
      </c>
      <c r="I383" s="216" t="s">
        <v>673</v>
      </c>
      <c r="J383" s="264">
        <v>2230</v>
      </c>
      <c r="K383" s="264">
        <v>2314</v>
      </c>
      <c r="L383" s="265">
        <v>2254</v>
      </c>
      <c r="M383" s="249">
        <v>0</v>
      </c>
      <c r="N383" s="200">
        <v>0</v>
      </c>
      <c r="O383" s="269"/>
      <c r="P383" s="263">
        <v>2028</v>
      </c>
      <c r="Q383" s="270">
        <v>9</v>
      </c>
      <c r="R383" s="267"/>
      <c r="S383" s="267"/>
      <c r="T383" s="267"/>
      <c r="U383" s="267"/>
      <c r="V383" s="267"/>
      <c r="W383" s="267"/>
      <c r="Y383" s="263">
        <v>2028</v>
      </c>
      <c r="Z383" s="270">
        <v>1.1000000000000001</v>
      </c>
      <c r="AA383" s="267"/>
      <c r="AB383" s="267"/>
      <c r="AC383" s="267"/>
      <c r="AD383" s="267"/>
      <c r="AE383" s="267"/>
      <c r="AF383" s="267"/>
      <c r="AH383" s="263">
        <v>2028</v>
      </c>
      <c r="AI383" s="254">
        <v>-7.9</v>
      </c>
      <c r="AJ383" s="254" t="s">
        <v>82</v>
      </c>
      <c r="AK383" s="254" t="s">
        <v>82</v>
      </c>
      <c r="AL383" s="254" t="s">
        <v>82</v>
      </c>
      <c r="AM383" s="254" t="s">
        <v>82</v>
      </c>
      <c r="AN383" s="254" t="s">
        <v>82</v>
      </c>
      <c r="AO383" s="254" t="s">
        <v>82</v>
      </c>
    </row>
    <row r="384" spans="1:41" x14ac:dyDescent="0.2">
      <c r="A384" s="249">
        <v>380</v>
      </c>
      <c r="B384" s="195">
        <v>15</v>
      </c>
      <c r="C384" s="195" t="s">
        <v>716</v>
      </c>
      <c r="D384" s="195">
        <v>5</v>
      </c>
      <c r="E384" s="195" t="s">
        <v>549</v>
      </c>
      <c r="F384" s="196">
        <v>44069</v>
      </c>
      <c r="G384" s="250" t="s">
        <v>6</v>
      </c>
      <c r="H384" s="263">
        <v>2035</v>
      </c>
      <c r="I384" s="216" t="s">
        <v>684</v>
      </c>
      <c r="J384" s="264">
        <v>600</v>
      </c>
      <c r="K384" s="264">
        <v>629</v>
      </c>
      <c r="L384" s="265">
        <v>617</v>
      </c>
      <c r="M384" s="249">
        <v>0</v>
      </c>
      <c r="N384" s="200">
        <v>0</v>
      </c>
      <c r="O384" s="269"/>
      <c r="P384" s="263">
        <v>2035</v>
      </c>
      <c r="Q384" s="270">
        <v>5.3</v>
      </c>
      <c r="R384" s="267"/>
      <c r="S384" s="267"/>
      <c r="T384" s="267"/>
      <c r="U384" s="267"/>
      <c r="V384" s="267"/>
      <c r="W384" s="267"/>
      <c r="Y384" s="263">
        <v>2035</v>
      </c>
      <c r="Z384" s="270">
        <v>0</v>
      </c>
      <c r="AA384" s="267"/>
      <c r="AB384" s="267"/>
      <c r="AC384" s="267"/>
      <c r="AD384" s="267"/>
      <c r="AE384" s="267"/>
      <c r="AF384" s="267"/>
      <c r="AH384" s="263">
        <v>2035</v>
      </c>
      <c r="AI384" s="254">
        <v>-5.3</v>
      </c>
      <c r="AJ384" s="254" t="s">
        <v>82</v>
      </c>
      <c r="AK384" s="254" t="s">
        <v>82</v>
      </c>
      <c r="AL384" s="254" t="s">
        <v>82</v>
      </c>
      <c r="AM384" s="254" t="s">
        <v>82</v>
      </c>
      <c r="AN384" s="254" t="s">
        <v>82</v>
      </c>
      <c r="AO384" s="254" t="s">
        <v>82</v>
      </c>
    </row>
    <row r="385" spans="1:41" x14ac:dyDescent="0.2">
      <c r="A385" s="249">
        <v>381</v>
      </c>
      <c r="B385" s="195">
        <v>15</v>
      </c>
      <c r="C385" s="195" t="s">
        <v>716</v>
      </c>
      <c r="D385" s="195">
        <v>5</v>
      </c>
      <c r="E385" s="195" t="s">
        <v>549</v>
      </c>
      <c r="F385" s="196">
        <v>44248</v>
      </c>
      <c r="G385" s="250" t="s">
        <v>10</v>
      </c>
      <c r="H385" s="263">
        <v>2108</v>
      </c>
      <c r="I385" s="216" t="s">
        <v>577</v>
      </c>
      <c r="J385" s="264">
        <v>2400</v>
      </c>
      <c r="K385" s="264">
        <v>2404</v>
      </c>
      <c r="L385" s="265">
        <v>2404</v>
      </c>
      <c r="M385" s="249">
        <v>0</v>
      </c>
      <c r="N385" s="200">
        <v>1</v>
      </c>
      <c r="P385" s="263">
        <v>2108</v>
      </c>
      <c r="Q385" s="270">
        <v>13.8</v>
      </c>
      <c r="R385" s="267"/>
      <c r="S385" s="267"/>
      <c r="T385" s="267"/>
      <c r="U385" s="267"/>
      <c r="V385" s="267"/>
      <c r="W385" s="267"/>
      <c r="Y385" s="263">
        <v>2108</v>
      </c>
      <c r="Z385" s="270">
        <v>0</v>
      </c>
      <c r="AA385" s="267"/>
      <c r="AB385" s="267"/>
      <c r="AC385" s="267"/>
      <c r="AD385" s="267"/>
      <c r="AE385" s="267"/>
      <c r="AF385" s="267"/>
      <c r="AH385" s="263">
        <v>2108</v>
      </c>
      <c r="AI385" s="254">
        <v>-13.8</v>
      </c>
      <c r="AJ385" s="254" t="s">
        <v>82</v>
      </c>
      <c r="AK385" s="254" t="s">
        <v>82</v>
      </c>
      <c r="AL385" s="254" t="s">
        <v>82</v>
      </c>
      <c r="AM385" s="254" t="s">
        <v>82</v>
      </c>
      <c r="AN385" s="254" t="s">
        <v>82</v>
      </c>
      <c r="AO385" s="254" t="s">
        <v>82</v>
      </c>
    </row>
    <row r="386" spans="1:41" x14ac:dyDescent="0.2">
      <c r="A386" s="249">
        <v>382</v>
      </c>
      <c r="B386" s="195">
        <v>15</v>
      </c>
      <c r="C386" s="195" t="s">
        <v>716</v>
      </c>
      <c r="D386" s="195">
        <v>5</v>
      </c>
      <c r="E386" s="195" t="s">
        <v>549</v>
      </c>
      <c r="F386" s="196">
        <v>44267</v>
      </c>
      <c r="G386" s="250" t="s">
        <v>8</v>
      </c>
      <c r="H386" s="263">
        <v>2111</v>
      </c>
      <c r="I386" s="216" t="s">
        <v>684</v>
      </c>
      <c r="J386" s="264">
        <v>500</v>
      </c>
      <c r="K386" s="264">
        <v>559</v>
      </c>
      <c r="L386" s="265">
        <v>517</v>
      </c>
      <c r="M386" s="249">
        <v>0</v>
      </c>
      <c r="N386" s="200">
        <v>0</v>
      </c>
      <c r="O386" s="269"/>
      <c r="P386" s="263">
        <v>2111</v>
      </c>
      <c r="Q386" s="270">
        <v>2.2999999999999998</v>
      </c>
      <c r="R386" s="267"/>
      <c r="S386" s="267"/>
      <c r="T386" s="267"/>
      <c r="U386" s="267"/>
      <c r="V386" s="267"/>
      <c r="W386" s="267"/>
      <c r="Y386" s="263">
        <v>2111</v>
      </c>
      <c r="Z386" s="270">
        <v>0</v>
      </c>
      <c r="AA386" s="267"/>
      <c r="AB386" s="267"/>
      <c r="AC386" s="267"/>
      <c r="AD386" s="267"/>
      <c r="AE386" s="267"/>
      <c r="AF386" s="267"/>
      <c r="AH386" s="263">
        <v>2111</v>
      </c>
      <c r="AI386" s="254">
        <v>-2.2999999999999998</v>
      </c>
      <c r="AJ386" s="254" t="s">
        <v>82</v>
      </c>
      <c r="AK386" s="254" t="s">
        <v>82</v>
      </c>
      <c r="AL386" s="254" t="s">
        <v>82</v>
      </c>
      <c r="AM386" s="254" t="s">
        <v>82</v>
      </c>
      <c r="AN386" s="254" t="s">
        <v>82</v>
      </c>
      <c r="AO386" s="254" t="s">
        <v>82</v>
      </c>
    </row>
    <row r="387" spans="1:41" x14ac:dyDescent="0.2">
      <c r="A387" s="249">
        <v>383</v>
      </c>
      <c r="B387" s="195">
        <v>15</v>
      </c>
      <c r="C387" s="195" t="s">
        <v>716</v>
      </c>
      <c r="D387" s="195">
        <v>6</v>
      </c>
      <c r="E387" s="195" t="s">
        <v>553</v>
      </c>
      <c r="F387" s="196">
        <v>44175</v>
      </c>
      <c r="G387" s="250" t="s">
        <v>7</v>
      </c>
      <c r="H387" s="263">
        <v>2050</v>
      </c>
      <c r="I387" s="216" t="s">
        <v>602</v>
      </c>
      <c r="J387" s="264">
        <v>1100</v>
      </c>
      <c r="K387" s="264">
        <v>1129</v>
      </c>
      <c r="L387" s="265">
        <v>1113</v>
      </c>
      <c r="M387" s="249">
        <v>0</v>
      </c>
      <c r="N387" s="200">
        <v>0</v>
      </c>
      <c r="O387" s="269"/>
      <c r="P387" s="263">
        <v>2050</v>
      </c>
      <c r="Q387" s="270">
        <v>4.9000000000000004</v>
      </c>
      <c r="R387" s="267"/>
      <c r="S387" s="267"/>
      <c r="T387" s="267"/>
      <c r="U387" s="267"/>
      <c r="V387" s="267"/>
      <c r="W387" s="267"/>
      <c r="Y387" s="263">
        <v>2050</v>
      </c>
      <c r="Z387" s="270">
        <v>0</v>
      </c>
      <c r="AA387" s="267"/>
      <c r="AB387" s="267"/>
      <c r="AC387" s="267"/>
      <c r="AD387" s="267"/>
      <c r="AE387" s="267"/>
      <c r="AF387" s="267"/>
      <c r="AH387" s="263">
        <v>2050</v>
      </c>
      <c r="AI387" s="254">
        <v>-4.9000000000000004</v>
      </c>
      <c r="AJ387" s="254" t="s">
        <v>82</v>
      </c>
      <c r="AK387" s="254" t="s">
        <v>82</v>
      </c>
      <c r="AL387" s="254" t="s">
        <v>82</v>
      </c>
      <c r="AM387" s="254" t="s">
        <v>82</v>
      </c>
      <c r="AN387" s="254" t="s">
        <v>82</v>
      </c>
      <c r="AO387" s="254" t="s">
        <v>82</v>
      </c>
    </row>
    <row r="388" spans="1:41" x14ac:dyDescent="0.2">
      <c r="A388" s="249">
        <v>384</v>
      </c>
      <c r="B388" s="195">
        <v>15</v>
      </c>
      <c r="C388" s="195" t="s">
        <v>716</v>
      </c>
      <c r="D388" s="195">
        <v>6</v>
      </c>
      <c r="E388" s="195" t="s">
        <v>553</v>
      </c>
      <c r="F388" s="196">
        <v>44289</v>
      </c>
      <c r="G388" s="250" t="s">
        <v>9</v>
      </c>
      <c r="H388" s="263">
        <v>2114</v>
      </c>
      <c r="I388" s="216" t="s">
        <v>726</v>
      </c>
      <c r="J388" s="264">
        <v>2200</v>
      </c>
      <c r="K388" s="264">
        <v>2249</v>
      </c>
      <c r="L388" s="265">
        <v>2238</v>
      </c>
      <c r="M388" s="249">
        <v>0</v>
      </c>
      <c r="N388" s="200">
        <v>0</v>
      </c>
      <c r="P388" s="263">
        <v>2114</v>
      </c>
      <c r="Q388" s="270">
        <v>6.7</v>
      </c>
      <c r="R388" s="267"/>
      <c r="S388" s="267"/>
      <c r="T388" s="267"/>
      <c r="U388" s="267"/>
      <c r="V388" s="267"/>
      <c r="W388" s="267"/>
      <c r="Y388" s="263">
        <v>2114</v>
      </c>
      <c r="Z388" s="270">
        <v>0</v>
      </c>
      <c r="AA388" s="267"/>
      <c r="AB388" s="267"/>
      <c r="AC388" s="267"/>
      <c r="AD388" s="267"/>
      <c r="AE388" s="267"/>
      <c r="AF388" s="267"/>
      <c r="AH388" s="263">
        <v>2114</v>
      </c>
      <c r="AI388" s="254">
        <v>-6.7</v>
      </c>
      <c r="AJ388" s="254" t="s">
        <v>82</v>
      </c>
      <c r="AK388" s="254" t="s">
        <v>82</v>
      </c>
      <c r="AL388" s="254" t="s">
        <v>82</v>
      </c>
      <c r="AM388" s="254" t="s">
        <v>82</v>
      </c>
      <c r="AN388" s="254" t="s">
        <v>82</v>
      </c>
      <c r="AO388" s="254" t="s">
        <v>82</v>
      </c>
    </row>
    <row r="389" spans="1:41" x14ac:dyDescent="0.2">
      <c r="A389" s="249">
        <v>385</v>
      </c>
      <c r="B389" s="195">
        <v>15</v>
      </c>
      <c r="C389" s="195" t="s">
        <v>716</v>
      </c>
      <c r="D389" s="195">
        <v>6</v>
      </c>
      <c r="E389" s="195" t="s">
        <v>553</v>
      </c>
      <c r="F389" s="196">
        <v>44403</v>
      </c>
      <c r="G389" s="250" t="s">
        <v>4</v>
      </c>
      <c r="H389" s="263">
        <v>2131</v>
      </c>
      <c r="I389" s="216" t="s">
        <v>727</v>
      </c>
      <c r="J389" s="264">
        <v>720</v>
      </c>
      <c r="K389" s="264">
        <v>729</v>
      </c>
      <c r="L389" s="265">
        <v>729</v>
      </c>
      <c r="M389" s="249">
        <v>0</v>
      </c>
      <c r="N389" s="200">
        <v>1</v>
      </c>
      <c r="O389" s="269"/>
      <c r="P389" s="263">
        <v>2131</v>
      </c>
      <c r="Q389" s="270">
        <v>7.1</v>
      </c>
      <c r="R389" s="267"/>
      <c r="S389" s="267"/>
      <c r="T389" s="267"/>
      <c r="U389" s="267"/>
      <c r="V389" s="267"/>
      <c r="W389" s="267"/>
      <c r="Y389" s="263">
        <v>2131</v>
      </c>
      <c r="Z389" s="270">
        <v>0</v>
      </c>
      <c r="AA389" s="267"/>
      <c r="AB389" s="267"/>
      <c r="AC389" s="267"/>
      <c r="AD389" s="267"/>
      <c r="AE389" s="267"/>
      <c r="AF389" s="267"/>
      <c r="AH389" s="263">
        <v>2131</v>
      </c>
      <c r="AI389" s="254">
        <v>-7.1</v>
      </c>
      <c r="AJ389" s="254" t="s">
        <v>82</v>
      </c>
      <c r="AK389" s="254" t="s">
        <v>82</v>
      </c>
      <c r="AL389" s="254" t="s">
        <v>82</v>
      </c>
      <c r="AM389" s="254" t="s">
        <v>82</v>
      </c>
      <c r="AN389" s="254" t="s">
        <v>82</v>
      </c>
      <c r="AO389" s="254" t="s">
        <v>82</v>
      </c>
    </row>
    <row r="390" spans="1:41" x14ac:dyDescent="0.2">
      <c r="A390" s="249">
        <v>386</v>
      </c>
      <c r="B390" s="195">
        <v>15</v>
      </c>
      <c r="C390" s="195" t="s">
        <v>716</v>
      </c>
      <c r="D390" s="195">
        <v>6</v>
      </c>
      <c r="E390" s="195" t="s">
        <v>553</v>
      </c>
      <c r="F390" s="196">
        <v>44406</v>
      </c>
      <c r="G390" s="250" t="s">
        <v>7</v>
      </c>
      <c r="H390" s="263">
        <v>2131</v>
      </c>
      <c r="I390" s="216" t="s">
        <v>727</v>
      </c>
      <c r="J390" s="264">
        <v>720</v>
      </c>
      <c r="K390" s="264">
        <v>729</v>
      </c>
      <c r="L390" s="265">
        <v>729</v>
      </c>
      <c r="M390" s="249">
        <v>0</v>
      </c>
      <c r="N390" s="200">
        <v>1</v>
      </c>
      <c r="O390" s="269"/>
      <c r="P390" s="263">
        <v>2131</v>
      </c>
      <c r="Q390" s="270">
        <v>9.1</v>
      </c>
      <c r="R390" s="267"/>
      <c r="S390" s="267"/>
      <c r="T390" s="267"/>
      <c r="U390" s="267"/>
      <c r="V390" s="267"/>
      <c r="W390" s="267"/>
      <c r="Y390" s="263">
        <v>2131</v>
      </c>
      <c r="Z390" s="270">
        <v>0</v>
      </c>
      <c r="AA390" s="267"/>
      <c r="AB390" s="267"/>
      <c r="AC390" s="267"/>
      <c r="AD390" s="267"/>
      <c r="AE390" s="267"/>
      <c r="AF390" s="267"/>
      <c r="AH390" s="263">
        <v>2131</v>
      </c>
      <c r="AI390" s="254">
        <v>-9.1</v>
      </c>
      <c r="AJ390" s="254" t="s">
        <v>82</v>
      </c>
      <c r="AK390" s="254" t="s">
        <v>82</v>
      </c>
      <c r="AL390" s="254" t="s">
        <v>82</v>
      </c>
      <c r="AM390" s="254" t="s">
        <v>82</v>
      </c>
      <c r="AN390" s="254" t="s">
        <v>82</v>
      </c>
      <c r="AO390" s="254" t="s">
        <v>82</v>
      </c>
    </row>
    <row r="391" spans="1:41" x14ac:dyDescent="0.2">
      <c r="A391" s="249">
        <v>387</v>
      </c>
      <c r="B391" s="195">
        <v>15</v>
      </c>
      <c r="C391" s="195" t="s">
        <v>716</v>
      </c>
      <c r="D391" s="195">
        <v>6</v>
      </c>
      <c r="E391" s="195" t="s">
        <v>553</v>
      </c>
      <c r="F391" s="196">
        <v>44557</v>
      </c>
      <c r="G391" s="250" t="s">
        <v>4</v>
      </c>
      <c r="H391" s="271">
        <v>2201</v>
      </c>
      <c r="I391" s="216" t="s">
        <v>712</v>
      </c>
      <c r="J391" s="264">
        <v>1100</v>
      </c>
      <c r="K391" s="264">
        <v>1122</v>
      </c>
      <c r="L391" s="265">
        <v>1101</v>
      </c>
      <c r="M391" s="249">
        <v>0</v>
      </c>
      <c r="N391" s="200">
        <v>0</v>
      </c>
      <c r="O391" s="269"/>
      <c r="P391" s="263">
        <v>2201</v>
      </c>
      <c r="Q391" s="270">
        <v>2.9</v>
      </c>
      <c r="R391" s="267"/>
      <c r="S391" s="267"/>
      <c r="T391" s="267"/>
      <c r="U391" s="267"/>
      <c r="V391" s="267"/>
      <c r="W391" s="267"/>
      <c r="Y391" s="263">
        <v>2201</v>
      </c>
      <c r="Z391" s="270">
        <v>0</v>
      </c>
      <c r="AA391" s="267"/>
      <c r="AB391" s="267"/>
      <c r="AC391" s="267"/>
      <c r="AD391" s="267"/>
      <c r="AE391" s="267"/>
      <c r="AF391" s="267"/>
      <c r="AH391" s="263">
        <v>2201</v>
      </c>
      <c r="AI391" s="254">
        <v>-2.9</v>
      </c>
      <c r="AJ391" s="254" t="s">
        <v>82</v>
      </c>
      <c r="AK391" s="254" t="s">
        <v>82</v>
      </c>
      <c r="AL391" s="254" t="s">
        <v>82</v>
      </c>
      <c r="AM391" s="254" t="s">
        <v>82</v>
      </c>
      <c r="AN391" s="254" t="s">
        <v>82</v>
      </c>
      <c r="AO391" s="254" t="s">
        <v>82</v>
      </c>
    </row>
    <row r="392" spans="1:41" x14ac:dyDescent="0.2">
      <c r="A392" s="249">
        <v>388</v>
      </c>
      <c r="B392" s="195">
        <v>16</v>
      </c>
      <c r="C392" s="195" t="s">
        <v>728</v>
      </c>
      <c r="D392" s="195">
        <v>1</v>
      </c>
      <c r="E392" s="195" t="s">
        <v>388</v>
      </c>
      <c r="F392" s="196">
        <v>44306</v>
      </c>
      <c r="G392" s="250" t="s">
        <v>5</v>
      </c>
      <c r="H392" s="263">
        <v>2117</v>
      </c>
      <c r="I392" s="216" t="s">
        <v>140</v>
      </c>
      <c r="J392" s="264">
        <v>600</v>
      </c>
      <c r="K392" s="264">
        <v>659</v>
      </c>
      <c r="L392" s="265">
        <v>644</v>
      </c>
      <c r="M392" s="249">
        <v>0</v>
      </c>
      <c r="N392" s="200">
        <v>0</v>
      </c>
      <c r="O392" s="269"/>
      <c r="P392" s="263">
        <v>2117</v>
      </c>
      <c r="Q392" s="270">
        <v>7.9</v>
      </c>
      <c r="R392" s="267"/>
      <c r="S392" s="267"/>
      <c r="T392" s="267"/>
      <c r="U392" s="267"/>
      <c r="V392" s="267"/>
      <c r="W392" s="267"/>
      <c r="Y392" s="263">
        <v>2117</v>
      </c>
      <c r="Z392" s="270">
        <v>2.2999999999999998</v>
      </c>
      <c r="AA392" s="267"/>
      <c r="AB392" s="267"/>
      <c r="AC392" s="267"/>
      <c r="AD392" s="267"/>
      <c r="AE392" s="267"/>
      <c r="AF392" s="267"/>
      <c r="AH392" s="263">
        <v>2117</v>
      </c>
      <c r="AI392" s="254">
        <v>-5.6000000000000005</v>
      </c>
      <c r="AJ392" s="254" t="s">
        <v>82</v>
      </c>
      <c r="AK392" s="254" t="s">
        <v>82</v>
      </c>
      <c r="AL392" s="254" t="s">
        <v>82</v>
      </c>
      <c r="AM392" s="254" t="s">
        <v>82</v>
      </c>
      <c r="AN392" s="254" t="s">
        <v>82</v>
      </c>
      <c r="AO392" s="254" t="s">
        <v>82</v>
      </c>
    </row>
    <row r="393" spans="1:41" x14ac:dyDescent="0.2">
      <c r="A393" s="249">
        <v>389</v>
      </c>
      <c r="B393" s="195">
        <v>16</v>
      </c>
      <c r="C393" s="195" t="s">
        <v>728</v>
      </c>
      <c r="D393" s="195">
        <v>1</v>
      </c>
      <c r="E393" s="195" t="s">
        <v>388</v>
      </c>
      <c r="F393" s="196">
        <v>44313</v>
      </c>
      <c r="G393" s="250" t="s">
        <v>5</v>
      </c>
      <c r="H393" s="263">
        <v>2118</v>
      </c>
      <c r="I393" s="216" t="s">
        <v>140</v>
      </c>
      <c r="J393" s="264">
        <v>600</v>
      </c>
      <c r="K393" s="264">
        <v>659</v>
      </c>
      <c r="L393" s="265">
        <v>645</v>
      </c>
      <c r="M393" s="249">
        <v>0</v>
      </c>
      <c r="N393" s="200">
        <v>0</v>
      </c>
      <c r="O393" s="269"/>
      <c r="P393" s="263">
        <v>2118</v>
      </c>
      <c r="Q393" s="270">
        <v>6.2</v>
      </c>
      <c r="R393" s="267"/>
      <c r="S393" s="267"/>
      <c r="T393" s="267"/>
      <c r="U393" s="267"/>
      <c r="V393" s="267"/>
      <c r="W393" s="267"/>
      <c r="Y393" s="263">
        <v>2118</v>
      </c>
      <c r="Z393" s="270">
        <v>1.6</v>
      </c>
      <c r="AA393" s="267"/>
      <c r="AB393" s="267"/>
      <c r="AC393" s="267"/>
      <c r="AD393" s="267"/>
      <c r="AE393" s="267"/>
      <c r="AF393" s="267"/>
      <c r="AH393" s="263">
        <v>2118</v>
      </c>
      <c r="AI393" s="254">
        <v>-4.5999999999999996</v>
      </c>
      <c r="AJ393" s="254" t="s">
        <v>82</v>
      </c>
      <c r="AK393" s="254" t="s">
        <v>82</v>
      </c>
      <c r="AL393" s="254" t="s">
        <v>82</v>
      </c>
      <c r="AM393" s="254" t="s">
        <v>82</v>
      </c>
      <c r="AN393" s="254" t="s">
        <v>82</v>
      </c>
      <c r="AO393" s="254" t="s">
        <v>82</v>
      </c>
    </row>
    <row r="394" spans="1:41" x14ac:dyDescent="0.2">
      <c r="A394" s="249">
        <v>390</v>
      </c>
      <c r="B394" s="195">
        <v>16</v>
      </c>
      <c r="C394" s="195" t="s">
        <v>728</v>
      </c>
      <c r="D394" s="195">
        <v>1</v>
      </c>
      <c r="E394" s="195" t="s">
        <v>388</v>
      </c>
      <c r="F394" s="196">
        <v>44641</v>
      </c>
      <c r="G394" s="250" t="s">
        <v>4</v>
      </c>
      <c r="H394" s="263">
        <v>2213</v>
      </c>
      <c r="I394" s="216" t="s">
        <v>729</v>
      </c>
      <c r="J394" s="264">
        <v>2030</v>
      </c>
      <c r="K394" s="264">
        <v>2256</v>
      </c>
      <c r="L394" s="265">
        <v>2150</v>
      </c>
      <c r="M394" s="249">
        <v>1</v>
      </c>
      <c r="N394" s="200">
        <v>0</v>
      </c>
      <c r="O394" s="269"/>
      <c r="P394" s="263">
        <v>2213</v>
      </c>
      <c r="Q394" s="270">
        <v>2.7</v>
      </c>
      <c r="R394" s="270">
        <v>4.5999999999999996</v>
      </c>
      <c r="S394" s="270">
        <v>4.2</v>
      </c>
      <c r="T394" s="270">
        <v>0.4</v>
      </c>
      <c r="U394" s="270">
        <v>3.3</v>
      </c>
      <c r="V394" s="270">
        <v>3.3</v>
      </c>
      <c r="W394" s="270">
        <v>0</v>
      </c>
      <c r="Y394" s="263">
        <v>2213</v>
      </c>
      <c r="Z394" s="270">
        <v>0.4</v>
      </c>
      <c r="AA394" s="270">
        <v>4.5</v>
      </c>
      <c r="AB394" s="270">
        <v>4.2</v>
      </c>
      <c r="AC394" s="270">
        <v>0.3</v>
      </c>
      <c r="AD394" s="270">
        <v>3.3</v>
      </c>
      <c r="AE394" s="270">
        <v>3.3</v>
      </c>
      <c r="AF394" s="270">
        <v>0</v>
      </c>
      <c r="AH394" s="263">
        <v>2213</v>
      </c>
      <c r="AI394" s="254">
        <v>-2.3000000000000003</v>
      </c>
      <c r="AJ394" s="254">
        <v>-9.9999999999999645E-2</v>
      </c>
      <c r="AK394" s="254" t="s">
        <v>82</v>
      </c>
      <c r="AL394" s="254">
        <v>-0.10000000000000003</v>
      </c>
      <c r="AM394" s="254" t="s">
        <v>82</v>
      </c>
      <c r="AN394" s="254" t="s">
        <v>82</v>
      </c>
      <c r="AO394" s="254" t="s">
        <v>82</v>
      </c>
    </row>
    <row r="395" spans="1:41" x14ac:dyDescent="0.2">
      <c r="A395" s="249">
        <v>391</v>
      </c>
      <c r="B395" s="195">
        <v>16</v>
      </c>
      <c r="C395" s="195" t="s">
        <v>728</v>
      </c>
      <c r="D395" s="195">
        <v>2</v>
      </c>
      <c r="E395" s="195" t="s">
        <v>390</v>
      </c>
      <c r="F395" s="196">
        <v>44082</v>
      </c>
      <c r="G395" s="250" t="s">
        <v>5</v>
      </c>
      <c r="H395" s="263">
        <v>2037</v>
      </c>
      <c r="I395" s="216" t="s">
        <v>325</v>
      </c>
      <c r="J395" s="264">
        <v>1345</v>
      </c>
      <c r="K395" s="264">
        <v>1449</v>
      </c>
      <c r="L395" s="265">
        <v>1438</v>
      </c>
      <c r="M395" s="249">
        <v>0</v>
      </c>
      <c r="N395" s="200">
        <v>0</v>
      </c>
      <c r="O395" s="269"/>
      <c r="P395" s="263">
        <v>2037</v>
      </c>
      <c r="Q395" s="270">
        <v>6</v>
      </c>
      <c r="R395" s="267"/>
      <c r="S395" s="267"/>
      <c r="T395" s="267"/>
      <c r="U395" s="267"/>
      <c r="V395" s="267"/>
      <c r="W395" s="267"/>
      <c r="Y395" s="263">
        <v>2037</v>
      </c>
      <c r="Z395" s="270">
        <v>0</v>
      </c>
      <c r="AA395" s="267"/>
      <c r="AB395" s="267"/>
      <c r="AC395" s="267"/>
      <c r="AD395" s="267"/>
      <c r="AE395" s="267"/>
      <c r="AF395" s="267"/>
      <c r="AH395" s="263">
        <v>2037</v>
      </c>
      <c r="AI395" s="254">
        <v>-6</v>
      </c>
      <c r="AJ395" s="254" t="s">
        <v>82</v>
      </c>
      <c r="AK395" s="254" t="s">
        <v>82</v>
      </c>
      <c r="AL395" s="254" t="s">
        <v>82</v>
      </c>
      <c r="AM395" s="254" t="s">
        <v>82</v>
      </c>
      <c r="AN395" s="254" t="s">
        <v>82</v>
      </c>
      <c r="AO395" s="254" t="s">
        <v>82</v>
      </c>
    </row>
    <row r="396" spans="1:41" x14ac:dyDescent="0.2">
      <c r="A396" s="249">
        <v>392</v>
      </c>
      <c r="B396" s="195">
        <v>16</v>
      </c>
      <c r="C396" s="195" t="s">
        <v>728</v>
      </c>
      <c r="D396" s="195">
        <v>2</v>
      </c>
      <c r="E396" s="195" t="s">
        <v>390</v>
      </c>
      <c r="F396" s="196">
        <v>44140</v>
      </c>
      <c r="G396" s="250" t="s">
        <v>7</v>
      </c>
      <c r="H396" s="263">
        <v>2045</v>
      </c>
      <c r="I396" s="216" t="s">
        <v>562</v>
      </c>
      <c r="J396" s="264">
        <v>1900</v>
      </c>
      <c r="K396" s="264">
        <v>1956</v>
      </c>
      <c r="L396" s="265">
        <v>1950</v>
      </c>
      <c r="M396" s="249">
        <v>0</v>
      </c>
      <c r="N396" s="200">
        <v>0</v>
      </c>
      <c r="O396" s="269"/>
      <c r="P396" s="263">
        <v>2045</v>
      </c>
      <c r="Q396" s="270">
        <v>32.9</v>
      </c>
      <c r="R396" s="267"/>
      <c r="S396" s="267"/>
      <c r="T396" s="267"/>
      <c r="U396" s="267"/>
      <c r="V396" s="267"/>
      <c r="W396" s="267"/>
      <c r="Y396" s="263">
        <v>2045</v>
      </c>
      <c r="Z396" s="270">
        <v>3.9</v>
      </c>
      <c r="AA396" s="267"/>
      <c r="AB396" s="267"/>
      <c r="AC396" s="267"/>
      <c r="AD396" s="267"/>
      <c r="AE396" s="267"/>
      <c r="AF396" s="267"/>
      <c r="AH396" s="263">
        <v>2045</v>
      </c>
      <c r="AI396" s="254">
        <v>-29</v>
      </c>
      <c r="AJ396" s="254" t="s">
        <v>82</v>
      </c>
      <c r="AK396" s="254" t="s">
        <v>82</v>
      </c>
      <c r="AL396" s="254" t="s">
        <v>82</v>
      </c>
      <c r="AM396" s="254" t="s">
        <v>82</v>
      </c>
      <c r="AN396" s="254" t="s">
        <v>82</v>
      </c>
      <c r="AO396" s="254" t="s">
        <v>82</v>
      </c>
    </row>
    <row r="397" spans="1:41" x14ac:dyDescent="0.2">
      <c r="A397" s="249">
        <v>393</v>
      </c>
      <c r="B397" s="195">
        <v>16</v>
      </c>
      <c r="C397" s="195" t="s">
        <v>728</v>
      </c>
      <c r="D397" s="195">
        <v>2</v>
      </c>
      <c r="E397" s="195" t="s">
        <v>390</v>
      </c>
      <c r="F397" s="196">
        <v>44552</v>
      </c>
      <c r="G397" s="250" t="s">
        <v>6</v>
      </c>
      <c r="H397" s="263">
        <v>2152</v>
      </c>
      <c r="I397" s="216" t="s">
        <v>730</v>
      </c>
      <c r="J397" s="264">
        <v>1445</v>
      </c>
      <c r="K397" s="264">
        <v>1541</v>
      </c>
      <c r="L397" s="265">
        <v>1532</v>
      </c>
      <c r="M397" s="249">
        <v>1</v>
      </c>
      <c r="N397" s="200">
        <v>0</v>
      </c>
      <c r="P397" s="263">
        <v>2152</v>
      </c>
      <c r="Q397" s="270">
        <v>2.9</v>
      </c>
      <c r="R397" s="270">
        <v>1.3</v>
      </c>
      <c r="S397" s="270">
        <v>1.1000000000000001</v>
      </c>
      <c r="T397" s="270">
        <v>0.2</v>
      </c>
      <c r="U397" s="270">
        <v>1.4</v>
      </c>
      <c r="V397" s="270">
        <v>1.4</v>
      </c>
      <c r="W397" s="270">
        <v>0</v>
      </c>
      <c r="Y397" s="263">
        <v>2152</v>
      </c>
      <c r="Z397" s="270">
        <v>0</v>
      </c>
      <c r="AA397" s="270">
        <v>1.1000000000000001</v>
      </c>
      <c r="AB397" s="270">
        <v>1.1000000000000001</v>
      </c>
      <c r="AC397" s="270">
        <v>0</v>
      </c>
      <c r="AD397" s="270">
        <v>1.4</v>
      </c>
      <c r="AE397" s="270">
        <v>1.4</v>
      </c>
      <c r="AF397" s="270">
        <v>0</v>
      </c>
      <c r="AH397" s="263">
        <v>2152</v>
      </c>
      <c r="AI397" s="254">
        <v>-2.9</v>
      </c>
      <c r="AJ397" s="254">
        <v>-0.19999999999999996</v>
      </c>
      <c r="AK397" s="254" t="s">
        <v>82</v>
      </c>
      <c r="AL397" s="254">
        <v>-0.2</v>
      </c>
      <c r="AM397" s="254" t="s">
        <v>82</v>
      </c>
      <c r="AN397" s="254" t="s">
        <v>82</v>
      </c>
      <c r="AO397" s="254" t="s">
        <v>82</v>
      </c>
    </row>
    <row r="398" spans="1:41" x14ac:dyDescent="0.2">
      <c r="A398" s="249">
        <v>394</v>
      </c>
      <c r="B398" s="195">
        <v>16</v>
      </c>
      <c r="C398" s="195" t="s">
        <v>728</v>
      </c>
      <c r="D398" s="195">
        <v>3</v>
      </c>
      <c r="E398" s="195" t="s">
        <v>394</v>
      </c>
      <c r="F398" s="196">
        <v>43931</v>
      </c>
      <c r="G398" s="250" t="s">
        <v>8</v>
      </c>
      <c r="H398" s="263">
        <v>2015</v>
      </c>
      <c r="I398" s="216" t="s">
        <v>611</v>
      </c>
      <c r="J398" s="264">
        <v>1900</v>
      </c>
      <c r="K398" s="264">
        <v>2053</v>
      </c>
      <c r="L398" s="265">
        <v>2015</v>
      </c>
      <c r="M398" s="249">
        <v>0</v>
      </c>
      <c r="N398" s="200">
        <v>0</v>
      </c>
      <c r="O398" s="269"/>
      <c r="P398" s="263">
        <v>2015</v>
      </c>
      <c r="Q398" s="270">
        <v>8.9</v>
      </c>
      <c r="R398" s="267"/>
      <c r="S398" s="267"/>
      <c r="T398" s="267"/>
      <c r="U398" s="267"/>
      <c r="V398" s="267"/>
      <c r="W398" s="267"/>
      <c r="Y398" s="263">
        <v>2015</v>
      </c>
      <c r="Z398" s="270">
        <v>1.6</v>
      </c>
      <c r="AA398" s="267"/>
      <c r="AB398" s="267"/>
      <c r="AC398" s="267"/>
      <c r="AD398" s="267"/>
      <c r="AE398" s="267"/>
      <c r="AF398" s="267"/>
      <c r="AH398" s="263">
        <v>2015</v>
      </c>
      <c r="AI398" s="254">
        <v>-7.3000000000000007</v>
      </c>
      <c r="AJ398" s="254" t="s">
        <v>82</v>
      </c>
      <c r="AK398" s="254" t="s">
        <v>82</v>
      </c>
      <c r="AL398" s="254" t="s">
        <v>82</v>
      </c>
      <c r="AM398" s="254" t="s">
        <v>82</v>
      </c>
      <c r="AN398" s="254" t="s">
        <v>82</v>
      </c>
      <c r="AO398" s="254" t="s">
        <v>82</v>
      </c>
    </row>
    <row r="399" spans="1:41" x14ac:dyDescent="0.2">
      <c r="A399" s="249">
        <v>395</v>
      </c>
      <c r="B399" s="195">
        <v>16</v>
      </c>
      <c r="C399" s="195" t="s">
        <v>728</v>
      </c>
      <c r="D399" s="195">
        <v>3</v>
      </c>
      <c r="E399" s="195" t="s">
        <v>394</v>
      </c>
      <c r="F399" s="196">
        <v>44047</v>
      </c>
      <c r="G399" s="250" t="s">
        <v>5</v>
      </c>
      <c r="H399" s="263">
        <v>2032</v>
      </c>
      <c r="I399" s="216" t="s">
        <v>99</v>
      </c>
      <c r="J399" s="264">
        <v>550</v>
      </c>
      <c r="K399" s="264">
        <v>759</v>
      </c>
      <c r="L399" s="265">
        <v>720</v>
      </c>
      <c r="M399" s="249">
        <v>1</v>
      </c>
      <c r="N399" s="200">
        <v>0</v>
      </c>
      <c r="O399" s="269"/>
      <c r="P399" s="263">
        <v>2032</v>
      </c>
      <c r="Q399" s="270">
        <v>5.9</v>
      </c>
      <c r="R399" s="270">
        <v>4.7</v>
      </c>
      <c r="S399" s="270">
        <v>4.5</v>
      </c>
      <c r="T399" s="270">
        <v>0.2</v>
      </c>
      <c r="U399" s="270">
        <v>4.9000000000000004</v>
      </c>
      <c r="V399" s="270">
        <v>4.9000000000000004</v>
      </c>
      <c r="W399" s="270" t="s">
        <v>84</v>
      </c>
      <c r="Y399" s="263">
        <v>2032</v>
      </c>
      <c r="Z399" s="270">
        <v>0</v>
      </c>
      <c r="AA399" s="270">
        <v>4.5</v>
      </c>
      <c r="AB399" s="270">
        <v>4.5</v>
      </c>
      <c r="AC399" s="270">
        <v>0</v>
      </c>
      <c r="AD399" s="270">
        <v>4.9000000000000004</v>
      </c>
      <c r="AE399" s="270">
        <v>4.9000000000000004</v>
      </c>
      <c r="AF399" s="270" t="s">
        <v>84</v>
      </c>
      <c r="AH399" s="263">
        <v>2032</v>
      </c>
      <c r="AI399" s="254">
        <v>-5.9</v>
      </c>
      <c r="AJ399" s="254">
        <v>-0.20000000000000018</v>
      </c>
      <c r="AK399" s="254" t="s">
        <v>82</v>
      </c>
      <c r="AL399" s="254">
        <v>-0.2</v>
      </c>
      <c r="AM399" s="254" t="s">
        <v>82</v>
      </c>
      <c r="AN399" s="254" t="s">
        <v>82</v>
      </c>
      <c r="AO399" s="254" t="s">
        <v>82</v>
      </c>
    </row>
    <row r="400" spans="1:41" x14ac:dyDescent="0.2">
      <c r="A400" s="249">
        <v>396</v>
      </c>
      <c r="B400" s="195">
        <v>16</v>
      </c>
      <c r="C400" s="195" t="s">
        <v>728</v>
      </c>
      <c r="D400" s="195">
        <v>3</v>
      </c>
      <c r="E400" s="195" t="s">
        <v>394</v>
      </c>
      <c r="F400" s="196">
        <v>44053</v>
      </c>
      <c r="G400" s="250" t="s">
        <v>4</v>
      </c>
      <c r="H400" s="263">
        <v>2033</v>
      </c>
      <c r="I400" s="216" t="s">
        <v>731</v>
      </c>
      <c r="J400" s="264">
        <v>1900</v>
      </c>
      <c r="K400" s="264">
        <v>2059</v>
      </c>
      <c r="L400" s="265">
        <v>2018</v>
      </c>
      <c r="M400" s="249">
        <v>1</v>
      </c>
      <c r="N400" s="200">
        <v>0</v>
      </c>
      <c r="O400" s="269"/>
      <c r="P400" s="263">
        <v>2033</v>
      </c>
      <c r="Q400" s="270">
        <v>15.2</v>
      </c>
      <c r="R400" s="270">
        <v>9.1999999999999993</v>
      </c>
      <c r="S400" s="270">
        <v>7.8</v>
      </c>
      <c r="T400" s="270">
        <v>1.4</v>
      </c>
      <c r="U400" s="270">
        <v>7.6</v>
      </c>
      <c r="V400" s="270">
        <v>7.6</v>
      </c>
      <c r="W400" s="270" t="s">
        <v>84</v>
      </c>
      <c r="Y400" s="263">
        <v>2033</v>
      </c>
      <c r="Z400" s="270">
        <v>0.6</v>
      </c>
      <c r="AA400" s="270">
        <v>8.5</v>
      </c>
      <c r="AB400" s="270">
        <v>7.8</v>
      </c>
      <c r="AC400" s="270">
        <v>0.7</v>
      </c>
      <c r="AD400" s="270">
        <v>7.6</v>
      </c>
      <c r="AE400" s="270">
        <v>7.6</v>
      </c>
      <c r="AF400" s="270" t="s">
        <v>84</v>
      </c>
      <c r="AH400" s="263">
        <v>2033</v>
      </c>
      <c r="AI400" s="254">
        <v>-14.6</v>
      </c>
      <c r="AJ400" s="254">
        <v>-0.69999999999999929</v>
      </c>
      <c r="AK400" s="254" t="s">
        <v>82</v>
      </c>
      <c r="AL400" s="254">
        <v>-0.7</v>
      </c>
      <c r="AM400" s="254" t="s">
        <v>82</v>
      </c>
      <c r="AN400" s="254" t="s">
        <v>82</v>
      </c>
      <c r="AO400" s="254" t="s">
        <v>82</v>
      </c>
    </row>
    <row r="401" spans="1:41" x14ac:dyDescent="0.2">
      <c r="A401" s="249">
        <v>397</v>
      </c>
      <c r="B401" s="195">
        <v>16</v>
      </c>
      <c r="C401" s="195" t="s">
        <v>728</v>
      </c>
      <c r="D401" s="195">
        <v>3</v>
      </c>
      <c r="E401" s="195" t="s">
        <v>394</v>
      </c>
      <c r="F401" s="196">
        <v>44056</v>
      </c>
      <c r="G401" s="250" t="s">
        <v>7</v>
      </c>
      <c r="H401" s="263">
        <v>2033</v>
      </c>
      <c r="I401" s="216" t="s">
        <v>95</v>
      </c>
      <c r="J401" s="264">
        <v>1900</v>
      </c>
      <c r="K401" s="264">
        <v>2053</v>
      </c>
      <c r="L401" s="265">
        <v>1939</v>
      </c>
      <c r="M401" s="249">
        <v>1</v>
      </c>
      <c r="N401" s="200">
        <v>0</v>
      </c>
      <c r="O401" s="269"/>
      <c r="P401" s="263">
        <v>2033</v>
      </c>
      <c r="Q401" s="270">
        <v>7.2</v>
      </c>
      <c r="R401" s="270">
        <v>8.3000000000000007</v>
      </c>
      <c r="S401" s="270">
        <v>7.5</v>
      </c>
      <c r="T401" s="270">
        <v>0.8</v>
      </c>
      <c r="U401" s="270">
        <v>8</v>
      </c>
      <c r="V401" s="270">
        <v>7.4</v>
      </c>
      <c r="W401" s="270">
        <v>0.6</v>
      </c>
      <c r="Y401" s="263">
        <v>2033</v>
      </c>
      <c r="Z401" s="270">
        <v>0.2</v>
      </c>
      <c r="AA401" s="270">
        <v>8</v>
      </c>
      <c r="AB401" s="270">
        <v>7.5</v>
      </c>
      <c r="AC401" s="270">
        <v>0.5</v>
      </c>
      <c r="AD401" s="270">
        <v>8</v>
      </c>
      <c r="AE401" s="270">
        <v>7.4</v>
      </c>
      <c r="AF401" s="270">
        <v>0.6</v>
      </c>
      <c r="AH401" s="263">
        <v>2033</v>
      </c>
      <c r="AI401" s="254">
        <v>-7</v>
      </c>
      <c r="AJ401" s="254">
        <v>-0.30000000000000071</v>
      </c>
      <c r="AK401" s="254" t="s">
        <v>82</v>
      </c>
      <c r="AL401" s="254">
        <v>-0.30000000000000004</v>
      </c>
      <c r="AM401" s="254" t="s">
        <v>82</v>
      </c>
      <c r="AN401" s="254" t="s">
        <v>82</v>
      </c>
      <c r="AO401" s="254" t="s">
        <v>82</v>
      </c>
    </row>
    <row r="402" spans="1:41" x14ac:dyDescent="0.2">
      <c r="A402" s="249">
        <v>398</v>
      </c>
      <c r="B402" s="195">
        <v>16</v>
      </c>
      <c r="C402" s="195" t="s">
        <v>728</v>
      </c>
      <c r="D402" s="195">
        <v>3</v>
      </c>
      <c r="E402" s="195" t="s">
        <v>394</v>
      </c>
      <c r="F402" s="196">
        <v>44112</v>
      </c>
      <c r="G402" s="250" t="s">
        <v>7</v>
      </c>
      <c r="H402" s="263">
        <v>2041</v>
      </c>
      <c r="I402" s="216" t="s">
        <v>397</v>
      </c>
      <c r="J402" s="264">
        <v>1900</v>
      </c>
      <c r="K402" s="264">
        <v>2053</v>
      </c>
      <c r="L402" s="265">
        <v>1947</v>
      </c>
      <c r="M402" s="249">
        <v>1</v>
      </c>
      <c r="N402" s="200">
        <v>0</v>
      </c>
      <c r="O402" s="269"/>
      <c r="P402" s="263">
        <v>2041</v>
      </c>
      <c r="Q402" s="270">
        <v>7.3</v>
      </c>
      <c r="R402" s="270">
        <v>8.6</v>
      </c>
      <c r="S402" s="270">
        <v>7.6</v>
      </c>
      <c r="T402" s="270">
        <v>1</v>
      </c>
      <c r="U402" s="270">
        <v>7.3</v>
      </c>
      <c r="V402" s="270">
        <v>7.1</v>
      </c>
      <c r="W402" s="270">
        <v>0.2</v>
      </c>
      <c r="Y402" s="263">
        <v>2041</v>
      </c>
      <c r="Z402" s="270">
        <v>0.4</v>
      </c>
      <c r="AA402" s="270">
        <v>8.3000000000000007</v>
      </c>
      <c r="AB402" s="270">
        <v>7.6</v>
      </c>
      <c r="AC402" s="270">
        <v>0.7</v>
      </c>
      <c r="AD402" s="270">
        <v>7.3</v>
      </c>
      <c r="AE402" s="270">
        <v>7.1</v>
      </c>
      <c r="AF402" s="270">
        <v>0.2</v>
      </c>
      <c r="AH402" s="263">
        <v>2041</v>
      </c>
      <c r="AI402" s="254">
        <v>-6.8999999999999995</v>
      </c>
      <c r="AJ402" s="254">
        <v>-0.29999999999999893</v>
      </c>
      <c r="AK402" s="254" t="s">
        <v>82</v>
      </c>
      <c r="AL402" s="254">
        <v>-0.30000000000000004</v>
      </c>
      <c r="AM402" s="254" t="s">
        <v>82</v>
      </c>
      <c r="AN402" s="254" t="s">
        <v>82</v>
      </c>
      <c r="AO402" s="254" t="s">
        <v>82</v>
      </c>
    </row>
    <row r="403" spans="1:41" x14ac:dyDescent="0.2">
      <c r="A403" s="249">
        <v>399</v>
      </c>
      <c r="B403" s="195">
        <v>16</v>
      </c>
      <c r="C403" s="195" t="s">
        <v>728</v>
      </c>
      <c r="D403" s="195">
        <v>3</v>
      </c>
      <c r="E403" s="195" t="s">
        <v>394</v>
      </c>
      <c r="F403" s="196">
        <v>44200</v>
      </c>
      <c r="G403" s="250" t="s">
        <v>4</v>
      </c>
      <c r="H403" s="263">
        <v>2102</v>
      </c>
      <c r="I403" s="216" t="s">
        <v>400</v>
      </c>
      <c r="J403" s="264">
        <v>2608</v>
      </c>
      <c r="K403" s="264">
        <v>2637</v>
      </c>
      <c r="L403" s="265">
        <v>2637</v>
      </c>
      <c r="M403" s="249">
        <v>1</v>
      </c>
      <c r="N403" s="200">
        <v>1</v>
      </c>
      <c r="P403" s="263">
        <v>2102</v>
      </c>
      <c r="Q403" s="270">
        <v>5.7</v>
      </c>
      <c r="R403" s="270">
        <v>7.1</v>
      </c>
      <c r="S403" s="270">
        <v>1.4</v>
      </c>
      <c r="T403" s="270">
        <v>5.7</v>
      </c>
      <c r="U403" s="270">
        <v>6.6</v>
      </c>
      <c r="V403" s="270">
        <v>0.9</v>
      </c>
      <c r="W403" s="270">
        <v>5.7</v>
      </c>
      <c r="Y403" s="263">
        <v>2102</v>
      </c>
      <c r="Z403" s="270">
        <v>0</v>
      </c>
      <c r="AA403" s="270">
        <v>1.4</v>
      </c>
      <c r="AB403" s="270">
        <v>1.4</v>
      </c>
      <c r="AC403" s="270">
        <v>0</v>
      </c>
      <c r="AD403" s="270">
        <v>0.9</v>
      </c>
      <c r="AE403" s="270">
        <v>0.9</v>
      </c>
      <c r="AF403" s="270">
        <v>0</v>
      </c>
      <c r="AH403" s="263">
        <v>2102</v>
      </c>
      <c r="AI403" s="254">
        <v>-5.7</v>
      </c>
      <c r="AJ403" s="254">
        <v>-5.6999999999999993</v>
      </c>
      <c r="AK403" s="254" t="s">
        <v>82</v>
      </c>
      <c r="AL403" s="254">
        <v>-5.7</v>
      </c>
      <c r="AM403" s="254">
        <v>-5.6999999999999993</v>
      </c>
      <c r="AN403" s="254" t="s">
        <v>82</v>
      </c>
      <c r="AO403" s="254">
        <v>-5.7</v>
      </c>
    </row>
    <row r="404" spans="1:41" x14ac:dyDescent="0.2">
      <c r="A404" s="249">
        <v>400</v>
      </c>
      <c r="B404" s="195">
        <v>16</v>
      </c>
      <c r="C404" s="195" t="s">
        <v>728</v>
      </c>
      <c r="D404" s="195">
        <v>4</v>
      </c>
      <c r="E404" s="195" t="s">
        <v>732</v>
      </c>
      <c r="F404" s="196">
        <v>44088</v>
      </c>
      <c r="G404" s="250" t="s">
        <v>4</v>
      </c>
      <c r="H404" s="263">
        <v>2038</v>
      </c>
      <c r="I404" s="216" t="s">
        <v>733</v>
      </c>
      <c r="J404" s="264">
        <v>2453</v>
      </c>
      <c r="K404" s="264">
        <v>2519</v>
      </c>
      <c r="L404" s="265">
        <v>2454</v>
      </c>
      <c r="M404" s="249">
        <v>0</v>
      </c>
      <c r="N404" s="200">
        <v>0</v>
      </c>
      <c r="O404" s="269"/>
      <c r="P404" s="263">
        <v>2038</v>
      </c>
      <c r="Q404" s="270">
        <v>7.9</v>
      </c>
      <c r="R404" s="267"/>
      <c r="S404" s="267"/>
      <c r="T404" s="267"/>
      <c r="U404" s="267"/>
      <c r="V404" s="267"/>
      <c r="W404" s="267"/>
      <c r="Y404" s="263">
        <v>2038</v>
      </c>
      <c r="Z404" s="270">
        <v>0</v>
      </c>
      <c r="AA404" s="267"/>
      <c r="AB404" s="267"/>
      <c r="AC404" s="267"/>
      <c r="AD404" s="267"/>
      <c r="AE404" s="267"/>
      <c r="AF404" s="267"/>
      <c r="AH404" s="263">
        <v>2038</v>
      </c>
      <c r="AI404" s="254">
        <v>-7.9</v>
      </c>
      <c r="AJ404" s="254" t="s">
        <v>82</v>
      </c>
      <c r="AK404" s="254" t="s">
        <v>82</v>
      </c>
      <c r="AL404" s="254" t="s">
        <v>82</v>
      </c>
      <c r="AM404" s="254" t="s">
        <v>82</v>
      </c>
      <c r="AN404" s="254" t="s">
        <v>82</v>
      </c>
      <c r="AO404" s="254" t="s">
        <v>82</v>
      </c>
    </row>
    <row r="405" spans="1:41" x14ac:dyDescent="0.2">
      <c r="A405" s="249">
        <v>401</v>
      </c>
      <c r="B405" s="195">
        <v>16</v>
      </c>
      <c r="C405" s="195" t="s">
        <v>728</v>
      </c>
      <c r="D405" s="195">
        <v>5</v>
      </c>
      <c r="E405" s="195" t="s">
        <v>549</v>
      </c>
      <c r="F405" s="196">
        <v>43938</v>
      </c>
      <c r="G405" s="250" t="s">
        <v>8</v>
      </c>
      <c r="H405" s="263">
        <v>2016</v>
      </c>
      <c r="I405" s="216" t="s">
        <v>621</v>
      </c>
      <c r="J405" s="264">
        <v>800</v>
      </c>
      <c r="K405" s="264">
        <v>814</v>
      </c>
      <c r="L405" s="265">
        <v>806</v>
      </c>
      <c r="M405" s="249">
        <v>0</v>
      </c>
      <c r="N405" s="200">
        <v>0</v>
      </c>
      <c r="O405" s="269"/>
      <c r="P405" s="263">
        <v>2016</v>
      </c>
      <c r="Q405" s="270">
        <v>8.1</v>
      </c>
      <c r="R405" s="267"/>
      <c r="S405" s="267"/>
      <c r="T405" s="267"/>
      <c r="U405" s="267"/>
      <c r="V405" s="267"/>
      <c r="W405" s="267"/>
      <c r="Y405" s="263">
        <v>2016</v>
      </c>
      <c r="Z405" s="270">
        <v>6.3</v>
      </c>
      <c r="AA405" s="267"/>
      <c r="AB405" s="267"/>
      <c r="AC405" s="267"/>
      <c r="AD405" s="267"/>
      <c r="AE405" s="267"/>
      <c r="AF405" s="267"/>
      <c r="AH405" s="263">
        <v>2016</v>
      </c>
      <c r="AI405" s="254">
        <v>-1.7999999999999998</v>
      </c>
      <c r="AJ405" s="254" t="s">
        <v>82</v>
      </c>
      <c r="AK405" s="254" t="s">
        <v>82</v>
      </c>
      <c r="AL405" s="254" t="s">
        <v>82</v>
      </c>
      <c r="AM405" s="254" t="s">
        <v>82</v>
      </c>
      <c r="AN405" s="254" t="s">
        <v>82</v>
      </c>
      <c r="AO405" s="254" t="s">
        <v>82</v>
      </c>
    </row>
    <row r="406" spans="1:41" x14ac:dyDescent="0.2">
      <c r="A406" s="249">
        <v>402</v>
      </c>
      <c r="B406" s="195">
        <v>16</v>
      </c>
      <c r="C406" s="195" t="s">
        <v>728</v>
      </c>
      <c r="D406" s="195">
        <v>6</v>
      </c>
      <c r="E406" s="195" t="s">
        <v>553</v>
      </c>
      <c r="F406" s="196">
        <v>44597</v>
      </c>
      <c r="G406" s="250" t="s">
        <v>9</v>
      </c>
      <c r="H406" s="263">
        <v>2206</v>
      </c>
      <c r="I406" s="216" t="s">
        <v>569</v>
      </c>
      <c r="J406" s="264">
        <v>1140</v>
      </c>
      <c r="K406" s="264">
        <v>1159</v>
      </c>
      <c r="L406" s="265">
        <v>1144</v>
      </c>
      <c r="M406" s="249">
        <v>0</v>
      </c>
      <c r="N406" s="200">
        <v>0</v>
      </c>
      <c r="O406" s="269"/>
      <c r="P406" s="263">
        <v>2206</v>
      </c>
      <c r="Q406" s="270">
        <v>9.6999999999999993</v>
      </c>
      <c r="R406" s="267"/>
      <c r="S406" s="267"/>
      <c r="T406" s="267"/>
      <c r="U406" s="267"/>
      <c r="V406" s="267"/>
      <c r="W406" s="267"/>
      <c r="Y406" s="263">
        <v>2206</v>
      </c>
      <c r="Z406" s="270">
        <v>0</v>
      </c>
      <c r="AA406" s="267"/>
      <c r="AB406" s="267"/>
      <c r="AC406" s="267"/>
      <c r="AD406" s="267"/>
      <c r="AE406" s="267"/>
      <c r="AF406" s="267"/>
      <c r="AH406" s="263">
        <v>2206</v>
      </c>
      <c r="AI406" s="254">
        <v>-9.6999999999999993</v>
      </c>
      <c r="AJ406" s="254" t="s">
        <v>82</v>
      </c>
      <c r="AK406" s="254" t="s">
        <v>82</v>
      </c>
      <c r="AL406" s="254" t="s">
        <v>82</v>
      </c>
      <c r="AM406" s="254" t="s">
        <v>82</v>
      </c>
      <c r="AN406" s="254" t="s">
        <v>82</v>
      </c>
      <c r="AO406" s="254" t="s">
        <v>82</v>
      </c>
    </row>
    <row r="407" spans="1:41" x14ac:dyDescent="0.2">
      <c r="A407" s="249">
        <v>403</v>
      </c>
      <c r="B407" s="195">
        <v>17</v>
      </c>
      <c r="C407" s="195" t="s">
        <v>734</v>
      </c>
      <c r="D407" s="195">
        <v>1</v>
      </c>
      <c r="E407" s="195" t="s">
        <v>735</v>
      </c>
      <c r="F407" s="196">
        <v>44604</v>
      </c>
      <c r="G407" s="250" t="s">
        <v>9</v>
      </c>
      <c r="H407" s="263">
        <v>2207</v>
      </c>
      <c r="I407" s="216" t="s">
        <v>736</v>
      </c>
      <c r="J407" s="264">
        <v>2300</v>
      </c>
      <c r="K407" s="264">
        <v>2329</v>
      </c>
      <c r="L407" s="265">
        <v>2302</v>
      </c>
      <c r="M407" s="249">
        <v>0</v>
      </c>
      <c r="N407" s="200">
        <v>0</v>
      </c>
      <c r="O407" s="269"/>
      <c r="P407" s="263">
        <v>2207</v>
      </c>
      <c r="Q407" s="270">
        <v>4.5999999999999996</v>
      </c>
      <c r="R407" s="267"/>
      <c r="S407" s="267"/>
      <c r="T407" s="267"/>
      <c r="U407" s="267"/>
      <c r="V407" s="267"/>
      <c r="W407" s="267"/>
      <c r="Y407" s="263">
        <v>2207</v>
      </c>
      <c r="Z407" s="270">
        <v>0</v>
      </c>
      <c r="AA407" s="267"/>
      <c r="AB407" s="267"/>
      <c r="AC407" s="267"/>
      <c r="AD407" s="267"/>
      <c r="AE407" s="267"/>
      <c r="AF407" s="267"/>
      <c r="AH407" s="263">
        <v>2207</v>
      </c>
      <c r="AI407" s="254">
        <v>-4.5999999999999996</v>
      </c>
      <c r="AJ407" s="254" t="s">
        <v>82</v>
      </c>
      <c r="AK407" s="254" t="s">
        <v>82</v>
      </c>
      <c r="AL407" s="254" t="s">
        <v>82</v>
      </c>
      <c r="AM407" s="254" t="s">
        <v>82</v>
      </c>
      <c r="AN407" s="254" t="s">
        <v>82</v>
      </c>
      <c r="AO407" s="254" t="s">
        <v>82</v>
      </c>
    </row>
    <row r="408" spans="1:41" x14ac:dyDescent="0.2">
      <c r="A408" s="249">
        <v>404</v>
      </c>
      <c r="B408" s="195">
        <v>17</v>
      </c>
      <c r="C408" s="195" t="s">
        <v>734</v>
      </c>
      <c r="D408" s="195">
        <v>4</v>
      </c>
      <c r="E408" s="195" t="s">
        <v>549</v>
      </c>
      <c r="F408" s="196">
        <v>44330</v>
      </c>
      <c r="G408" s="250" t="s">
        <v>8</v>
      </c>
      <c r="H408" s="263">
        <v>2120</v>
      </c>
      <c r="I408" s="216" t="s">
        <v>737</v>
      </c>
      <c r="J408" s="264">
        <v>1810</v>
      </c>
      <c r="K408" s="264">
        <v>1859</v>
      </c>
      <c r="L408" s="265">
        <v>1817</v>
      </c>
      <c r="M408" s="249">
        <v>0</v>
      </c>
      <c r="N408" s="200">
        <v>0</v>
      </c>
      <c r="P408" s="263">
        <v>2120</v>
      </c>
      <c r="Q408" s="270">
        <v>4.7</v>
      </c>
      <c r="R408" s="267"/>
      <c r="S408" s="267"/>
      <c r="T408" s="267"/>
      <c r="U408" s="267"/>
      <c r="V408" s="267"/>
      <c r="W408" s="267"/>
      <c r="Y408" s="263">
        <v>2120</v>
      </c>
      <c r="Z408" s="270">
        <v>0</v>
      </c>
      <c r="AA408" s="267"/>
      <c r="AB408" s="267"/>
      <c r="AC408" s="267"/>
      <c r="AD408" s="267"/>
      <c r="AE408" s="267"/>
      <c r="AF408" s="267"/>
      <c r="AH408" s="263">
        <v>2120</v>
      </c>
      <c r="AI408" s="254">
        <v>-4.7</v>
      </c>
      <c r="AJ408" s="254" t="s">
        <v>82</v>
      </c>
      <c r="AK408" s="254" t="s">
        <v>82</v>
      </c>
      <c r="AL408" s="254" t="s">
        <v>82</v>
      </c>
      <c r="AM408" s="254" t="s">
        <v>82</v>
      </c>
      <c r="AN408" s="254" t="s">
        <v>82</v>
      </c>
      <c r="AO408" s="254" t="s">
        <v>82</v>
      </c>
    </row>
    <row r="409" spans="1:41" x14ac:dyDescent="0.2">
      <c r="A409" s="249">
        <v>405</v>
      </c>
      <c r="B409" s="195">
        <v>17</v>
      </c>
      <c r="C409" s="195" t="s">
        <v>734</v>
      </c>
      <c r="D409" s="195">
        <v>6</v>
      </c>
      <c r="E409" s="195" t="s">
        <v>402</v>
      </c>
      <c r="F409" s="196">
        <v>44492</v>
      </c>
      <c r="G409" s="250" t="s">
        <v>9</v>
      </c>
      <c r="H409" s="263">
        <v>2143</v>
      </c>
      <c r="I409" s="216" t="s">
        <v>738</v>
      </c>
      <c r="J409" s="264">
        <v>1900</v>
      </c>
      <c r="K409" s="264">
        <v>2059</v>
      </c>
      <c r="L409" s="265">
        <v>1926</v>
      </c>
      <c r="M409" s="249">
        <v>1</v>
      </c>
      <c r="N409" s="200">
        <v>0</v>
      </c>
      <c r="P409" s="263">
        <v>2143</v>
      </c>
      <c r="Q409" s="270">
        <v>2.1</v>
      </c>
      <c r="R409" s="270">
        <v>6.4</v>
      </c>
      <c r="S409" s="270">
        <v>6.2</v>
      </c>
      <c r="T409" s="270">
        <v>0.2</v>
      </c>
      <c r="U409" s="270">
        <v>5.4</v>
      </c>
      <c r="V409" s="270">
        <v>5.4</v>
      </c>
      <c r="W409" s="270">
        <v>0</v>
      </c>
      <c r="Y409" s="263">
        <v>2143</v>
      </c>
      <c r="Z409" s="270">
        <v>0</v>
      </c>
      <c r="AA409" s="270">
        <v>6.3</v>
      </c>
      <c r="AB409" s="270">
        <v>6.2</v>
      </c>
      <c r="AC409" s="270">
        <v>0.1</v>
      </c>
      <c r="AD409" s="270">
        <v>5.4</v>
      </c>
      <c r="AE409" s="270">
        <v>5.4</v>
      </c>
      <c r="AF409" s="270">
        <v>0</v>
      </c>
      <c r="AH409" s="263">
        <v>2143</v>
      </c>
      <c r="AI409" s="254">
        <v>-2.1</v>
      </c>
      <c r="AJ409" s="254">
        <v>-0.10000000000000053</v>
      </c>
      <c r="AK409" s="254" t="s">
        <v>82</v>
      </c>
      <c r="AL409" s="254">
        <v>-0.1</v>
      </c>
      <c r="AM409" s="254" t="s">
        <v>82</v>
      </c>
      <c r="AN409" s="254" t="s">
        <v>82</v>
      </c>
      <c r="AO409" s="254" t="s">
        <v>82</v>
      </c>
    </row>
    <row r="410" spans="1:41" x14ac:dyDescent="0.2">
      <c r="A410" s="249">
        <v>406</v>
      </c>
      <c r="B410" s="195">
        <v>18</v>
      </c>
      <c r="C410" s="195" t="s">
        <v>739</v>
      </c>
      <c r="D410" s="195">
        <v>1</v>
      </c>
      <c r="E410" s="195" t="s">
        <v>406</v>
      </c>
      <c r="F410" s="196">
        <v>43948</v>
      </c>
      <c r="G410" s="250" t="s">
        <v>4</v>
      </c>
      <c r="H410" s="263">
        <v>2018</v>
      </c>
      <c r="I410" s="216" t="s">
        <v>407</v>
      </c>
      <c r="J410" s="264">
        <v>1750</v>
      </c>
      <c r="K410" s="264">
        <v>1814</v>
      </c>
      <c r="L410" s="265">
        <v>1807</v>
      </c>
      <c r="M410" s="249">
        <v>1</v>
      </c>
      <c r="N410" s="200">
        <v>0</v>
      </c>
      <c r="O410" s="269"/>
      <c r="P410" s="263">
        <v>2018</v>
      </c>
      <c r="Q410" s="270">
        <v>5.0999999999999996</v>
      </c>
      <c r="R410" s="270">
        <v>5.5</v>
      </c>
      <c r="S410" s="270">
        <v>4.2</v>
      </c>
      <c r="T410" s="270">
        <v>1.3</v>
      </c>
      <c r="U410" s="270">
        <v>4.7</v>
      </c>
      <c r="V410" s="270">
        <v>4.7</v>
      </c>
      <c r="W410" s="270" t="s">
        <v>84</v>
      </c>
      <c r="Y410" s="263">
        <v>2018</v>
      </c>
      <c r="Z410" s="270">
        <v>0</v>
      </c>
      <c r="AA410" s="270">
        <v>4.2</v>
      </c>
      <c r="AB410" s="270">
        <v>4.2</v>
      </c>
      <c r="AC410" s="270">
        <v>0</v>
      </c>
      <c r="AD410" s="270">
        <v>4.7</v>
      </c>
      <c r="AE410" s="270">
        <v>4.7</v>
      </c>
      <c r="AF410" s="270" t="s">
        <v>84</v>
      </c>
      <c r="AH410" s="263">
        <v>2018</v>
      </c>
      <c r="AI410" s="254">
        <v>-5.0999999999999996</v>
      </c>
      <c r="AJ410" s="254">
        <v>-1.2999999999999998</v>
      </c>
      <c r="AK410" s="254" t="s">
        <v>82</v>
      </c>
      <c r="AL410" s="254">
        <v>-1.3</v>
      </c>
      <c r="AM410" s="254" t="s">
        <v>82</v>
      </c>
      <c r="AN410" s="254" t="s">
        <v>82</v>
      </c>
      <c r="AO410" s="254" t="s">
        <v>82</v>
      </c>
    </row>
    <row r="411" spans="1:41" x14ac:dyDescent="0.2">
      <c r="A411" s="249">
        <v>407</v>
      </c>
      <c r="B411" s="195">
        <v>18</v>
      </c>
      <c r="C411" s="195" t="s">
        <v>739</v>
      </c>
      <c r="D411" s="195">
        <v>1</v>
      </c>
      <c r="E411" s="195" t="s">
        <v>406</v>
      </c>
      <c r="F411" s="196">
        <v>44339</v>
      </c>
      <c r="G411" s="250" t="s">
        <v>10</v>
      </c>
      <c r="H411" s="263">
        <v>2121</v>
      </c>
      <c r="I411" s="216" t="s">
        <v>287</v>
      </c>
      <c r="J411" s="264">
        <v>1730</v>
      </c>
      <c r="K411" s="264">
        <v>1759</v>
      </c>
      <c r="L411" s="265">
        <v>1758</v>
      </c>
      <c r="M411" s="249">
        <v>0</v>
      </c>
      <c r="N411" s="200">
        <v>0</v>
      </c>
      <c r="O411" s="269"/>
      <c r="P411" s="263">
        <v>2121</v>
      </c>
      <c r="Q411" s="270">
        <v>4.5</v>
      </c>
      <c r="R411" s="267"/>
      <c r="S411" s="267"/>
      <c r="T411" s="267"/>
      <c r="U411" s="267"/>
      <c r="V411" s="267"/>
      <c r="W411" s="267"/>
      <c r="Y411" s="263">
        <v>2121</v>
      </c>
      <c r="Z411" s="270">
        <v>1</v>
      </c>
      <c r="AA411" s="267"/>
      <c r="AB411" s="267"/>
      <c r="AC411" s="267"/>
      <c r="AD411" s="267"/>
      <c r="AE411" s="267"/>
      <c r="AF411" s="267"/>
      <c r="AH411" s="263">
        <v>2121</v>
      </c>
      <c r="AI411" s="254">
        <v>-3.5</v>
      </c>
      <c r="AJ411" s="254" t="s">
        <v>82</v>
      </c>
      <c r="AK411" s="254" t="s">
        <v>82</v>
      </c>
      <c r="AL411" s="254" t="s">
        <v>82</v>
      </c>
      <c r="AM411" s="254" t="s">
        <v>82</v>
      </c>
      <c r="AN411" s="254" t="s">
        <v>82</v>
      </c>
      <c r="AO411" s="254" t="s">
        <v>82</v>
      </c>
    </row>
    <row r="412" spans="1:41" x14ac:dyDescent="0.2">
      <c r="A412" s="249">
        <v>408</v>
      </c>
      <c r="B412" s="195">
        <v>18</v>
      </c>
      <c r="C412" s="195" t="s">
        <v>739</v>
      </c>
      <c r="D412" s="195">
        <v>1</v>
      </c>
      <c r="E412" s="195" t="s">
        <v>406</v>
      </c>
      <c r="F412" s="196">
        <v>44403</v>
      </c>
      <c r="G412" s="250" t="s">
        <v>4</v>
      </c>
      <c r="H412" s="263">
        <v>2131</v>
      </c>
      <c r="I412" s="216" t="s">
        <v>185</v>
      </c>
      <c r="J412" s="264">
        <v>1025</v>
      </c>
      <c r="K412" s="264">
        <v>1439</v>
      </c>
      <c r="L412" s="265">
        <v>1103</v>
      </c>
      <c r="M412" s="249">
        <v>1</v>
      </c>
      <c r="N412" s="200">
        <v>0</v>
      </c>
      <c r="O412" s="269"/>
      <c r="P412" s="263">
        <v>2131</v>
      </c>
      <c r="Q412" s="270">
        <v>3.5</v>
      </c>
      <c r="R412" s="270">
        <v>1.7</v>
      </c>
      <c r="S412" s="270">
        <v>1.6</v>
      </c>
      <c r="T412" s="270">
        <v>0.1</v>
      </c>
      <c r="U412" s="270">
        <v>0.8</v>
      </c>
      <c r="V412" s="270">
        <v>0.8</v>
      </c>
      <c r="W412" s="270">
        <v>0</v>
      </c>
      <c r="Y412" s="263">
        <v>2131</v>
      </c>
      <c r="Z412" s="270">
        <v>0</v>
      </c>
      <c r="AA412" s="270">
        <v>1.6</v>
      </c>
      <c r="AB412" s="270">
        <v>1.6</v>
      </c>
      <c r="AC412" s="270">
        <v>0</v>
      </c>
      <c r="AD412" s="270">
        <v>0.8</v>
      </c>
      <c r="AE412" s="270">
        <v>0.8</v>
      </c>
      <c r="AF412" s="270">
        <v>0</v>
      </c>
      <c r="AH412" s="263">
        <v>2131</v>
      </c>
      <c r="AI412" s="254">
        <v>-3.5</v>
      </c>
      <c r="AJ412" s="254">
        <v>-9.9999999999999867E-2</v>
      </c>
      <c r="AK412" s="254" t="s">
        <v>82</v>
      </c>
      <c r="AL412" s="254">
        <v>-0.1</v>
      </c>
      <c r="AM412" s="254" t="s">
        <v>82</v>
      </c>
      <c r="AN412" s="254" t="s">
        <v>82</v>
      </c>
      <c r="AO412" s="254" t="s">
        <v>82</v>
      </c>
    </row>
    <row r="413" spans="1:41" x14ac:dyDescent="0.2">
      <c r="A413" s="249">
        <v>409</v>
      </c>
      <c r="B413" s="195">
        <v>18</v>
      </c>
      <c r="C413" s="195" t="s">
        <v>739</v>
      </c>
      <c r="D413" s="195">
        <v>1</v>
      </c>
      <c r="E413" s="195" t="s">
        <v>406</v>
      </c>
      <c r="F413" s="196">
        <v>44409</v>
      </c>
      <c r="G413" s="250" t="s">
        <v>10</v>
      </c>
      <c r="H413" s="263">
        <v>2131</v>
      </c>
      <c r="I413" s="216" t="s">
        <v>409</v>
      </c>
      <c r="J413" s="264">
        <v>2125</v>
      </c>
      <c r="K413" s="264">
        <v>2218</v>
      </c>
      <c r="L413" s="265">
        <v>2135</v>
      </c>
      <c r="M413" s="249">
        <v>1</v>
      </c>
      <c r="N413" s="200">
        <v>0</v>
      </c>
      <c r="O413" s="269"/>
      <c r="P413" s="263">
        <v>2131</v>
      </c>
      <c r="Q413" s="270">
        <v>4.0999999999999996</v>
      </c>
      <c r="R413" s="270">
        <v>10</v>
      </c>
      <c r="S413" s="270">
        <v>8</v>
      </c>
      <c r="T413" s="270">
        <v>2</v>
      </c>
      <c r="U413" s="270">
        <v>4.0999999999999996</v>
      </c>
      <c r="V413" s="270">
        <v>3.3</v>
      </c>
      <c r="W413" s="270">
        <v>0.8</v>
      </c>
      <c r="Y413" s="263">
        <v>2131</v>
      </c>
      <c r="Z413" s="270">
        <v>1.4</v>
      </c>
      <c r="AA413" s="270">
        <v>9.6</v>
      </c>
      <c r="AB413" s="270">
        <v>8</v>
      </c>
      <c r="AC413" s="270">
        <v>1.6</v>
      </c>
      <c r="AD413" s="270">
        <v>4.0999999999999996</v>
      </c>
      <c r="AE413" s="270">
        <v>3.3</v>
      </c>
      <c r="AF413" s="270">
        <v>0.8</v>
      </c>
      <c r="AH413" s="263">
        <v>2131</v>
      </c>
      <c r="AI413" s="254">
        <v>-2.6999999999999997</v>
      </c>
      <c r="AJ413" s="254">
        <v>-0.40000000000000036</v>
      </c>
      <c r="AK413" s="254" t="s">
        <v>82</v>
      </c>
      <c r="AL413" s="254">
        <v>-0.39999999999999991</v>
      </c>
      <c r="AM413" s="254" t="s">
        <v>82</v>
      </c>
      <c r="AN413" s="254" t="s">
        <v>82</v>
      </c>
      <c r="AO413" s="254" t="s">
        <v>82</v>
      </c>
    </row>
    <row r="414" spans="1:41" x14ac:dyDescent="0.2">
      <c r="A414" s="249">
        <v>410</v>
      </c>
      <c r="B414" s="195">
        <v>18</v>
      </c>
      <c r="C414" s="195" t="s">
        <v>739</v>
      </c>
      <c r="D414" s="195">
        <v>1</v>
      </c>
      <c r="E414" s="195" t="s">
        <v>406</v>
      </c>
      <c r="F414" s="196">
        <v>44464</v>
      </c>
      <c r="G414" s="250" t="s">
        <v>9</v>
      </c>
      <c r="H414" s="263">
        <v>2139</v>
      </c>
      <c r="I414" s="216" t="s">
        <v>740</v>
      </c>
      <c r="J414" s="264">
        <v>700</v>
      </c>
      <c r="K414" s="264">
        <v>729</v>
      </c>
      <c r="L414" s="265">
        <v>729</v>
      </c>
      <c r="M414" s="249">
        <v>0</v>
      </c>
      <c r="N414" s="200">
        <v>1</v>
      </c>
      <c r="O414" s="269"/>
      <c r="P414" s="263">
        <v>2139</v>
      </c>
      <c r="Q414" s="270">
        <v>5.5</v>
      </c>
      <c r="R414" s="267"/>
      <c r="S414" s="267"/>
      <c r="T414" s="267"/>
      <c r="U414" s="267"/>
      <c r="V414" s="267"/>
      <c r="W414" s="267"/>
      <c r="Y414" s="263">
        <v>2139</v>
      </c>
      <c r="Z414" s="270">
        <v>0</v>
      </c>
      <c r="AA414" s="267"/>
      <c r="AB414" s="267"/>
      <c r="AC414" s="267"/>
      <c r="AD414" s="267"/>
      <c r="AE414" s="267"/>
      <c r="AF414" s="267"/>
      <c r="AH414" s="263">
        <v>2139</v>
      </c>
      <c r="AI414" s="254">
        <v>-5.5</v>
      </c>
      <c r="AJ414" s="254" t="s">
        <v>82</v>
      </c>
      <c r="AK414" s="254" t="s">
        <v>82</v>
      </c>
      <c r="AL414" s="254" t="s">
        <v>82</v>
      </c>
      <c r="AM414" s="254" t="s">
        <v>82</v>
      </c>
      <c r="AN414" s="254" t="s">
        <v>82</v>
      </c>
      <c r="AO414" s="254" t="s">
        <v>82</v>
      </c>
    </row>
    <row r="415" spans="1:41" x14ac:dyDescent="0.2">
      <c r="A415" s="249">
        <v>411</v>
      </c>
      <c r="B415" s="195">
        <v>18</v>
      </c>
      <c r="C415" s="195" t="s">
        <v>739</v>
      </c>
      <c r="D415" s="195">
        <v>1</v>
      </c>
      <c r="E415" s="195" t="s">
        <v>406</v>
      </c>
      <c r="F415" s="196">
        <v>44531</v>
      </c>
      <c r="G415" s="250" t="s">
        <v>6</v>
      </c>
      <c r="H415" s="263">
        <v>2149</v>
      </c>
      <c r="I415" s="216" t="s">
        <v>407</v>
      </c>
      <c r="J415" s="264">
        <v>1549</v>
      </c>
      <c r="K415" s="264">
        <v>1649</v>
      </c>
      <c r="L415" s="265">
        <v>1649</v>
      </c>
      <c r="M415" s="249">
        <v>0</v>
      </c>
      <c r="N415" s="200">
        <v>1</v>
      </c>
      <c r="O415" s="269"/>
      <c r="P415" s="263">
        <v>2149</v>
      </c>
      <c r="Q415" s="270">
        <v>3.3</v>
      </c>
      <c r="R415" s="267"/>
      <c r="S415" s="267"/>
      <c r="T415" s="267"/>
      <c r="U415" s="267"/>
      <c r="V415" s="267"/>
      <c r="W415" s="267"/>
      <c r="Y415" s="263">
        <v>2149</v>
      </c>
      <c r="Z415" s="270">
        <v>0</v>
      </c>
      <c r="AA415" s="267"/>
      <c r="AB415" s="267"/>
      <c r="AC415" s="267"/>
      <c r="AD415" s="267"/>
      <c r="AE415" s="267"/>
      <c r="AF415" s="267"/>
      <c r="AH415" s="263">
        <v>2149</v>
      </c>
      <c r="AI415" s="254">
        <v>-3.3</v>
      </c>
      <c r="AJ415" s="254" t="s">
        <v>82</v>
      </c>
      <c r="AK415" s="254" t="s">
        <v>82</v>
      </c>
      <c r="AL415" s="254" t="s">
        <v>82</v>
      </c>
      <c r="AM415" s="254" t="s">
        <v>82</v>
      </c>
      <c r="AN415" s="254" t="s">
        <v>82</v>
      </c>
      <c r="AO415" s="254" t="s">
        <v>82</v>
      </c>
    </row>
    <row r="416" spans="1:41" x14ac:dyDescent="0.2">
      <c r="A416" s="249">
        <v>412</v>
      </c>
      <c r="B416" s="195">
        <v>18</v>
      </c>
      <c r="C416" s="195" t="s">
        <v>739</v>
      </c>
      <c r="D416" s="195">
        <v>1</v>
      </c>
      <c r="E416" s="195" t="s">
        <v>406</v>
      </c>
      <c r="F416" s="196">
        <v>44533</v>
      </c>
      <c r="G416" s="250" t="s">
        <v>8</v>
      </c>
      <c r="H416" s="263">
        <v>2149</v>
      </c>
      <c r="I416" s="216" t="s">
        <v>412</v>
      </c>
      <c r="J416" s="264">
        <v>1900</v>
      </c>
      <c r="K416" s="264">
        <v>1959</v>
      </c>
      <c r="L416" s="265">
        <v>1915</v>
      </c>
      <c r="M416" s="249">
        <v>1</v>
      </c>
      <c r="N416" s="200">
        <v>0</v>
      </c>
      <c r="O416" s="269"/>
      <c r="P416" s="263">
        <v>2149</v>
      </c>
      <c r="Q416" s="270">
        <v>5.8</v>
      </c>
      <c r="R416" s="270">
        <v>3.3</v>
      </c>
      <c r="S416" s="270">
        <v>2.8</v>
      </c>
      <c r="T416" s="270">
        <v>0.5</v>
      </c>
      <c r="U416" s="270">
        <v>3.3</v>
      </c>
      <c r="V416" s="270">
        <v>3.3</v>
      </c>
      <c r="W416" s="270" t="s">
        <v>84</v>
      </c>
      <c r="Y416" s="263">
        <v>2149</v>
      </c>
      <c r="Z416" s="270">
        <v>0</v>
      </c>
      <c r="AA416" s="270">
        <v>2.8</v>
      </c>
      <c r="AB416" s="270">
        <v>2.8</v>
      </c>
      <c r="AC416" s="270">
        <v>0</v>
      </c>
      <c r="AD416" s="270">
        <v>3.3</v>
      </c>
      <c r="AE416" s="270">
        <v>3.3</v>
      </c>
      <c r="AF416" s="270" t="s">
        <v>84</v>
      </c>
      <c r="AH416" s="263">
        <v>2149</v>
      </c>
      <c r="AI416" s="254">
        <v>-5.8</v>
      </c>
      <c r="AJ416" s="254">
        <v>-0.5</v>
      </c>
      <c r="AK416" s="254" t="s">
        <v>82</v>
      </c>
      <c r="AL416" s="254">
        <v>-0.5</v>
      </c>
      <c r="AM416" s="254" t="s">
        <v>82</v>
      </c>
      <c r="AN416" s="254" t="s">
        <v>82</v>
      </c>
      <c r="AO416" s="254" t="s">
        <v>82</v>
      </c>
    </row>
    <row r="417" spans="1:41" x14ac:dyDescent="0.2">
      <c r="A417" s="249">
        <v>413</v>
      </c>
      <c r="B417" s="195">
        <v>18</v>
      </c>
      <c r="C417" s="195" t="s">
        <v>739</v>
      </c>
      <c r="D417" s="195">
        <v>2</v>
      </c>
      <c r="E417" s="195" t="s">
        <v>415</v>
      </c>
      <c r="F417" s="196">
        <v>44059</v>
      </c>
      <c r="G417" s="250" t="s">
        <v>10</v>
      </c>
      <c r="H417" s="263">
        <v>2033</v>
      </c>
      <c r="I417" s="216" t="s">
        <v>157</v>
      </c>
      <c r="J417" s="264">
        <v>1900</v>
      </c>
      <c r="K417" s="264">
        <v>1957</v>
      </c>
      <c r="L417" s="265">
        <v>1920</v>
      </c>
      <c r="M417" s="249">
        <v>1</v>
      </c>
      <c r="N417" s="200">
        <v>0</v>
      </c>
      <c r="O417" s="269"/>
      <c r="P417" s="263">
        <v>2033</v>
      </c>
      <c r="Q417" s="270">
        <v>13.8</v>
      </c>
      <c r="R417" s="270">
        <v>10.4</v>
      </c>
      <c r="S417" s="270">
        <v>9.1</v>
      </c>
      <c r="T417" s="270">
        <v>1.3</v>
      </c>
      <c r="U417" s="270">
        <v>8.6</v>
      </c>
      <c r="V417" s="270">
        <v>8.6</v>
      </c>
      <c r="W417" s="270">
        <v>0</v>
      </c>
      <c r="Y417" s="263">
        <v>2033</v>
      </c>
      <c r="Z417" s="270">
        <v>0</v>
      </c>
      <c r="AA417" s="270">
        <v>9.1999999999999993</v>
      </c>
      <c r="AB417" s="270">
        <v>9.1</v>
      </c>
      <c r="AC417" s="270">
        <v>0.1</v>
      </c>
      <c r="AD417" s="270">
        <v>8.6</v>
      </c>
      <c r="AE417" s="270">
        <v>8.6</v>
      </c>
      <c r="AF417" s="270">
        <v>0</v>
      </c>
      <c r="AH417" s="263">
        <v>2033</v>
      </c>
      <c r="AI417" s="254">
        <v>-13.8</v>
      </c>
      <c r="AJ417" s="254">
        <v>-1.2000000000000011</v>
      </c>
      <c r="AK417" s="254" t="s">
        <v>82</v>
      </c>
      <c r="AL417" s="254">
        <v>-1.2</v>
      </c>
      <c r="AM417" s="254" t="s">
        <v>82</v>
      </c>
      <c r="AN417" s="254" t="s">
        <v>82</v>
      </c>
      <c r="AO417" s="254" t="s">
        <v>82</v>
      </c>
    </row>
    <row r="418" spans="1:41" x14ac:dyDescent="0.2">
      <c r="A418" s="249">
        <v>414</v>
      </c>
      <c r="B418" s="195">
        <v>18</v>
      </c>
      <c r="C418" s="195" t="s">
        <v>739</v>
      </c>
      <c r="D418" s="195">
        <v>2</v>
      </c>
      <c r="E418" s="195" t="s">
        <v>415</v>
      </c>
      <c r="F418" s="196">
        <v>44071</v>
      </c>
      <c r="G418" s="250" t="s">
        <v>8</v>
      </c>
      <c r="H418" s="263">
        <v>2035</v>
      </c>
      <c r="I418" s="216" t="s">
        <v>176</v>
      </c>
      <c r="J418" s="264">
        <v>800</v>
      </c>
      <c r="K418" s="264">
        <v>929</v>
      </c>
      <c r="L418" s="265">
        <v>922</v>
      </c>
      <c r="M418" s="249">
        <v>0</v>
      </c>
      <c r="N418" s="200">
        <v>0</v>
      </c>
      <c r="O418" s="269"/>
      <c r="P418" s="263">
        <v>2035</v>
      </c>
      <c r="Q418" s="270">
        <v>33.299999999999997</v>
      </c>
      <c r="R418" s="267"/>
      <c r="S418" s="267"/>
      <c r="T418" s="267"/>
      <c r="U418" s="267"/>
      <c r="V418" s="267"/>
      <c r="W418" s="267"/>
      <c r="Y418" s="263">
        <v>2035</v>
      </c>
      <c r="Z418" s="270">
        <v>0.6</v>
      </c>
      <c r="AA418" s="267"/>
      <c r="AB418" s="267"/>
      <c r="AC418" s="267"/>
      <c r="AD418" s="267"/>
      <c r="AE418" s="267"/>
      <c r="AF418" s="267"/>
      <c r="AH418" s="263">
        <v>2035</v>
      </c>
      <c r="AI418" s="254">
        <v>-32.699999999999996</v>
      </c>
      <c r="AJ418" s="254" t="s">
        <v>82</v>
      </c>
      <c r="AK418" s="254" t="s">
        <v>82</v>
      </c>
      <c r="AL418" s="254" t="s">
        <v>82</v>
      </c>
      <c r="AM418" s="254" t="s">
        <v>82</v>
      </c>
      <c r="AN418" s="254" t="s">
        <v>82</v>
      </c>
      <c r="AO418" s="254" t="s">
        <v>82</v>
      </c>
    </row>
    <row r="419" spans="1:41" x14ac:dyDescent="0.2">
      <c r="A419" s="249">
        <v>415</v>
      </c>
      <c r="B419" s="195">
        <v>18</v>
      </c>
      <c r="C419" s="195" t="s">
        <v>739</v>
      </c>
      <c r="D419" s="195">
        <v>2</v>
      </c>
      <c r="E419" s="195" t="s">
        <v>415</v>
      </c>
      <c r="F419" s="196">
        <v>44507</v>
      </c>
      <c r="G419" s="250" t="s">
        <v>10</v>
      </c>
      <c r="H419" s="263">
        <v>2145</v>
      </c>
      <c r="I419" s="216" t="s">
        <v>741</v>
      </c>
      <c r="J419" s="264">
        <v>1235</v>
      </c>
      <c r="K419" s="264">
        <v>1504</v>
      </c>
      <c r="L419" s="265">
        <v>1236</v>
      </c>
      <c r="M419" s="249">
        <v>1</v>
      </c>
      <c r="N419" s="200">
        <v>0</v>
      </c>
      <c r="O419" s="269"/>
      <c r="P419" s="263">
        <v>2145</v>
      </c>
      <c r="Q419" s="270">
        <v>4.0999999999999996</v>
      </c>
      <c r="R419" s="270">
        <v>4.4000000000000004</v>
      </c>
      <c r="S419" s="270">
        <v>4.0999999999999996</v>
      </c>
      <c r="T419" s="270">
        <v>0.3</v>
      </c>
      <c r="U419" s="270">
        <v>4.3</v>
      </c>
      <c r="V419" s="270">
        <v>4.3</v>
      </c>
      <c r="W419" s="270">
        <v>0</v>
      </c>
      <c r="Y419" s="263">
        <v>2145</v>
      </c>
      <c r="Z419" s="270">
        <v>0</v>
      </c>
      <c r="AA419" s="270">
        <v>4.0999999999999996</v>
      </c>
      <c r="AB419" s="270">
        <v>4.0999999999999996</v>
      </c>
      <c r="AC419" s="270">
        <v>0</v>
      </c>
      <c r="AD419" s="270">
        <v>4.3</v>
      </c>
      <c r="AE419" s="270">
        <v>4.3</v>
      </c>
      <c r="AF419" s="270">
        <v>0</v>
      </c>
      <c r="AH419" s="263">
        <v>2145</v>
      </c>
      <c r="AI419" s="254">
        <v>-4.0999999999999996</v>
      </c>
      <c r="AJ419" s="254">
        <v>-0.30000000000000071</v>
      </c>
      <c r="AK419" s="254" t="s">
        <v>82</v>
      </c>
      <c r="AL419" s="254">
        <v>-0.3</v>
      </c>
      <c r="AM419" s="254" t="s">
        <v>82</v>
      </c>
      <c r="AN419" s="254" t="s">
        <v>82</v>
      </c>
      <c r="AO419" s="254" t="s">
        <v>82</v>
      </c>
    </row>
    <row r="420" spans="1:41" x14ac:dyDescent="0.2">
      <c r="A420" s="249">
        <v>416</v>
      </c>
      <c r="B420" s="195">
        <v>18</v>
      </c>
      <c r="C420" s="195" t="s">
        <v>739</v>
      </c>
      <c r="D420" s="195">
        <v>2</v>
      </c>
      <c r="E420" s="195" t="s">
        <v>415</v>
      </c>
      <c r="F420" s="196">
        <v>44633</v>
      </c>
      <c r="G420" s="250" t="s">
        <v>10</v>
      </c>
      <c r="H420" s="263">
        <v>2211</v>
      </c>
      <c r="I420" s="216" t="s">
        <v>174</v>
      </c>
      <c r="J420" s="264">
        <v>1958</v>
      </c>
      <c r="K420" s="264">
        <v>2053</v>
      </c>
      <c r="L420" s="265">
        <v>1959</v>
      </c>
      <c r="M420" s="249">
        <v>0</v>
      </c>
      <c r="N420" s="200">
        <v>0</v>
      </c>
      <c r="P420" s="263">
        <v>2211</v>
      </c>
      <c r="Q420" s="270">
        <v>4.3</v>
      </c>
      <c r="R420" s="267"/>
      <c r="S420" s="267"/>
      <c r="T420" s="267"/>
      <c r="U420" s="267"/>
      <c r="V420" s="267"/>
      <c r="W420" s="267"/>
      <c r="Y420" s="263">
        <v>2211</v>
      </c>
      <c r="Z420" s="270">
        <v>0.6</v>
      </c>
      <c r="AA420" s="267"/>
      <c r="AB420" s="267"/>
      <c r="AC420" s="267"/>
      <c r="AD420" s="267"/>
      <c r="AE420" s="267"/>
      <c r="AF420" s="267"/>
      <c r="AH420" s="263">
        <v>2211</v>
      </c>
      <c r="AI420" s="254">
        <v>-3.6999999999999997</v>
      </c>
      <c r="AJ420" s="254" t="s">
        <v>82</v>
      </c>
      <c r="AK420" s="254" t="s">
        <v>82</v>
      </c>
      <c r="AL420" s="254" t="s">
        <v>82</v>
      </c>
      <c r="AM420" s="254" t="s">
        <v>82</v>
      </c>
      <c r="AN420" s="254" t="s">
        <v>82</v>
      </c>
      <c r="AO420" s="254" t="s">
        <v>82</v>
      </c>
    </row>
    <row r="421" spans="1:41" x14ac:dyDescent="0.2">
      <c r="A421" s="249">
        <v>417</v>
      </c>
      <c r="B421" s="195">
        <v>18</v>
      </c>
      <c r="C421" s="195" t="s">
        <v>739</v>
      </c>
      <c r="D421" s="195">
        <v>3</v>
      </c>
      <c r="E421" s="195" t="s">
        <v>418</v>
      </c>
      <c r="F421" s="196">
        <v>44349</v>
      </c>
      <c r="G421" s="250" t="s">
        <v>6</v>
      </c>
      <c r="H421" s="263">
        <v>2123</v>
      </c>
      <c r="I421" s="216" t="s">
        <v>539</v>
      </c>
      <c r="J421" s="264">
        <v>1130</v>
      </c>
      <c r="K421" s="264">
        <v>1154</v>
      </c>
      <c r="L421" s="265">
        <v>1154</v>
      </c>
      <c r="M421" s="249">
        <v>0</v>
      </c>
      <c r="N421" s="200">
        <v>1</v>
      </c>
      <c r="O421" s="269"/>
      <c r="P421" s="263">
        <v>2123</v>
      </c>
      <c r="Q421" s="270">
        <v>3.6</v>
      </c>
      <c r="R421" s="267"/>
      <c r="S421" s="267"/>
      <c r="T421" s="267"/>
      <c r="U421" s="267"/>
      <c r="V421" s="267"/>
      <c r="W421" s="267"/>
      <c r="Y421" s="263">
        <v>2123</v>
      </c>
      <c r="Z421" s="270">
        <v>0</v>
      </c>
      <c r="AA421" s="267"/>
      <c r="AB421" s="267"/>
      <c r="AC421" s="267"/>
      <c r="AD421" s="267"/>
      <c r="AE421" s="267"/>
      <c r="AF421" s="267"/>
      <c r="AH421" s="263">
        <v>2123</v>
      </c>
      <c r="AI421" s="254">
        <v>-3.6</v>
      </c>
      <c r="AJ421" s="254" t="s">
        <v>82</v>
      </c>
      <c r="AK421" s="254" t="s">
        <v>82</v>
      </c>
      <c r="AL421" s="254" t="s">
        <v>82</v>
      </c>
      <c r="AM421" s="254" t="s">
        <v>82</v>
      </c>
      <c r="AN421" s="254" t="s">
        <v>82</v>
      </c>
      <c r="AO421" s="254" t="s">
        <v>82</v>
      </c>
    </row>
    <row r="422" spans="1:41" x14ac:dyDescent="0.2">
      <c r="A422" s="249">
        <v>418</v>
      </c>
      <c r="B422" s="195">
        <v>18</v>
      </c>
      <c r="C422" s="195" t="s">
        <v>739</v>
      </c>
      <c r="D422" s="195">
        <v>3</v>
      </c>
      <c r="E422" s="195" t="s">
        <v>418</v>
      </c>
      <c r="F422" s="196">
        <v>44569</v>
      </c>
      <c r="G422" s="250" t="s">
        <v>9</v>
      </c>
      <c r="H422" s="263">
        <v>2202</v>
      </c>
      <c r="I422" s="216" t="s">
        <v>281</v>
      </c>
      <c r="J422" s="264">
        <v>1900</v>
      </c>
      <c r="K422" s="264">
        <v>1959</v>
      </c>
      <c r="L422" s="265">
        <v>1924</v>
      </c>
      <c r="M422" s="249">
        <v>1</v>
      </c>
      <c r="N422" s="200">
        <v>0</v>
      </c>
      <c r="P422" s="263">
        <v>2202</v>
      </c>
      <c r="Q422" s="270">
        <v>33.700000000000003</v>
      </c>
      <c r="R422" s="270">
        <v>8.5</v>
      </c>
      <c r="S422" s="270">
        <v>5.8</v>
      </c>
      <c r="T422" s="270">
        <v>2.7</v>
      </c>
      <c r="U422" s="270">
        <v>6.2</v>
      </c>
      <c r="V422" s="270">
        <v>6.2</v>
      </c>
      <c r="W422" s="270" t="s">
        <v>84</v>
      </c>
      <c r="Y422" s="263">
        <v>2202</v>
      </c>
      <c r="Z422" s="270">
        <v>0</v>
      </c>
      <c r="AA422" s="270">
        <v>5.9</v>
      </c>
      <c r="AB422" s="270">
        <v>5.8</v>
      </c>
      <c r="AC422" s="270">
        <v>0.1</v>
      </c>
      <c r="AD422" s="270">
        <v>6.2</v>
      </c>
      <c r="AE422" s="270">
        <v>6.2</v>
      </c>
      <c r="AF422" s="270" t="s">
        <v>84</v>
      </c>
      <c r="AH422" s="263">
        <v>2202</v>
      </c>
      <c r="AI422" s="254">
        <v>-33.700000000000003</v>
      </c>
      <c r="AJ422" s="254">
        <v>-2.5999999999999996</v>
      </c>
      <c r="AK422" s="254" t="s">
        <v>82</v>
      </c>
      <c r="AL422" s="254">
        <v>-2.6</v>
      </c>
      <c r="AM422" s="254" t="s">
        <v>82</v>
      </c>
      <c r="AN422" s="254" t="s">
        <v>82</v>
      </c>
      <c r="AO422" s="254" t="s">
        <v>82</v>
      </c>
    </row>
    <row r="423" spans="1:41" x14ac:dyDescent="0.2">
      <c r="A423" s="249">
        <v>419</v>
      </c>
      <c r="B423" s="195">
        <v>18</v>
      </c>
      <c r="C423" s="195" t="s">
        <v>739</v>
      </c>
      <c r="D423" s="195">
        <v>4</v>
      </c>
      <c r="E423" s="195" t="s">
        <v>549</v>
      </c>
      <c r="F423" s="196">
        <v>44273</v>
      </c>
      <c r="G423" s="250" t="s">
        <v>7</v>
      </c>
      <c r="H423" s="263">
        <v>2112</v>
      </c>
      <c r="I423" s="216" t="s">
        <v>742</v>
      </c>
      <c r="J423" s="264">
        <v>1810</v>
      </c>
      <c r="K423" s="264">
        <v>1859</v>
      </c>
      <c r="L423" s="265">
        <v>1842</v>
      </c>
      <c r="M423" s="249">
        <v>0</v>
      </c>
      <c r="N423" s="200">
        <v>0</v>
      </c>
      <c r="P423" s="263">
        <v>2112</v>
      </c>
      <c r="Q423" s="270">
        <v>47.4</v>
      </c>
      <c r="R423" s="267"/>
      <c r="S423" s="267"/>
      <c r="T423" s="267"/>
      <c r="U423" s="267"/>
      <c r="V423" s="267"/>
      <c r="W423" s="267"/>
      <c r="Y423" s="263">
        <v>2112</v>
      </c>
      <c r="Z423" s="270">
        <v>0</v>
      </c>
      <c r="AA423" s="267"/>
      <c r="AB423" s="267"/>
      <c r="AC423" s="267"/>
      <c r="AD423" s="267"/>
      <c r="AE423" s="267"/>
      <c r="AF423" s="267"/>
      <c r="AH423" s="263">
        <v>2112</v>
      </c>
      <c r="AI423" s="254">
        <v>-47.4</v>
      </c>
      <c r="AJ423" s="254" t="s">
        <v>82</v>
      </c>
      <c r="AK423" s="254" t="s">
        <v>82</v>
      </c>
      <c r="AL423" s="254" t="s">
        <v>82</v>
      </c>
      <c r="AM423" s="254" t="s">
        <v>82</v>
      </c>
      <c r="AN423" s="254" t="s">
        <v>82</v>
      </c>
      <c r="AO423" s="254" t="s">
        <v>82</v>
      </c>
    </row>
    <row r="424" spans="1:41" x14ac:dyDescent="0.2">
      <c r="A424" s="249">
        <v>420</v>
      </c>
      <c r="B424" s="195">
        <v>18</v>
      </c>
      <c r="C424" s="195" t="s">
        <v>739</v>
      </c>
      <c r="D424" s="195">
        <v>4</v>
      </c>
      <c r="E424" s="195" t="s">
        <v>549</v>
      </c>
      <c r="F424" s="196">
        <v>44330</v>
      </c>
      <c r="G424" s="250" t="s">
        <v>8</v>
      </c>
      <c r="H424" s="263">
        <v>2120</v>
      </c>
      <c r="I424" s="216" t="s">
        <v>742</v>
      </c>
      <c r="J424" s="264">
        <v>1810</v>
      </c>
      <c r="K424" s="264">
        <v>1859</v>
      </c>
      <c r="L424" s="265">
        <v>1858</v>
      </c>
      <c r="M424" s="249">
        <v>0</v>
      </c>
      <c r="N424" s="200">
        <v>0</v>
      </c>
      <c r="P424" s="263">
        <v>2120</v>
      </c>
      <c r="Q424" s="270">
        <v>2.7</v>
      </c>
      <c r="R424" s="267"/>
      <c r="S424" s="267"/>
      <c r="T424" s="267"/>
      <c r="U424" s="267"/>
      <c r="V424" s="267"/>
      <c r="W424" s="267"/>
      <c r="Y424" s="263">
        <v>2120</v>
      </c>
      <c r="Z424" s="270">
        <v>0.2</v>
      </c>
      <c r="AA424" s="267"/>
      <c r="AB424" s="267"/>
      <c r="AC424" s="267"/>
      <c r="AD424" s="267"/>
      <c r="AE424" s="267"/>
      <c r="AF424" s="267"/>
      <c r="AH424" s="263">
        <v>2120</v>
      </c>
      <c r="AI424" s="254">
        <v>-2.5</v>
      </c>
      <c r="AJ424" s="254" t="s">
        <v>82</v>
      </c>
      <c r="AK424" s="254" t="s">
        <v>82</v>
      </c>
      <c r="AL424" s="254" t="s">
        <v>82</v>
      </c>
      <c r="AM424" s="254" t="s">
        <v>82</v>
      </c>
      <c r="AN424" s="254" t="s">
        <v>82</v>
      </c>
      <c r="AO424" s="254" t="s">
        <v>82</v>
      </c>
    </row>
    <row r="425" spans="1:41" x14ac:dyDescent="0.2">
      <c r="A425" s="249">
        <v>421</v>
      </c>
      <c r="B425" s="195">
        <v>18</v>
      </c>
      <c r="C425" s="195" t="s">
        <v>739</v>
      </c>
      <c r="D425" s="195">
        <v>4</v>
      </c>
      <c r="E425" s="195" t="s">
        <v>549</v>
      </c>
      <c r="F425" s="196">
        <v>44620</v>
      </c>
      <c r="G425" s="250" t="s">
        <v>4</v>
      </c>
      <c r="H425" s="263">
        <v>2210</v>
      </c>
      <c r="I425" s="216" t="s">
        <v>568</v>
      </c>
      <c r="J425" s="264">
        <v>1650</v>
      </c>
      <c r="K425" s="264">
        <v>1809</v>
      </c>
      <c r="L425" s="265">
        <v>1809</v>
      </c>
      <c r="M425" s="249">
        <v>0</v>
      </c>
      <c r="N425" s="200">
        <v>1</v>
      </c>
      <c r="P425" s="263">
        <v>2210</v>
      </c>
      <c r="Q425" s="270">
        <v>3.9</v>
      </c>
      <c r="R425" s="267"/>
      <c r="S425" s="267"/>
      <c r="T425" s="267"/>
      <c r="U425" s="267"/>
      <c r="V425" s="267"/>
      <c r="W425" s="267"/>
      <c r="Y425" s="263">
        <v>2210</v>
      </c>
      <c r="Z425" s="270">
        <v>0</v>
      </c>
      <c r="AA425" s="267"/>
      <c r="AB425" s="267"/>
      <c r="AC425" s="267"/>
      <c r="AD425" s="267"/>
      <c r="AE425" s="267"/>
      <c r="AF425" s="267"/>
      <c r="AH425" s="263">
        <v>2210</v>
      </c>
      <c r="AI425" s="254">
        <v>-3.9</v>
      </c>
      <c r="AJ425" s="254" t="s">
        <v>82</v>
      </c>
      <c r="AK425" s="254" t="s">
        <v>82</v>
      </c>
      <c r="AL425" s="254" t="s">
        <v>82</v>
      </c>
      <c r="AM425" s="254" t="s">
        <v>82</v>
      </c>
      <c r="AN425" s="254" t="s">
        <v>82</v>
      </c>
      <c r="AO425" s="254" t="s">
        <v>82</v>
      </c>
    </row>
    <row r="426" spans="1:41" x14ac:dyDescent="0.2">
      <c r="A426" s="249">
        <v>422</v>
      </c>
      <c r="B426" s="195">
        <v>18</v>
      </c>
      <c r="C426" s="195" t="s">
        <v>739</v>
      </c>
      <c r="D426" s="195">
        <v>4</v>
      </c>
      <c r="E426" s="195" t="s">
        <v>549</v>
      </c>
      <c r="F426" s="196">
        <v>44638</v>
      </c>
      <c r="G426" s="250" t="s">
        <v>8</v>
      </c>
      <c r="H426" s="263">
        <v>2212</v>
      </c>
      <c r="I426" s="216" t="s">
        <v>742</v>
      </c>
      <c r="J426" s="264">
        <v>1810</v>
      </c>
      <c r="K426" s="264">
        <v>1859</v>
      </c>
      <c r="L426" s="265">
        <v>1858</v>
      </c>
      <c r="M426" s="249">
        <v>0</v>
      </c>
      <c r="N426" s="200">
        <v>0</v>
      </c>
      <c r="P426" s="263">
        <v>2212</v>
      </c>
      <c r="Q426" s="270">
        <v>5.9</v>
      </c>
      <c r="R426" s="267"/>
      <c r="S426" s="267"/>
      <c r="T426" s="267"/>
      <c r="U426" s="267"/>
      <c r="V426" s="267"/>
      <c r="W426" s="267"/>
      <c r="Y426" s="263">
        <v>2212</v>
      </c>
      <c r="Z426" s="270">
        <v>0</v>
      </c>
      <c r="AA426" s="267"/>
      <c r="AB426" s="267"/>
      <c r="AC426" s="267"/>
      <c r="AD426" s="267"/>
      <c r="AE426" s="267"/>
      <c r="AF426" s="267"/>
      <c r="AH426" s="263">
        <v>2212</v>
      </c>
      <c r="AI426" s="254">
        <v>-5.9</v>
      </c>
      <c r="AJ426" s="254" t="s">
        <v>82</v>
      </c>
      <c r="AK426" s="254" t="s">
        <v>82</v>
      </c>
      <c r="AL426" s="254" t="s">
        <v>82</v>
      </c>
      <c r="AM426" s="254" t="s">
        <v>82</v>
      </c>
      <c r="AN426" s="254" t="s">
        <v>82</v>
      </c>
      <c r="AO426" s="254" t="s">
        <v>82</v>
      </c>
    </row>
    <row r="427" spans="1:41" x14ac:dyDescent="0.2">
      <c r="A427" s="249">
        <v>423</v>
      </c>
      <c r="B427" s="195">
        <v>18</v>
      </c>
      <c r="C427" s="195" t="s">
        <v>739</v>
      </c>
      <c r="D427" s="195">
        <v>6</v>
      </c>
      <c r="E427" s="195" t="s">
        <v>743</v>
      </c>
      <c r="F427" s="196">
        <v>44316</v>
      </c>
      <c r="G427" s="250" t="s">
        <v>8</v>
      </c>
      <c r="H427" s="263">
        <v>2118</v>
      </c>
      <c r="I427" s="216" t="s">
        <v>744</v>
      </c>
      <c r="J427" s="264">
        <v>1815</v>
      </c>
      <c r="K427" s="264">
        <v>1839</v>
      </c>
      <c r="L427" s="265">
        <v>1837</v>
      </c>
      <c r="M427" s="249">
        <v>0</v>
      </c>
      <c r="N427" s="200">
        <v>0</v>
      </c>
      <c r="P427" s="263">
        <v>2118</v>
      </c>
      <c r="Q427" s="270">
        <v>3.5</v>
      </c>
      <c r="R427" s="267"/>
      <c r="S427" s="267"/>
      <c r="T427" s="267"/>
      <c r="U427" s="267"/>
      <c r="V427" s="267"/>
      <c r="W427" s="267"/>
      <c r="Y427" s="263">
        <v>2118</v>
      </c>
      <c r="Z427" s="270">
        <v>0</v>
      </c>
      <c r="AA427" s="267"/>
      <c r="AB427" s="267"/>
      <c r="AC427" s="267"/>
      <c r="AD427" s="267"/>
      <c r="AE427" s="267"/>
      <c r="AF427" s="267"/>
      <c r="AH427" s="263">
        <v>2118</v>
      </c>
      <c r="AI427" s="254">
        <v>-3.5</v>
      </c>
      <c r="AJ427" s="254" t="s">
        <v>82</v>
      </c>
      <c r="AK427" s="254" t="s">
        <v>82</v>
      </c>
      <c r="AL427" s="254" t="s">
        <v>82</v>
      </c>
      <c r="AM427" s="254" t="s">
        <v>82</v>
      </c>
      <c r="AN427" s="254" t="s">
        <v>82</v>
      </c>
      <c r="AO427" s="254" t="s">
        <v>82</v>
      </c>
    </row>
    <row r="428" spans="1:41" x14ac:dyDescent="0.2">
      <c r="A428" s="249">
        <v>424</v>
      </c>
      <c r="B428" s="195">
        <v>18</v>
      </c>
      <c r="C428" s="195" t="s">
        <v>739</v>
      </c>
      <c r="D428" s="195">
        <v>6</v>
      </c>
      <c r="E428" s="195" t="s">
        <v>743</v>
      </c>
      <c r="F428" s="196">
        <v>44426</v>
      </c>
      <c r="G428" s="250" t="s">
        <v>6</v>
      </c>
      <c r="H428" s="263">
        <v>2134</v>
      </c>
      <c r="I428" s="216" t="s">
        <v>744</v>
      </c>
      <c r="J428" s="264">
        <v>1815</v>
      </c>
      <c r="K428" s="264">
        <v>1844</v>
      </c>
      <c r="L428" s="265">
        <v>1842</v>
      </c>
      <c r="M428" s="249">
        <v>0</v>
      </c>
      <c r="N428" s="200">
        <v>0</v>
      </c>
      <c r="P428" s="263">
        <v>2134</v>
      </c>
      <c r="Q428" s="270">
        <v>5.0999999999999996</v>
      </c>
      <c r="R428" s="267"/>
      <c r="S428" s="267"/>
      <c r="T428" s="267"/>
      <c r="U428" s="267"/>
      <c r="V428" s="267"/>
      <c r="W428" s="267"/>
      <c r="Y428" s="263">
        <v>2134</v>
      </c>
      <c r="Z428" s="270">
        <v>0</v>
      </c>
      <c r="AA428" s="267"/>
      <c r="AB428" s="267"/>
      <c r="AC428" s="267"/>
      <c r="AD428" s="267"/>
      <c r="AE428" s="267"/>
      <c r="AF428" s="267"/>
      <c r="AH428" s="263">
        <v>2134</v>
      </c>
      <c r="AI428" s="254">
        <v>-5.0999999999999996</v>
      </c>
      <c r="AJ428" s="254" t="s">
        <v>82</v>
      </c>
      <c r="AK428" s="254" t="s">
        <v>82</v>
      </c>
      <c r="AL428" s="254" t="s">
        <v>82</v>
      </c>
      <c r="AM428" s="254" t="s">
        <v>82</v>
      </c>
      <c r="AN428" s="254" t="s">
        <v>82</v>
      </c>
      <c r="AO428" s="254" t="s">
        <v>82</v>
      </c>
    </row>
    <row r="429" spans="1:41" x14ac:dyDescent="0.2">
      <c r="A429" s="249">
        <v>425</v>
      </c>
      <c r="B429" s="195">
        <v>18</v>
      </c>
      <c r="C429" s="195" t="s">
        <v>739</v>
      </c>
      <c r="D429" s="195">
        <v>6</v>
      </c>
      <c r="E429" s="195" t="s">
        <v>743</v>
      </c>
      <c r="F429" s="196">
        <v>44628</v>
      </c>
      <c r="G429" s="250" t="s">
        <v>5</v>
      </c>
      <c r="H429" s="263">
        <v>2211</v>
      </c>
      <c r="I429" s="216" t="s">
        <v>744</v>
      </c>
      <c r="J429" s="264">
        <v>1815</v>
      </c>
      <c r="K429" s="264">
        <v>1854</v>
      </c>
      <c r="L429" s="265">
        <v>1851</v>
      </c>
      <c r="M429" s="249">
        <v>0</v>
      </c>
      <c r="N429" s="200">
        <v>0</v>
      </c>
      <c r="P429" s="263">
        <v>2211</v>
      </c>
      <c r="Q429" s="270">
        <v>2.5</v>
      </c>
      <c r="R429" s="267"/>
      <c r="S429" s="267"/>
      <c r="T429" s="267"/>
      <c r="U429" s="267"/>
      <c r="V429" s="267"/>
      <c r="W429" s="267"/>
      <c r="Y429" s="263">
        <v>2211</v>
      </c>
      <c r="Z429" s="270">
        <v>0</v>
      </c>
      <c r="AA429" s="267"/>
      <c r="AB429" s="267"/>
      <c r="AC429" s="267"/>
      <c r="AD429" s="267"/>
      <c r="AE429" s="267"/>
      <c r="AF429" s="267"/>
      <c r="AH429" s="263">
        <v>2211</v>
      </c>
      <c r="AI429" s="254">
        <v>-2.5</v>
      </c>
      <c r="AJ429" s="254" t="s">
        <v>82</v>
      </c>
      <c r="AK429" s="254" t="s">
        <v>82</v>
      </c>
      <c r="AL429" s="254" t="s">
        <v>82</v>
      </c>
      <c r="AM429" s="254" t="s">
        <v>82</v>
      </c>
      <c r="AN429" s="254" t="s">
        <v>82</v>
      </c>
      <c r="AO429" s="254" t="s">
        <v>82</v>
      </c>
    </row>
    <row r="430" spans="1:41" x14ac:dyDescent="0.2">
      <c r="A430" s="249">
        <v>426</v>
      </c>
      <c r="B430" s="195">
        <v>19</v>
      </c>
      <c r="C430" s="195" t="s">
        <v>745</v>
      </c>
      <c r="D430" s="195">
        <v>1</v>
      </c>
      <c r="E430" s="195" t="s">
        <v>420</v>
      </c>
      <c r="F430" s="196">
        <v>44199</v>
      </c>
      <c r="G430" s="250" t="s">
        <v>10</v>
      </c>
      <c r="H430" s="271">
        <v>2101</v>
      </c>
      <c r="I430" s="216" t="s">
        <v>172</v>
      </c>
      <c r="J430" s="264">
        <v>1900</v>
      </c>
      <c r="K430" s="264">
        <v>2049</v>
      </c>
      <c r="L430" s="265">
        <v>2046</v>
      </c>
      <c r="M430" s="249">
        <v>0</v>
      </c>
      <c r="N430" s="200">
        <v>0</v>
      </c>
      <c r="O430" s="269"/>
      <c r="P430" s="263">
        <v>2101</v>
      </c>
      <c r="Q430" s="270">
        <v>5.9</v>
      </c>
      <c r="R430" s="267"/>
      <c r="S430" s="267"/>
      <c r="T430" s="267"/>
      <c r="U430" s="267"/>
      <c r="V430" s="267"/>
      <c r="W430" s="267"/>
      <c r="Y430" s="263">
        <v>2101</v>
      </c>
      <c r="Z430" s="270">
        <v>3.4</v>
      </c>
      <c r="AA430" s="267"/>
      <c r="AB430" s="267"/>
      <c r="AC430" s="267"/>
      <c r="AD430" s="267"/>
      <c r="AE430" s="267"/>
      <c r="AF430" s="267"/>
      <c r="AH430" s="263">
        <v>2101</v>
      </c>
      <c r="AI430" s="254">
        <v>-2.5000000000000004</v>
      </c>
      <c r="AJ430" s="254" t="s">
        <v>82</v>
      </c>
      <c r="AK430" s="254" t="s">
        <v>82</v>
      </c>
      <c r="AL430" s="254" t="s">
        <v>82</v>
      </c>
      <c r="AM430" s="254" t="s">
        <v>82</v>
      </c>
      <c r="AN430" s="254" t="s">
        <v>82</v>
      </c>
      <c r="AO430" s="254" t="s">
        <v>82</v>
      </c>
    </row>
    <row r="431" spans="1:41" x14ac:dyDescent="0.2">
      <c r="A431" s="249">
        <v>427</v>
      </c>
      <c r="B431" s="195">
        <v>19</v>
      </c>
      <c r="C431" s="195" t="s">
        <v>745</v>
      </c>
      <c r="D431" s="195">
        <v>1</v>
      </c>
      <c r="E431" s="195" t="s">
        <v>420</v>
      </c>
      <c r="F431" s="196">
        <v>44439</v>
      </c>
      <c r="G431" s="250" t="s">
        <v>5</v>
      </c>
      <c r="H431" s="263">
        <v>2136</v>
      </c>
      <c r="I431" s="216" t="s">
        <v>205</v>
      </c>
      <c r="J431" s="264">
        <v>1355</v>
      </c>
      <c r="K431" s="264">
        <v>1549</v>
      </c>
      <c r="L431" s="265">
        <v>1543</v>
      </c>
      <c r="M431" s="249">
        <v>1</v>
      </c>
      <c r="N431" s="200">
        <v>0</v>
      </c>
      <c r="O431" s="269"/>
      <c r="P431" s="263">
        <v>2136</v>
      </c>
      <c r="Q431" s="270">
        <v>2.4</v>
      </c>
      <c r="R431" s="270">
        <v>2.2999999999999998</v>
      </c>
      <c r="S431" s="270">
        <v>2.2000000000000002</v>
      </c>
      <c r="T431" s="270">
        <v>0.1</v>
      </c>
      <c r="U431" s="270">
        <v>1.6</v>
      </c>
      <c r="V431" s="270">
        <v>1.6</v>
      </c>
      <c r="W431" s="270">
        <v>0</v>
      </c>
      <c r="Y431" s="263">
        <v>2136</v>
      </c>
      <c r="Z431" s="270">
        <v>0</v>
      </c>
      <c r="AA431" s="270">
        <v>2.2000000000000002</v>
      </c>
      <c r="AB431" s="270">
        <v>2.2000000000000002</v>
      </c>
      <c r="AC431" s="270">
        <v>0</v>
      </c>
      <c r="AD431" s="270">
        <v>1.6</v>
      </c>
      <c r="AE431" s="270">
        <v>1.6</v>
      </c>
      <c r="AF431" s="270">
        <v>0</v>
      </c>
      <c r="AH431" s="263">
        <v>2136</v>
      </c>
      <c r="AI431" s="254">
        <v>-2.4</v>
      </c>
      <c r="AJ431" s="254">
        <v>-9.9999999999999645E-2</v>
      </c>
      <c r="AK431" s="254" t="s">
        <v>82</v>
      </c>
      <c r="AL431" s="254">
        <v>-0.1</v>
      </c>
      <c r="AM431" s="254" t="s">
        <v>82</v>
      </c>
      <c r="AN431" s="254" t="s">
        <v>82</v>
      </c>
      <c r="AO431" s="254" t="s">
        <v>82</v>
      </c>
    </row>
    <row r="432" spans="1:41" x14ac:dyDescent="0.2">
      <c r="A432" s="249">
        <v>428</v>
      </c>
      <c r="B432" s="195">
        <v>19</v>
      </c>
      <c r="C432" s="195" t="s">
        <v>745</v>
      </c>
      <c r="D432" s="195">
        <v>1</v>
      </c>
      <c r="E432" s="195" t="s">
        <v>420</v>
      </c>
      <c r="F432" s="196">
        <v>44537</v>
      </c>
      <c r="G432" s="250" t="s">
        <v>5</v>
      </c>
      <c r="H432" s="263">
        <v>2150</v>
      </c>
      <c r="I432" s="216" t="s">
        <v>99</v>
      </c>
      <c r="J432" s="264">
        <v>550</v>
      </c>
      <c r="K432" s="264">
        <v>759</v>
      </c>
      <c r="L432" s="265">
        <v>639</v>
      </c>
      <c r="M432" s="249">
        <v>1</v>
      </c>
      <c r="N432" s="200">
        <v>0</v>
      </c>
      <c r="O432" s="269"/>
      <c r="P432" s="263">
        <v>2150</v>
      </c>
      <c r="Q432" s="270">
        <v>6.9</v>
      </c>
      <c r="R432" s="270">
        <v>5.3</v>
      </c>
      <c r="S432" s="270">
        <v>5</v>
      </c>
      <c r="T432" s="270">
        <v>0.3</v>
      </c>
      <c r="U432" s="270">
        <v>4.7</v>
      </c>
      <c r="V432" s="270">
        <v>4.7</v>
      </c>
      <c r="W432" s="270" t="s">
        <v>84</v>
      </c>
      <c r="Y432" s="263">
        <v>2150</v>
      </c>
      <c r="Z432" s="270">
        <v>0</v>
      </c>
      <c r="AA432" s="270">
        <v>5</v>
      </c>
      <c r="AB432" s="270">
        <v>5</v>
      </c>
      <c r="AC432" s="270">
        <v>0</v>
      </c>
      <c r="AD432" s="270">
        <v>4.7</v>
      </c>
      <c r="AE432" s="270">
        <v>4.7</v>
      </c>
      <c r="AF432" s="270" t="s">
        <v>84</v>
      </c>
      <c r="AH432" s="263">
        <v>2150</v>
      </c>
      <c r="AI432" s="254">
        <v>-6.9</v>
      </c>
      <c r="AJ432" s="254">
        <v>-0.29999999999999982</v>
      </c>
      <c r="AK432" s="254" t="s">
        <v>82</v>
      </c>
      <c r="AL432" s="254">
        <v>-0.3</v>
      </c>
      <c r="AM432" s="254" t="s">
        <v>82</v>
      </c>
      <c r="AN432" s="254" t="s">
        <v>82</v>
      </c>
      <c r="AO432" s="254" t="s">
        <v>82</v>
      </c>
    </row>
    <row r="433" spans="1:41" x14ac:dyDescent="0.2">
      <c r="A433" s="249">
        <v>429</v>
      </c>
      <c r="B433" s="195">
        <v>19</v>
      </c>
      <c r="C433" s="195" t="s">
        <v>745</v>
      </c>
      <c r="D433" s="195">
        <v>2</v>
      </c>
      <c r="E433" s="195" t="s">
        <v>422</v>
      </c>
      <c r="F433" s="196">
        <v>44395</v>
      </c>
      <c r="G433" s="250" t="s">
        <v>10</v>
      </c>
      <c r="H433" s="263">
        <v>2129</v>
      </c>
      <c r="I433" s="216" t="s">
        <v>423</v>
      </c>
      <c r="J433" s="264">
        <v>615</v>
      </c>
      <c r="K433" s="264">
        <v>644</v>
      </c>
      <c r="L433" s="265">
        <v>630</v>
      </c>
      <c r="M433" s="249">
        <v>1</v>
      </c>
      <c r="N433" s="200">
        <v>0</v>
      </c>
      <c r="O433" s="269"/>
      <c r="P433" s="263">
        <v>2129</v>
      </c>
      <c r="Q433" s="270">
        <v>4.4000000000000004</v>
      </c>
      <c r="R433" s="270">
        <v>3.1</v>
      </c>
      <c r="S433" s="270">
        <v>0.6</v>
      </c>
      <c r="T433" s="270">
        <v>2.5</v>
      </c>
      <c r="U433" s="270">
        <v>1</v>
      </c>
      <c r="V433" s="270">
        <v>0.4</v>
      </c>
      <c r="W433" s="270">
        <v>0.6</v>
      </c>
      <c r="Y433" s="263">
        <v>2129</v>
      </c>
      <c r="Z433" s="270">
        <v>2.9</v>
      </c>
      <c r="AA433" s="270">
        <v>2.9</v>
      </c>
      <c r="AB433" s="270">
        <v>0.6</v>
      </c>
      <c r="AC433" s="270">
        <v>2.2999999999999998</v>
      </c>
      <c r="AD433" s="270">
        <v>1</v>
      </c>
      <c r="AE433" s="270">
        <v>0.4</v>
      </c>
      <c r="AF433" s="270">
        <v>0.6</v>
      </c>
      <c r="AH433" s="263">
        <v>2129</v>
      </c>
      <c r="AI433" s="254">
        <v>-1.5000000000000004</v>
      </c>
      <c r="AJ433" s="254">
        <v>-0.20000000000000018</v>
      </c>
      <c r="AK433" s="254" t="s">
        <v>82</v>
      </c>
      <c r="AL433" s="254">
        <v>-0.20000000000000018</v>
      </c>
      <c r="AM433" s="254" t="s">
        <v>82</v>
      </c>
      <c r="AN433" s="254" t="s">
        <v>82</v>
      </c>
      <c r="AO433" s="254" t="s">
        <v>82</v>
      </c>
    </row>
    <row r="434" spans="1:41" x14ac:dyDescent="0.2">
      <c r="A434" s="249">
        <v>430</v>
      </c>
      <c r="B434" s="195">
        <v>19</v>
      </c>
      <c r="C434" s="195" t="s">
        <v>745</v>
      </c>
      <c r="D434" s="195">
        <v>3</v>
      </c>
      <c r="E434" s="195" t="s">
        <v>746</v>
      </c>
      <c r="F434" s="196">
        <v>44256</v>
      </c>
      <c r="G434" s="250" t="s">
        <v>4</v>
      </c>
      <c r="H434" s="263">
        <v>2110</v>
      </c>
      <c r="I434" s="216" t="s">
        <v>561</v>
      </c>
      <c r="J434" s="264">
        <v>800</v>
      </c>
      <c r="K434" s="264">
        <v>949</v>
      </c>
      <c r="L434" s="265">
        <v>815</v>
      </c>
      <c r="M434" s="249">
        <v>0</v>
      </c>
      <c r="N434" s="200">
        <v>0</v>
      </c>
      <c r="O434" s="269"/>
      <c r="P434" s="263">
        <v>2110</v>
      </c>
      <c r="Q434" s="270">
        <v>3.2</v>
      </c>
      <c r="R434" s="267"/>
      <c r="S434" s="267"/>
      <c r="T434" s="267"/>
      <c r="U434" s="267"/>
      <c r="V434" s="267"/>
      <c r="W434" s="267"/>
      <c r="Y434" s="263">
        <v>2110</v>
      </c>
      <c r="Z434" s="270">
        <v>0</v>
      </c>
      <c r="AA434" s="267"/>
      <c r="AB434" s="267"/>
      <c r="AC434" s="267"/>
      <c r="AD434" s="267"/>
      <c r="AE434" s="267"/>
      <c r="AF434" s="267"/>
      <c r="AH434" s="263">
        <v>2110</v>
      </c>
      <c r="AI434" s="254">
        <v>-3.2</v>
      </c>
      <c r="AJ434" s="254" t="s">
        <v>82</v>
      </c>
      <c r="AK434" s="254" t="s">
        <v>82</v>
      </c>
      <c r="AL434" s="254" t="s">
        <v>82</v>
      </c>
      <c r="AM434" s="254" t="s">
        <v>82</v>
      </c>
      <c r="AN434" s="254" t="s">
        <v>82</v>
      </c>
      <c r="AO434" s="254" t="s">
        <v>82</v>
      </c>
    </row>
    <row r="435" spans="1:41" x14ac:dyDescent="0.2">
      <c r="A435" s="249">
        <v>431</v>
      </c>
      <c r="B435" s="195">
        <v>19</v>
      </c>
      <c r="C435" s="195" t="s">
        <v>745</v>
      </c>
      <c r="D435" s="195">
        <v>3</v>
      </c>
      <c r="E435" s="195" t="s">
        <v>746</v>
      </c>
      <c r="F435" s="196">
        <v>44281</v>
      </c>
      <c r="G435" s="250" t="s">
        <v>8</v>
      </c>
      <c r="H435" s="263">
        <v>2113</v>
      </c>
      <c r="I435" s="216" t="s">
        <v>747</v>
      </c>
      <c r="J435" s="264">
        <v>800</v>
      </c>
      <c r="K435" s="264">
        <v>949</v>
      </c>
      <c r="L435" s="265">
        <v>815</v>
      </c>
      <c r="M435" s="249">
        <v>0</v>
      </c>
      <c r="N435" s="200">
        <v>0</v>
      </c>
      <c r="O435" s="269"/>
      <c r="P435" s="263">
        <v>2113</v>
      </c>
      <c r="Q435" s="270">
        <v>2.8</v>
      </c>
      <c r="R435" s="267"/>
      <c r="S435" s="267"/>
      <c r="T435" s="267"/>
      <c r="U435" s="267"/>
      <c r="V435" s="267"/>
      <c r="W435" s="267"/>
      <c r="Y435" s="263">
        <v>2113</v>
      </c>
      <c r="Z435" s="270">
        <v>0</v>
      </c>
      <c r="AA435" s="267"/>
      <c r="AB435" s="267"/>
      <c r="AC435" s="267"/>
      <c r="AD435" s="267"/>
      <c r="AE435" s="267"/>
      <c r="AF435" s="267"/>
      <c r="AH435" s="263">
        <v>2113</v>
      </c>
      <c r="AI435" s="254">
        <v>-2.8</v>
      </c>
      <c r="AJ435" s="254" t="s">
        <v>82</v>
      </c>
      <c r="AK435" s="254" t="s">
        <v>82</v>
      </c>
      <c r="AL435" s="254" t="s">
        <v>82</v>
      </c>
      <c r="AM435" s="254" t="s">
        <v>82</v>
      </c>
      <c r="AN435" s="254" t="s">
        <v>82</v>
      </c>
      <c r="AO435" s="254" t="s">
        <v>82</v>
      </c>
    </row>
    <row r="436" spans="1:41" x14ac:dyDescent="0.2">
      <c r="A436" s="249">
        <v>432</v>
      </c>
      <c r="B436" s="195">
        <v>19</v>
      </c>
      <c r="C436" s="195" t="s">
        <v>745</v>
      </c>
      <c r="D436" s="195">
        <v>3</v>
      </c>
      <c r="E436" s="195" t="s">
        <v>746</v>
      </c>
      <c r="F436" s="196">
        <v>44285</v>
      </c>
      <c r="G436" s="250" t="s">
        <v>5</v>
      </c>
      <c r="H436" s="263">
        <v>2114</v>
      </c>
      <c r="I436" s="216" t="s">
        <v>330</v>
      </c>
      <c r="J436" s="264">
        <v>1155</v>
      </c>
      <c r="K436" s="264">
        <v>1444</v>
      </c>
      <c r="L436" s="265">
        <v>1327</v>
      </c>
      <c r="M436" s="249">
        <v>0</v>
      </c>
      <c r="N436" s="200">
        <v>0</v>
      </c>
      <c r="P436" s="263">
        <v>2114</v>
      </c>
      <c r="Q436" s="270">
        <v>4.0999999999999996</v>
      </c>
      <c r="R436" s="267"/>
      <c r="S436" s="267"/>
      <c r="T436" s="267"/>
      <c r="U436" s="267"/>
      <c r="V436" s="267"/>
      <c r="W436" s="267"/>
      <c r="Y436" s="263">
        <v>2114</v>
      </c>
      <c r="Z436" s="270">
        <v>0</v>
      </c>
      <c r="AA436" s="267"/>
      <c r="AB436" s="267"/>
      <c r="AC436" s="267"/>
      <c r="AD436" s="267"/>
      <c r="AE436" s="267"/>
      <c r="AF436" s="267"/>
      <c r="AH436" s="263">
        <v>2114</v>
      </c>
      <c r="AI436" s="254">
        <v>-4.0999999999999996</v>
      </c>
      <c r="AJ436" s="254" t="s">
        <v>82</v>
      </c>
      <c r="AK436" s="254" t="s">
        <v>82</v>
      </c>
      <c r="AL436" s="254" t="s">
        <v>82</v>
      </c>
      <c r="AM436" s="254" t="s">
        <v>82</v>
      </c>
      <c r="AN436" s="254" t="s">
        <v>82</v>
      </c>
      <c r="AO436" s="254" t="s">
        <v>82</v>
      </c>
    </row>
    <row r="437" spans="1:41" x14ac:dyDescent="0.2">
      <c r="A437" s="249">
        <v>433</v>
      </c>
      <c r="B437" s="195">
        <v>19</v>
      </c>
      <c r="C437" s="195" t="s">
        <v>745</v>
      </c>
      <c r="D437" s="195">
        <v>3</v>
      </c>
      <c r="E437" s="195" t="s">
        <v>746</v>
      </c>
      <c r="F437" s="196">
        <v>44365</v>
      </c>
      <c r="G437" s="250" t="s">
        <v>8</v>
      </c>
      <c r="H437" s="263">
        <v>2125</v>
      </c>
      <c r="I437" s="216" t="s">
        <v>217</v>
      </c>
      <c r="J437" s="264">
        <v>800</v>
      </c>
      <c r="K437" s="264">
        <v>949</v>
      </c>
      <c r="L437" s="265">
        <v>947</v>
      </c>
      <c r="M437" s="249">
        <v>1</v>
      </c>
      <c r="N437" s="200">
        <v>0</v>
      </c>
      <c r="O437" s="269"/>
      <c r="P437" s="263">
        <v>2125</v>
      </c>
      <c r="Q437" s="270">
        <v>2.5</v>
      </c>
      <c r="R437" s="270">
        <v>6.1</v>
      </c>
      <c r="S437" s="270">
        <v>6</v>
      </c>
      <c r="T437" s="270">
        <v>0.1</v>
      </c>
      <c r="U437" s="270">
        <v>3.1</v>
      </c>
      <c r="V437" s="270">
        <v>3.1</v>
      </c>
      <c r="W437" s="270">
        <v>0</v>
      </c>
      <c r="Y437" s="263">
        <v>2125</v>
      </c>
      <c r="Z437" s="270">
        <v>0</v>
      </c>
      <c r="AA437" s="270">
        <v>6</v>
      </c>
      <c r="AB437" s="270">
        <v>6</v>
      </c>
      <c r="AC437" s="270">
        <v>0</v>
      </c>
      <c r="AD437" s="270">
        <v>3.1</v>
      </c>
      <c r="AE437" s="270">
        <v>3.1</v>
      </c>
      <c r="AF437" s="270">
        <v>0</v>
      </c>
      <c r="AH437" s="263">
        <v>2125</v>
      </c>
      <c r="AI437" s="254">
        <v>-2.5</v>
      </c>
      <c r="AJ437" s="254">
        <v>-9.9999999999999645E-2</v>
      </c>
      <c r="AK437" s="254" t="s">
        <v>82</v>
      </c>
      <c r="AL437" s="254">
        <v>-0.1</v>
      </c>
      <c r="AM437" s="254" t="s">
        <v>82</v>
      </c>
      <c r="AN437" s="254" t="s">
        <v>82</v>
      </c>
      <c r="AO437" s="254" t="s">
        <v>82</v>
      </c>
    </row>
    <row r="438" spans="1:41" x14ac:dyDescent="0.2">
      <c r="A438" s="249">
        <v>434</v>
      </c>
      <c r="B438" s="195">
        <v>19</v>
      </c>
      <c r="C438" s="195" t="s">
        <v>745</v>
      </c>
      <c r="D438" s="195">
        <v>3</v>
      </c>
      <c r="E438" s="195" t="s">
        <v>746</v>
      </c>
      <c r="F438" s="196">
        <v>44365</v>
      </c>
      <c r="G438" s="250" t="s">
        <v>8</v>
      </c>
      <c r="H438" s="263">
        <v>2125</v>
      </c>
      <c r="I438" s="216" t="s">
        <v>748</v>
      </c>
      <c r="J438" s="264">
        <v>2000</v>
      </c>
      <c r="K438" s="264">
        <v>2157</v>
      </c>
      <c r="L438" s="265">
        <v>2137</v>
      </c>
      <c r="M438" s="249">
        <v>1</v>
      </c>
      <c r="N438" s="200">
        <v>0</v>
      </c>
      <c r="P438" s="263">
        <v>2125</v>
      </c>
      <c r="Q438" s="270">
        <v>11.4</v>
      </c>
      <c r="R438" s="270">
        <v>7.1</v>
      </c>
      <c r="S438" s="270">
        <v>6.1</v>
      </c>
      <c r="T438" s="270">
        <v>1</v>
      </c>
      <c r="U438" s="270">
        <v>4.9000000000000004</v>
      </c>
      <c r="V438" s="270">
        <v>4.5</v>
      </c>
      <c r="W438" s="270">
        <v>0.4</v>
      </c>
      <c r="Y438" s="263">
        <v>2125</v>
      </c>
      <c r="Z438" s="270">
        <v>0</v>
      </c>
      <c r="AA438" s="270">
        <v>6.6</v>
      </c>
      <c r="AB438" s="270">
        <v>6.1</v>
      </c>
      <c r="AC438" s="270">
        <v>0.5</v>
      </c>
      <c r="AD438" s="270">
        <v>4.9000000000000004</v>
      </c>
      <c r="AE438" s="270">
        <v>4.5</v>
      </c>
      <c r="AF438" s="270">
        <v>0.4</v>
      </c>
      <c r="AH438" s="263">
        <v>2125</v>
      </c>
      <c r="AI438" s="254">
        <v>-11.4</v>
      </c>
      <c r="AJ438" s="254">
        <v>-0.5</v>
      </c>
      <c r="AK438" s="254" t="s">
        <v>82</v>
      </c>
      <c r="AL438" s="254">
        <v>-0.5</v>
      </c>
      <c r="AM438" s="254" t="s">
        <v>82</v>
      </c>
      <c r="AN438" s="254" t="s">
        <v>82</v>
      </c>
      <c r="AO438" s="254" t="s">
        <v>82</v>
      </c>
    </row>
    <row r="439" spans="1:41" x14ac:dyDescent="0.2">
      <c r="A439" s="249">
        <v>435</v>
      </c>
      <c r="B439" s="195">
        <v>19</v>
      </c>
      <c r="C439" s="195" t="s">
        <v>745</v>
      </c>
      <c r="D439" s="195">
        <v>3</v>
      </c>
      <c r="E439" s="195" t="s">
        <v>746</v>
      </c>
      <c r="F439" s="196">
        <v>44435</v>
      </c>
      <c r="G439" s="250" t="s">
        <v>8</v>
      </c>
      <c r="H439" s="263">
        <v>2135</v>
      </c>
      <c r="I439" s="216" t="s">
        <v>330</v>
      </c>
      <c r="J439" s="264">
        <v>1155</v>
      </c>
      <c r="K439" s="264">
        <v>1444</v>
      </c>
      <c r="L439" s="265">
        <v>1333</v>
      </c>
      <c r="M439" s="249">
        <v>0</v>
      </c>
      <c r="N439" s="200">
        <v>0</v>
      </c>
      <c r="P439" s="263">
        <v>2135</v>
      </c>
      <c r="Q439" s="270">
        <v>3.7</v>
      </c>
      <c r="R439" s="267"/>
      <c r="S439" s="267"/>
      <c r="T439" s="267"/>
      <c r="U439" s="267"/>
      <c r="V439" s="267"/>
      <c r="W439" s="267"/>
      <c r="Y439" s="263">
        <v>2135</v>
      </c>
      <c r="Z439" s="270">
        <v>0</v>
      </c>
      <c r="AA439" s="267"/>
      <c r="AB439" s="267"/>
      <c r="AC439" s="267"/>
      <c r="AD439" s="267"/>
      <c r="AE439" s="267"/>
      <c r="AF439" s="267"/>
      <c r="AH439" s="263">
        <v>2135</v>
      </c>
      <c r="AI439" s="254">
        <v>-3.7</v>
      </c>
      <c r="AJ439" s="254" t="s">
        <v>82</v>
      </c>
      <c r="AK439" s="254" t="s">
        <v>82</v>
      </c>
      <c r="AL439" s="254" t="s">
        <v>82</v>
      </c>
      <c r="AM439" s="254" t="s">
        <v>82</v>
      </c>
      <c r="AN439" s="254" t="s">
        <v>82</v>
      </c>
      <c r="AO439" s="254" t="s">
        <v>82</v>
      </c>
    </row>
    <row r="440" spans="1:41" x14ac:dyDescent="0.2">
      <c r="A440" s="249">
        <v>436</v>
      </c>
      <c r="B440" s="195">
        <v>19</v>
      </c>
      <c r="C440" s="195" t="s">
        <v>745</v>
      </c>
      <c r="D440" s="195">
        <v>3</v>
      </c>
      <c r="E440" s="195" t="s">
        <v>746</v>
      </c>
      <c r="F440" s="196">
        <v>44544</v>
      </c>
      <c r="G440" s="250" t="s">
        <v>5</v>
      </c>
      <c r="H440" s="263">
        <v>2151</v>
      </c>
      <c r="I440" s="216" t="s">
        <v>749</v>
      </c>
      <c r="J440" s="264">
        <v>2200</v>
      </c>
      <c r="K440" s="264">
        <v>2253</v>
      </c>
      <c r="L440" s="265">
        <v>2230</v>
      </c>
      <c r="M440" s="249">
        <v>0</v>
      </c>
      <c r="N440" s="200">
        <v>0</v>
      </c>
      <c r="P440" s="263">
        <v>2151</v>
      </c>
      <c r="Q440" s="270">
        <v>4.3</v>
      </c>
      <c r="R440" s="267"/>
      <c r="S440" s="267"/>
      <c r="T440" s="267"/>
      <c r="U440" s="267"/>
      <c r="V440" s="267"/>
      <c r="W440" s="267"/>
      <c r="Y440" s="263">
        <v>2151</v>
      </c>
      <c r="Z440" s="270">
        <v>0.2</v>
      </c>
      <c r="AA440" s="267"/>
      <c r="AB440" s="267"/>
      <c r="AC440" s="267"/>
      <c r="AD440" s="267"/>
      <c r="AE440" s="267"/>
      <c r="AF440" s="267"/>
      <c r="AH440" s="263">
        <v>2151</v>
      </c>
      <c r="AI440" s="254">
        <v>-4.0999999999999996</v>
      </c>
      <c r="AJ440" s="254" t="s">
        <v>82</v>
      </c>
      <c r="AK440" s="254" t="s">
        <v>82</v>
      </c>
      <c r="AL440" s="254" t="s">
        <v>82</v>
      </c>
      <c r="AM440" s="254" t="s">
        <v>82</v>
      </c>
      <c r="AN440" s="254" t="s">
        <v>82</v>
      </c>
      <c r="AO440" s="254" t="s">
        <v>82</v>
      </c>
    </row>
    <row r="441" spans="1:41" x14ac:dyDescent="0.2">
      <c r="A441" s="249">
        <v>437</v>
      </c>
      <c r="B441" s="195">
        <v>19</v>
      </c>
      <c r="C441" s="195" t="s">
        <v>745</v>
      </c>
      <c r="D441" s="195">
        <v>4</v>
      </c>
      <c r="E441" s="195" t="s">
        <v>549</v>
      </c>
      <c r="F441" s="196">
        <v>43949</v>
      </c>
      <c r="G441" s="250" t="s">
        <v>5</v>
      </c>
      <c r="H441" s="263">
        <v>2018</v>
      </c>
      <c r="I441" s="216" t="s">
        <v>750</v>
      </c>
      <c r="J441" s="264">
        <v>2700</v>
      </c>
      <c r="K441" s="264">
        <v>2742</v>
      </c>
      <c r="L441" s="265">
        <v>2729</v>
      </c>
      <c r="M441" s="249">
        <v>0</v>
      </c>
      <c r="N441" s="200">
        <v>0</v>
      </c>
      <c r="O441" s="269"/>
      <c r="P441" s="263">
        <v>2018</v>
      </c>
      <c r="Q441" s="270">
        <v>8.3000000000000007</v>
      </c>
      <c r="R441" s="267"/>
      <c r="S441" s="267"/>
      <c r="T441" s="267"/>
      <c r="U441" s="267"/>
      <c r="V441" s="267"/>
      <c r="W441" s="267"/>
      <c r="Y441" s="263">
        <v>2018</v>
      </c>
      <c r="Z441" s="270">
        <v>1</v>
      </c>
      <c r="AA441" s="267"/>
      <c r="AB441" s="267"/>
      <c r="AC441" s="267"/>
      <c r="AD441" s="267"/>
      <c r="AE441" s="267"/>
      <c r="AF441" s="267"/>
      <c r="AH441" s="263">
        <v>2018</v>
      </c>
      <c r="AI441" s="254">
        <v>-7.3000000000000007</v>
      </c>
      <c r="AJ441" s="254" t="s">
        <v>82</v>
      </c>
      <c r="AK441" s="254" t="s">
        <v>82</v>
      </c>
      <c r="AL441" s="254" t="s">
        <v>82</v>
      </c>
      <c r="AM441" s="254" t="s">
        <v>82</v>
      </c>
      <c r="AN441" s="254" t="s">
        <v>82</v>
      </c>
      <c r="AO441" s="254" t="s">
        <v>82</v>
      </c>
    </row>
    <row r="442" spans="1:41" x14ac:dyDescent="0.2">
      <c r="A442" s="249">
        <v>438</v>
      </c>
      <c r="B442" s="195">
        <v>19</v>
      </c>
      <c r="C442" s="195" t="s">
        <v>745</v>
      </c>
      <c r="D442" s="195">
        <v>4</v>
      </c>
      <c r="E442" s="195" t="s">
        <v>549</v>
      </c>
      <c r="F442" s="196">
        <v>44039</v>
      </c>
      <c r="G442" s="250" t="s">
        <v>4</v>
      </c>
      <c r="H442" s="263">
        <v>2031</v>
      </c>
      <c r="I442" s="216" t="s">
        <v>622</v>
      </c>
      <c r="J442" s="264">
        <v>2100</v>
      </c>
      <c r="K442" s="264">
        <v>2159</v>
      </c>
      <c r="L442" s="265">
        <v>2119</v>
      </c>
      <c r="M442" s="249">
        <v>0</v>
      </c>
      <c r="N442" s="200">
        <v>0</v>
      </c>
      <c r="O442" s="269"/>
      <c r="P442" s="263">
        <v>2031</v>
      </c>
      <c r="Q442" s="270">
        <v>17.7</v>
      </c>
      <c r="R442" s="267"/>
      <c r="S442" s="267"/>
      <c r="T442" s="267"/>
      <c r="U442" s="267"/>
      <c r="V442" s="267"/>
      <c r="W442" s="267"/>
      <c r="Y442" s="263">
        <v>2031</v>
      </c>
      <c r="Z442" s="270">
        <v>0</v>
      </c>
      <c r="AA442" s="267"/>
      <c r="AB442" s="267"/>
      <c r="AC442" s="267"/>
      <c r="AD442" s="267"/>
      <c r="AE442" s="267"/>
      <c r="AF442" s="267"/>
      <c r="AH442" s="263">
        <v>2031</v>
      </c>
      <c r="AI442" s="254">
        <v>-17.7</v>
      </c>
      <c r="AJ442" s="254" t="s">
        <v>82</v>
      </c>
      <c r="AK442" s="254" t="s">
        <v>82</v>
      </c>
      <c r="AL442" s="254" t="s">
        <v>82</v>
      </c>
      <c r="AM442" s="254" t="s">
        <v>82</v>
      </c>
      <c r="AN442" s="254" t="s">
        <v>82</v>
      </c>
      <c r="AO442" s="254" t="s">
        <v>82</v>
      </c>
    </row>
    <row r="443" spans="1:41" x14ac:dyDescent="0.2">
      <c r="A443" s="249">
        <v>439</v>
      </c>
      <c r="B443" s="195">
        <v>19</v>
      </c>
      <c r="C443" s="195" t="s">
        <v>745</v>
      </c>
      <c r="D443" s="195">
        <v>4</v>
      </c>
      <c r="E443" s="195" t="s">
        <v>549</v>
      </c>
      <c r="F443" s="196">
        <v>44576</v>
      </c>
      <c r="G443" s="250" t="s">
        <v>9</v>
      </c>
      <c r="H443" s="263">
        <v>2203</v>
      </c>
      <c r="I443" s="216" t="s">
        <v>552</v>
      </c>
      <c r="J443" s="264">
        <v>1405</v>
      </c>
      <c r="K443" s="264">
        <v>1459</v>
      </c>
      <c r="L443" s="265">
        <v>1406</v>
      </c>
      <c r="M443" s="249">
        <v>0</v>
      </c>
      <c r="N443" s="200">
        <v>0</v>
      </c>
      <c r="P443" s="263">
        <v>2203</v>
      </c>
      <c r="Q443" s="270">
        <v>4.5999999999999996</v>
      </c>
      <c r="R443" s="267"/>
      <c r="S443" s="267"/>
      <c r="T443" s="267"/>
      <c r="U443" s="267"/>
      <c r="V443" s="267"/>
      <c r="W443" s="267"/>
      <c r="Y443" s="263">
        <v>2203</v>
      </c>
      <c r="Z443" s="270">
        <v>0</v>
      </c>
      <c r="AA443" s="267"/>
      <c r="AB443" s="267"/>
      <c r="AC443" s="267"/>
      <c r="AD443" s="267"/>
      <c r="AE443" s="267"/>
      <c r="AF443" s="267"/>
      <c r="AH443" s="263">
        <v>2203</v>
      </c>
      <c r="AI443" s="254">
        <v>-4.5999999999999996</v>
      </c>
      <c r="AJ443" s="254" t="s">
        <v>82</v>
      </c>
      <c r="AK443" s="254" t="s">
        <v>82</v>
      </c>
      <c r="AL443" s="254" t="s">
        <v>82</v>
      </c>
      <c r="AM443" s="254" t="s">
        <v>82</v>
      </c>
      <c r="AN443" s="254" t="s">
        <v>82</v>
      </c>
      <c r="AO443" s="254" t="s">
        <v>82</v>
      </c>
    </row>
    <row r="444" spans="1:41" x14ac:dyDescent="0.2">
      <c r="A444" s="249">
        <v>440</v>
      </c>
      <c r="B444" s="195">
        <v>19</v>
      </c>
      <c r="C444" s="195" t="s">
        <v>745</v>
      </c>
      <c r="D444" s="195">
        <v>5</v>
      </c>
      <c r="E444" s="195" t="s">
        <v>553</v>
      </c>
      <c r="F444" s="196">
        <v>44162</v>
      </c>
      <c r="G444" s="250" t="s">
        <v>8</v>
      </c>
      <c r="H444" s="263">
        <v>2048</v>
      </c>
      <c r="I444" s="216" t="s">
        <v>596</v>
      </c>
      <c r="J444" s="264">
        <v>1605</v>
      </c>
      <c r="K444" s="264">
        <v>1619</v>
      </c>
      <c r="L444" s="265">
        <v>1617</v>
      </c>
      <c r="M444" s="249">
        <v>0</v>
      </c>
      <c r="N444" s="200">
        <v>0</v>
      </c>
      <c r="O444" s="269"/>
      <c r="P444" s="263">
        <v>2048</v>
      </c>
      <c r="Q444" s="270">
        <v>42.2</v>
      </c>
      <c r="R444" s="267"/>
      <c r="S444" s="267"/>
      <c r="T444" s="267"/>
      <c r="U444" s="267"/>
      <c r="V444" s="267"/>
      <c r="W444" s="267"/>
      <c r="Y444" s="263">
        <v>2048</v>
      </c>
      <c r="Z444" s="270">
        <v>0</v>
      </c>
      <c r="AA444" s="267"/>
      <c r="AB444" s="267"/>
      <c r="AC444" s="267"/>
      <c r="AD444" s="267"/>
      <c r="AE444" s="267"/>
      <c r="AF444" s="267"/>
      <c r="AH444" s="263">
        <v>2048</v>
      </c>
      <c r="AI444" s="254">
        <v>-42.2</v>
      </c>
      <c r="AJ444" s="254" t="s">
        <v>82</v>
      </c>
      <c r="AK444" s="254" t="s">
        <v>82</v>
      </c>
      <c r="AL444" s="254" t="s">
        <v>82</v>
      </c>
      <c r="AM444" s="254" t="s">
        <v>82</v>
      </c>
      <c r="AN444" s="254" t="s">
        <v>82</v>
      </c>
      <c r="AO444" s="254" t="s">
        <v>82</v>
      </c>
    </row>
    <row r="445" spans="1:41" x14ac:dyDescent="0.2">
      <c r="A445" s="249">
        <v>441</v>
      </c>
      <c r="B445" s="195">
        <v>19</v>
      </c>
      <c r="C445" s="195" t="s">
        <v>745</v>
      </c>
      <c r="D445" s="195">
        <v>5</v>
      </c>
      <c r="E445" s="195" t="s">
        <v>553</v>
      </c>
      <c r="F445" s="196">
        <v>44176</v>
      </c>
      <c r="G445" s="250" t="s">
        <v>8</v>
      </c>
      <c r="H445" s="263">
        <v>2050</v>
      </c>
      <c r="I445" s="216" t="s">
        <v>596</v>
      </c>
      <c r="J445" s="264">
        <v>1605</v>
      </c>
      <c r="K445" s="264">
        <v>1619</v>
      </c>
      <c r="L445" s="265">
        <v>1617</v>
      </c>
      <c r="M445" s="249">
        <v>0</v>
      </c>
      <c r="N445" s="200">
        <v>0</v>
      </c>
      <c r="O445" s="269"/>
      <c r="P445" s="263">
        <v>2050</v>
      </c>
      <c r="Q445" s="270">
        <v>25.7</v>
      </c>
      <c r="R445" s="267"/>
      <c r="S445" s="267"/>
      <c r="T445" s="267"/>
      <c r="U445" s="267"/>
      <c r="V445" s="267"/>
      <c r="W445" s="267"/>
      <c r="Y445" s="263">
        <v>2050</v>
      </c>
      <c r="Z445" s="270">
        <v>0</v>
      </c>
      <c r="AA445" s="267"/>
      <c r="AB445" s="267"/>
      <c r="AC445" s="267"/>
      <c r="AD445" s="267"/>
      <c r="AE445" s="267"/>
      <c r="AF445" s="267"/>
      <c r="AH445" s="263">
        <v>2050</v>
      </c>
      <c r="AI445" s="254">
        <v>-25.7</v>
      </c>
      <c r="AJ445" s="254" t="s">
        <v>82</v>
      </c>
      <c r="AK445" s="254" t="s">
        <v>82</v>
      </c>
      <c r="AL445" s="254" t="s">
        <v>82</v>
      </c>
      <c r="AM445" s="254" t="s">
        <v>82</v>
      </c>
      <c r="AN445" s="254" t="s">
        <v>82</v>
      </c>
      <c r="AO445" s="254" t="s">
        <v>82</v>
      </c>
    </row>
    <row r="446" spans="1:41" x14ac:dyDescent="0.2">
      <c r="A446" s="249">
        <v>442</v>
      </c>
      <c r="B446" s="195">
        <v>19</v>
      </c>
      <c r="C446" s="195" t="s">
        <v>745</v>
      </c>
      <c r="D446" s="195">
        <v>5</v>
      </c>
      <c r="E446" s="195" t="s">
        <v>553</v>
      </c>
      <c r="F446" s="196">
        <v>44195</v>
      </c>
      <c r="G446" s="250" t="s">
        <v>6</v>
      </c>
      <c r="H446" s="271">
        <v>2101</v>
      </c>
      <c r="I446" s="216" t="s">
        <v>751</v>
      </c>
      <c r="J446" s="264">
        <v>1540</v>
      </c>
      <c r="K446" s="264">
        <v>1544</v>
      </c>
      <c r="L446" s="265">
        <v>1544</v>
      </c>
      <c r="M446" s="249">
        <v>0</v>
      </c>
      <c r="N446" s="200">
        <v>1</v>
      </c>
      <c r="O446" s="269"/>
      <c r="P446" s="263">
        <v>2101</v>
      </c>
      <c r="Q446" s="270">
        <v>11.3</v>
      </c>
      <c r="R446" s="267"/>
      <c r="S446" s="267"/>
      <c r="T446" s="267"/>
      <c r="U446" s="267"/>
      <c r="V446" s="267"/>
      <c r="W446" s="267"/>
      <c r="Y446" s="263">
        <v>2101</v>
      </c>
      <c r="Z446" s="270">
        <v>0</v>
      </c>
      <c r="AA446" s="267"/>
      <c r="AB446" s="267"/>
      <c r="AC446" s="267"/>
      <c r="AD446" s="267"/>
      <c r="AE446" s="267"/>
      <c r="AF446" s="267"/>
      <c r="AH446" s="263">
        <v>2101</v>
      </c>
      <c r="AI446" s="254">
        <v>-11.3</v>
      </c>
      <c r="AJ446" s="254" t="s">
        <v>82</v>
      </c>
      <c r="AK446" s="254" t="s">
        <v>82</v>
      </c>
      <c r="AL446" s="254" t="s">
        <v>82</v>
      </c>
      <c r="AM446" s="254" t="s">
        <v>82</v>
      </c>
      <c r="AN446" s="254" t="s">
        <v>82</v>
      </c>
      <c r="AO446" s="254" t="s">
        <v>82</v>
      </c>
    </row>
    <row r="447" spans="1:41" x14ac:dyDescent="0.2">
      <c r="A447" s="249">
        <v>443</v>
      </c>
      <c r="B447" s="195">
        <v>20</v>
      </c>
      <c r="C447" s="195" t="s">
        <v>752</v>
      </c>
      <c r="D447" s="195">
        <v>1</v>
      </c>
      <c r="E447" s="195" t="s">
        <v>753</v>
      </c>
      <c r="F447" s="196">
        <v>44131</v>
      </c>
      <c r="G447" s="250" t="s">
        <v>5</v>
      </c>
      <c r="H447" s="263">
        <v>2044</v>
      </c>
      <c r="I447" s="216" t="s">
        <v>99</v>
      </c>
      <c r="J447" s="264">
        <v>550</v>
      </c>
      <c r="K447" s="264">
        <v>759</v>
      </c>
      <c r="L447" s="265">
        <v>606</v>
      </c>
      <c r="M447" s="249">
        <v>0</v>
      </c>
      <c r="N447" s="200">
        <v>0</v>
      </c>
      <c r="O447" s="269"/>
      <c r="P447" s="263">
        <v>2044</v>
      </c>
      <c r="Q447" s="270">
        <v>5.2</v>
      </c>
      <c r="R447" s="267"/>
      <c r="S447" s="267"/>
      <c r="T447" s="267"/>
      <c r="U447" s="267"/>
      <c r="V447" s="267"/>
      <c r="W447" s="267"/>
      <c r="Y447" s="263">
        <v>2044</v>
      </c>
      <c r="Z447" s="270">
        <v>0</v>
      </c>
      <c r="AA447" s="267"/>
      <c r="AB447" s="267"/>
      <c r="AC447" s="267"/>
      <c r="AD447" s="267"/>
      <c r="AE447" s="267"/>
      <c r="AF447" s="267"/>
      <c r="AH447" s="263">
        <v>2044</v>
      </c>
      <c r="AI447" s="254">
        <v>-5.2</v>
      </c>
      <c r="AJ447" s="254" t="s">
        <v>82</v>
      </c>
      <c r="AK447" s="254" t="s">
        <v>82</v>
      </c>
      <c r="AL447" s="254" t="s">
        <v>82</v>
      </c>
      <c r="AM447" s="254" t="s">
        <v>82</v>
      </c>
      <c r="AN447" s="254" t="s">
        <v>82</v>
      </c>
      <c r="AO447" s="254" t="s">
        <v>82</v>
      </c>
    </row>
    <row r="448" spans="1:41" x14ac:dyDescent="0.2">
      <c r="A448" s="249">
        <v>444</v>
      </c>
      <c r="B448" s="195">
        <v>20</v>
      </c>
      <c r="C448" s="195" t="s">
        <v>752</v>
      </c>
      <c r="D448" s="195">
        <v>2</v>
      </c>
      <c r="E448" s="195" t="s">
        <v>428</v>
      </c>
      <c r="F448" s="196">
        <v>44106</v>
      </c>
      <c r="G448" s="250" t="s">
        <v>8</v>
      </c>
      <c r="H448" s="263">
        <v>2040</v>
      </c>
      <c r="I448" s="216" t="s">
        <v>561</v>
      </c>
      <c r="J448" s="264">
        <v>800</v>
      </c>
      <c r="K448" s="264">
        <v>949</v>
      </c>
      <c r="L448" s="265">
        <v>805</v>
      </c>
      <c r="M448" s="249">
        <v>0</v>
      </c>
      <c r="N448" s="200">
        <v>0</v>
      </c>
      <c r="O448" s="269"/>
      <c r="P448" s="263">
        <v>2040</v>
      </c>
      <c r="Q448" s="270">
        <v>2.2000000000000002</v>
      </c>
      <c r="R448" s="267"/>
      <c r="S448" s="267"/>
      <c r="T448" s="267"/>
      <c r="U448" s="267"/>
      <c r="V448" s="267"/>
      <c r="W448" s="267"/>
      <c r="Y448" s="263">
        <v>2040</v>
      </c>
      <c r="Z448" s="270">
        <v>0</v>
      </c>
      <c r="AA448" s="267"/>
      <c r="AB448" s="267"/>
      <c r="AC448" s="267"/>
      <c r="AD448" s="267"/>
      <c r="AE448" s="267"/>
      <c r="AF448" s="267"/>
      <c r="AH448" s="263">
        <v>2040</v>
      </c>
      <c r="AI448" s="254">
        <v>-2.2000000000000002</v>
      </c>
      <c r="AJ448" s="254" t="s">
        <v>82</v>
      </c>
      <c r="AK448" s="254" t="s">
        <v>82</v>
      </c>
      <c r="AL448" s="254" t="s">
        <v>82</v>
      </c>
      <c r="AM448" s="254" t="s">
        <v>82</v>
      </c>
      <c r="AN448" s="254" t="s">
        <v>82</v>
      </c>
      <c r="AO448" s="254" t="s">
        <v>82</v>
      </c>
    </row>
    <row r="449" spans="1:41" x14ac:dyDescent="0.2">
      <c r="A449" s="249">
        <v>445</v>
      </c>
      <c r="B449" s="195">
        <v>20</v>
      </c>
      <c r="C449" s="195" t="s">
        <v>752</v>
      </c>
      <c r="D449" s="195">
        <v>2</v>
      </c>
      <c r="E449" s="195" t="s">
        <v>428</v>
      </c>
      <c r="F449" s="196">
        <v>44120</v>
      </c>
      <c r="G449" s="250" t="s">
        <v>8</v>
      </c>
      <c r="H449" s="263">
        <v>2042</v>
      </c>
      <c r="I449" s="216" t="s">
        <v>561</v>
      </c>
      <c r="J449" s="264">
        <v>800</v>
      </c>
      <c r="K449" s="264">
        <v>949</v>
      </c>
      <c r="L449" s="265">
        <v>816</v>
      </c>
      <c r="M449" s="249">
        <v>0</v>
      </c>
      <c r="N449" s="200">
        <v>0</v>
      </c>
      <c r="O449" s="269"/>
      <c r="P449" s="263">
        <v>2042</v>
      </c>
      <c r="Q449" s="270">
        <v>2.4</v>
      </c>
      <c r="R449" s="267"/>
      <c r="S449" s="267"/>
      <c r="T449" s="267"/>
      <c r="U449" s="267"/>
      <c r="V449" s="267"/>
      <c r="W449" s="267"/>
      <c r="Y449" s="263">
        <v>2042</v>
      </c>
      <c r="Z449" s="270">
        <v>0</v>
      </c>
      <c r="AA449" s="267"/>
      <c r="AB449" s="267"/>
      <c r="AC449" s="267"/>
      <c r="AD449" s="267"/>
      <c r="AE449" s="267"/>
      <c r="AF449" s="267"/>
      <c r="AH449" s="263">
        <v>2042</v>
      </c>
      <c r="AI449" s="254">
        <v>-2.4</v>
      </c>
      <c r="AJ449" s="254" t="s">
        <v>82</v>
      </c>
      <c r="AK449" s="254" t="s">
        <v>82</v>
      </c>
      <c r="AL449" s="254" t="s">
        <v>82</v>
      </c>
      <c r="AM449" s="254" t="s">
        <v>82</v>
      </c>
      <c r="AN449" s="254" t="s">
        <v>82</v>
      </c>
      <c r="AO449" s="254" t="s">
        <v>82</v>
      </c>
    </row>
    <row r="450" spans="1:41" x14ac:dyDescent="0.2">
      <c r="A450" s="249">
        <v>446</v>
      </c>
      <c r="B450" s="195">
        <v>20</v>
      </c>
      <c r="C450" s="195" t="s">
        <v>752</v>
      </c>
      <c r="D450" s="195">
        <v>2</v>
      </c>
      <c r="E450" s="195" t="s">
        <v>428</v>
      </c>
      <c r="F450" s="196">
        <v>44164</v>
      </c>
      <c r="G450" s="250" t="s">
        <v>10</v>
      </c>
      <c r="H450" s="263">
        <v>2048</v>
      </c>
      <c r="I450" s="216" t="s">
        <v>429</v>
      </c>
      <c r="J450" s="264">
        <v>2315</v>
      </c>
      <c r="K450" s="264">
        <v>2429</v>
      </c>
      <c r="L450" s="265">
        <v>2407</v>
      </c>
      <c r="M450" s="249">
        <v>1</v>
      </c>
      <c r="N450" s="200">
        <v>0</v>
      </c>
      <c r="O450" s="269"/>
      <c r="P450" s="263">
        <v>2048</v>
      </c>
      <c r="Q450" s="270">
        <v>2.6</v>
      </c>
      <c r="R450" s="270">
        <v>2.7</v>
      </c>
      <c r="S450" s="270">
        <v>2.6</v>
      </c>
      <c r="T450" s="270">
        <v>0.1</v>
      </c>
      <c r="U450" s="270">
        <v>0.6</v>
      </c>
      <c r="V450" s="270">
        <v>0.6</v>
      </c>
      <c r="W450" s="270">
        <v>0</v>
      </c>
      <c r="Y450" s="263">
        <v>2048</v>
      </c>
      <c r="Z450" s="270">
        <v>0</v>
      </c>
      <c r="AA450" s="270">
        <v>2.6</v>
      </c>
      <c r="AB450" s="270">
        <v>2.6</v>
      </c>
      <c r="AC450" s="270">
        <v>0</v>
      </c>
      <c r="AD450" s="270">
        <v>0.6</v>
      </c>
      <c r="AE450" s="270">
        <v>0.6</v>
      </c>
      <c r="AF450" s="270">
        <v>0</v>
      </c>
      <c r="AH450" s="263">
        <v>2048</v>
      </c>
      <c r="AI450" s="254">
        <v>-2.6</v>
      </c>
      <c r="AJ450" s="254">
        <v>-0.10000000000000009</v>
      </c>
      <c r="AK450" s="254" t="s">
        <v>82</v>
      </c>
      <c r="AL450" s="254">
        <v>-0.1</v>
      </c>
      <c r="AM450" s="254" t="s">
        <v>82</v>
      </c>
      <c r="AN450" s="254" t="s">
        <v>82</v>
      </c>
      <c r="AO450" s="254" t="s">
        <v>82</v>
      </c>
    </row>
    <row r="451" spans="1:41" x14ac:dyDescent="0.2">
      <c r="A451" s="249">
        <v>447</v>
      </c>
      <c r="B451" s="195">
        <v>20</v>
      </c>
      <c r="C451" s="195" t="s">
        <v>752</v>
      </c>
      <c r="D451" s="195">
        <v>2</v>
      </c>
      <c r="E451" s="195" t="s">
        <v>428</v>
      </c>
      <c r="F451" s="196">
        <v>44267</v>
      </c>
      <c r="G451" s="250" t="s">
        <v>8</v>
      </c>
      <c r="H451" s="263">
        <v>2111</v>
      </c>
      <c r="I451" s="216" t="s">
        <v>561</v>
      </c>
      <c r="J451" s="264">
        <v>800</v>
      </c>
      <c r="K451" s="264">
        <v>949</v>
      </c>
      <c r="L451" s="265">
        <v>808</v>
      </c>
      <c r="M451" s="249">
        <v>0</v>
      </c>
      <c r="N451" s="200">
        <v>0</v>
      </c>
      <c r="O451" s="269"/>
      <c r="P451" s="263">
        <v>2111</v>
      </c>
      <c r="Q451" s="270">
        <v>6.4</v>
      </c>
      <c r="R451" s="267"/>
      <c r="S451" s="267"/>
      <c r="T451" s="267"/>
      <c r="U451" s="267"/>
      <c r="V451" s="267"/>
      <c r="W451" s="267"/>
      <c r="Y451" s="263">
        <v>2111</v>
      </c>
      <c r="Z451" s="270">
        <v>0</v>
      </c>
      <c r="AA451" s="267"/>
      <c r="AB451" s="267"/>
      <c r="AC451" s="267"/>
      <c r="AD451" s="267"/>
      <c r="AE451" s="267"/>
      <c r="AF451" s="267"/>
      <c r="AH451" s="263">
        <v>2111</v>
      </c>
      <c r="AI451" s="254">
        <v>-6.4</v>
      </c>
      <c r="AJ451" s="254" t="s">
        <v>82</v>
      </c>
      <c r="AK451" s="254" t="s">
        <v>82</v>
      </c>
      <c r="AL451" s="254" t="s">
        <v>82</v>
      </c>
      <c r="AM451" s="254" t="s">
        <v>82</v>
      </c>
      <c r="AN451" s="254" t="s">
        <v>82</v>
      </c>
      <c r="AO451" s="254" t="s">
        <v>82</v>
      </c>
    </row>
    <row r="452" spans="1:41" x14ac:dyDescent="0.2">
      <c r="A452" s="249">
        <v>448</v>
      </c>
      <c r="B452" s="195">
        <v>20</v>
      </c>
      <c r="C452" s="195" t="s">
        <v>752</v>
      </c>
      <c r="D452" s="195">
        <v>2</v>
      </c>
      <c r="E452" s="195" t="s">
        <v>428</v>
      </c>
      <c r="F452" s="196">
        <v>44325</v>
      </c>
      <c r="G452" s="250" t="s">
        <v>10</v>
      </c>
      <c r="H452" s="263">
        <v>2119</v>
      </c>
      <c r="I452" s="216" t="s">
        <v>754</v>
      </c>
      <c r="J452" s="264">
        <v>615</v>
      </c>
      <c r="K452" s="264">
        <v>629</v>
      </c>
      <c r="L452" s="265">
        <v>622</v>
      </c>
      <c r="M452" s="249">
        <v>0</v>
      </c>
      <c r="N452" s="200">
        <v>0</v>
      </c>
      <c r="O452" s="269"/>
      <c r="P452" s="263">
        <v>2119</v>
      </c>
      <c r="Q452" s="270">
        <v>20.9</v>
      </c>
      <c r="R452" s="267"/>
      <c r="S452" s="267"/>
      <c r="T452" s="267"/>
      <c r="U452" s="267"/>
      <c r="V452" s="267"/>
      <c r="W452" s="267"/>
      <c r="Y452" s="263">
        <v>2119</v>
      </c>
      <c r="Z452" s="270">
        <v>0</v>
      </c>
      <c r="AA452" s="267"/>
      <c r="AB452" s="267"/>
      <c r="AC452" s="267"/>
      <c r="AD452" s="267"/>
      <c r="AE452" s="267"/>
      <c r="AF452" s="267"/>
      <c r="AH452" s="263">
        <v>2119</v>
      </c>
      <c r="AI452" s="254">
        <v>-20.9</v>
      </c>
      <c r="AJ452" s="254" t="s">
        <v>82</v>
      </c>
      <c r="AK452" s="254" t="s">
        <v>82</v>
      </c>
      <c r="AL452" s="254" t="s">
        <v>82</v>
      </c>
      <c r="AM452" s="254" t="s">
        <v>82</v>
      </c>
      <c r="AN452" s="254" t="s">
        <v>82</v>
      </c>
      <c r="AO452" s="254" t="s">
        <v>82</v>
      </c>
    </row>
    <row r="453" spans="1:41" x14ac:dyDescent="0.2">
      <c r="A453" s="249">
        <v>449</v>
      </c>
      <c r="B453" s="195">
        <v>20</v>
      </c>
      <c r="C453" s="195" t="s">
        <v>752</v>
      </c>
      <c r="D453" s="195">
        <v>2</v>
      </c>
      <c r="E453" s="195" t="s">
        <v>428</v>
      </c>
      <c r="F453" s="196">
        <v>44484</v>
      </c>
      <c r="G453" s="250" t="s">
        <v>8</v>
      </c>
      <c r="H453" s="263">
        <v>2142</v>
      </c>
      <c r="I453" s="216" t="s">
        <v>755</v>
      </c>
      <c r="J453" s="264">
        <v>1445</v>
      </c>
      <c r="K453" s="264">
        <v>1514</v>
      </c>
      <c r="L453" s="265">
        <v>1514</v>
      </c>
      <c r="M453" s="249">
        <v>1</v>
      </c>
      <c r="N453" s="200">
        <v>1</v>
      </c>
      <c r="O453" s="269"/>
      <c r="P453" s="263">
        <v>2142</v>
      </c>
      <c r="Q453" s="270">
        <v>4.7</v>
      </c>
      <c r="R453" s="270">
        <v>6</v>
      </c>
      <c r="S453" s="270">
        <v>1.3</v>
      </c>
      <c r="T453" s="270">
        <v>4.7</v>
      </c>
      <c r="U453" s="270">
        <v>5.8</v>
      </c>
      <c r="V453" s="270">
        <v>1.1000000000000001</v>
      </c>
      <c r="W453" s="270">
        <v>4.7</v>
      </c>
      <c r="Y453" s="263">
        <v>2142</v>
      </c>
      <c r="Z453" s="270">
        <v>0</v>
      </c>
      <c r="AA453" s="270">
        <v>1.3</v>
      </c>
      <c r="AB453" s="270">
        <v>1.3</v>
      </c>
      <c r="AC453" s="270">
        <v>0</v>
      </c>
      <c r="AD453" s="270">
        <v>1.1000000000000001</v>
      </c>
      <c r="AE453" s="270">
        <v>1.1000000000000001</v>
      </c>
      <c r="AF453" s="270">
        <v>0</v>
      </c>
      <c r="AH453" s="263">
        <v>2142</v>
      </c>
      <c r="AI453" s="254">
        <v>-4.7</v>
      </c>
      <c r="AJ453" s="254">
        <v>-4.7</v>
      </c>
      <c r="AK453" s="254" t="s">
        <v>82</v>
      </c>
      <c r="AL453" s="254">
        <v>-4.7</v>
      </c>
      <c r="AM453" s="254">
        <v>-4.6999999999999993</v>
      </c>
      <c r="AN453" s="254" t="s">
        <v>82</v>
      </c>
      <c r="AO453" s="254">
        <v>-4.7</v>
      </c>
    </row>
    <row r="454" spans="1:41" x14ac:dyDescent="0.2">
      <c r="A454" s="249">
        <v>450</v>
      </c>
      <c r="B454" s="195">
        <v>20</v>
      </c>
      <c r="C454" s="195" t="s">
        <v>752</v>
      </c>
      <c r="D454" s="195">
        <v>3</v>
      </c>
      <c r="E454" s="195" t="s">
        <v>756</v>
      </c>
      <c r="F454" s="196">
        <v>44013</v>
      </c>
      <c r="G454" s="250" t="s">
        <v>6</v>
      </c>
      <c r="H454" s="263">
        <v>2027</v>
      </c>
      <c r="I454" s="216" t="s">
        <v>757</v>
      </c>
      <c r="J454" s="264">
        <v>1549</v>
      </c>
      <c r="K454" s="264">
        <v>1649</v>
      </c>
      <c r="L454" s="265">
        <v>1607</v>
      </c>
      <c r="M454" s="249">
        <v>0</v>
      </c>
      <c r="N454" s="200">
        <v>0</v>
      </c>
      <c r="O454" s="269"/>
      <c r="P454" s="263">
        <v>2027</v>
      </c>
      <c r="Q454" s="270">
        <v>3.3</v>
      </c>
      <c r="R454" s="267"/>
      <c r="S454" s="267"/>
      <c r="T454" s="267"/>
      <c r="U454" s="267"/>
      <c r="V454" s="267"/>
      <c r="W454" s="267"/>
      <c r="Y454" s="263">
        <v>2027</v>
      </c>
      <c r="Z454" s="270">
        <v>0</v>
      </c>
      <c r="AA454" s="267"/>
      <c r="AB454" s="267"/>
      <c r="AC454" s="267"/>
      <c r="AD454" s="267"/>
      <c r="AE454" s="267"/>
      <c r="AF454" s="267"/>
      <c r="AH454" s="263">
        <v>2027</v>
      </c>
      <c r="AI454" s="254">
        <v>-3.3</v>
      </c>
      <c r="AJ454" s="254" t="s">
        <v>82</v>
      </c>
      <c r="AK454" s="254" t="s">
        <v>82</v>
      </c>
      <c r="AL454" s="254" t="s">
        <v>82</v>
      </c>
      <c r="AM454" s="254" t="s">
        <v>82</v>
      </c>
      <c r="AN454" s="254" t="s">
        <v>82</v>
      </c>
      <c r="AO454" s="254" t="s">
        <v>82</v>
      </c>
    </row>
    <row r="455" spans="1:41" x14ac:dyDescent="0.2">
      <c r="A455" s="249">
        <v>451</v>
      </c>
      <c r="B455" s="195">
        <v>20</v>
      </c>
      <c r="C455" s="195" t="s">
        <v>752</v>
      </c>
      <c r="D455" s="195">
        <v>3</v>
      </c>
      <c r="E455" s="195" t="s">
        <v>756</v>
      </c>
      <c r="F455" s="196">
        <v>44126</v>
      </c>
      <c r="G455" s="250" t="s">
        <v>7</v>
      </c>
      <c r="H455" s="263">
        <v>2043</v>
      </c>
      <c r="I455" s="216" t="s">
        <v>566</v>
      </c>
      <c r="J455" s="264">
        <v>2736</v>
      </c>
      <c r="K455" s="264">
        <v>2824</v>
      </c>
      <c r="L455" s="265">
        <v>2807</v>
      </c>
      <c r="M455" s="249">
        <v>0</v>
      </c>
      <c r="N455" s="200">
        <v>0</v>
      </c>
      <c r="O455" s="269"/>
      <c r="P455" s="263">
        <v>2043</v>
      </c>
      <c r="Q455" s="270">
        <v>7.7</v>
      </c>
      <c r="R455" s="267"/>
      <c r="S455" s="267"/>
      <c r="T455" s="267"/>
      <c r="U455" s="267"/>
      <c r="V455" s="267"/>
      <c r="W455" s="267"/>
      <c r="Y455" s="263">
        <v>2043</v>
      </c>
      <c r="Z455" s="270">
        <v>0</v>
      </c>
      <c r="AA455" s="267"/>
      <c r="AB455" s="267"/>
      <c r="AC455" s="267"/>
      <c r="AD455" s="267"/>
      <c r="AE455" s="267"/>
      <c r="AF455" s="267"/>
      <c r="AH455" s="263">
        <v>2043</v>
      </c>
      <c r="AI455" s="254">
        <v>-7.7</v>
      </c>
      <c r="AJ455" s="254" t="s">
        <v>82</v>
      </c>
      <c r="AK455" s="254" t="s">
        <v>82</v>
      </c>
      <c r="AL455" s="254" t="s">
        <v>82</v>
      </c>
      <c r="AM455" s="254" t="s">
        <v>82</v>
      </c>
      <c r="AN455" s="254" t="s">
        <v>82</v>
      </c>
      <c r="AO455" s="254" t="s">
        <v>82</v>
      </c>
    </row>
    <row r="456" spans="1:41" x14ac:dyDescent="0.2">
      <c r="A456" s="249">
        <v>452</v>
      </c>
      <c r="B456" s="195">
        <v>20</v>
      </c>
      <c r="C456" s="195" t="s">
        <v>752</v>
      </c>
      <c r="D456" s="195">
        <v>3</v>
      </c>
      <c r="E456" s="195" t="s">
        <v>756</v>
      </c>
      <c r="F456" s="196">
        <v>44317</v>
      </c>
      <c r="G456" s="250" t="s">
        <v>9</v>
      </c>
      <c r="H456" s="263">
        <v>2118</v>
      </c>
      <c r="I456" s="216" t="s">
        <v>536</v>
      </c>
      <c r="J456" s="264">
        <v>530</v>
      </c>
      <c r="K456" s="264">
        <v>644</v>
      </c>
      <c r="L456" s="265">
        <v>609</v>
      </c>
      <c r="M456" s="249">
        <v>0</v>
      </c>
      <c r="N456" s="200">
        <v>0</v>
      </c>
      <c r="O456" s="269"/>
      <c r="P456" s="263">
        <v>2118</v>
      </c>
      <c r="Q456" s="270">
        <v>10.4</v>
      </c>
      <c r="R456" s="267"/>
      <c r="S456" s="267"/>
      <c r="T456" s="267"/>
      <c r="U456" s="267"/>
      <c r="V456" s="267"/>
      <c r="W456" s="267"/>
      <c r="Y456" s="263">
        <v>2118</v>
      </c>
      <c r="Z456" s="270">
        <v>0</v>
      </c>
      <c r="AA456" s="267"/>
      <c r="AB456" s="267"/>
      <c r="AC456" s="267"/>
      <c r="AD456" s="267"/>
      <c r="AE456" s="267"/>
      <c r="AF456" s="267"/>
      <c r="AH456" s="263">
        <v>2118</v>
      </c>
      <c r="AI456" s="254">
        <v>-10.4</v>
      </c>
      <c r="AJ456" s="254" t="s">
        <v>82</v>
      </c>
      <c r="AK456" s="254" t="s">
        <v>82</v>
      </c>
      <c r="AL456" s="254" t="s">
        <v>82</v>
      </c>
      <c r="AM456" s="254" t="s">
        <v>82</v>
      </c>
      <c r="AN456" s="254" t="s">
        <v>82</v>
      </c>
      <c r="AO456" s="254" t="s">
        <v>82</v>
      </c>
    </row>
    <row r="457" spans="1:41" x14ac:dyDescent="0.2">
      <c r="A457" s="249">
        <v>453</v>
      </c>
      <c r="B457" s="195">
        <v>20</v>
      </c>
      <c r="C457" s="195" t="s">
        <v>752</v>
      </c>
      <c r="D457" s="195">
        <v>3</v>
      </c>
      <c r="E457" s="195" t="s">
        <v>756</v>
      </c>
      <c r="F457" s="196">
        <v>44579</v>
      </c>
      <c r="G457" s="250" t="s">
        <v>5</v>
      </c>
      <c r="H457" s="263">
        <v>2204</v>
      </c>
      <c r="I457" s="216" t="s">
        <v>758</v>
      </c>
      <c r="J457" s="264">
        <v>2057</v>
      </c>
      <c r="K457" s="264">
        <v>2159</v>
      </c>
      <c r="L457" s="265">
        <v>2139</v>
      </c>
      <c r="M457" s="249">
        <v>0</v>
      </c>
      <c r="N457" s="200">
        <v>0</v>
      </c>
      <c r="P457" s="263">
        <v>2204</v>
      </c>
      <c r="Q457" s="270">
        <v>3</v>
      </c>
      <c r="R457" s="267"/>
      <c r="S457" s="267"/>
      <c r="T457" s="267"/>
      <c r="U457" s="267"/>
      <c r="V457" s="267"/>
      <c r="W457" s="267"/>
      <c r="Y457" s="263">
        <v>2204</v>
      </c>
      <c r="Z457" s="270">
        <v>0.4</v>
      </c>
      <c r="AA457" s="267"/>
      <c r="AB457" s="267"/>
      <c r="AC457" s="267"/>
      <c r="AD457" s="267"/>
      <c r="AE457" s="267"/>
      <c r="AF457" s="267"/>
      <c r="AH457" s="263">
        <v>2204</v>
      </c>
      <c r="AI457" s="254">
        <v>-2.6</v>
      </c>
      <c r="AJ457" s="254" t="s">
        <v>82</v>
      </c>
      <c r="AK457" s="254" t="s">
        <v>82</v>
      </c>
      <c r="AL457" s="254" t="s">
        <v>82</v>
      </c>
      <c r="AM457" s="254" t="s">
        <v>82</v>
      </c>
      <c r="AN457" s="254" t="s">
        <v>82</v>
      </c>
      <c r="AO457" s="254" t="s">
        <v>82</v>
      </c>
    </row>
    <row r="458" spans="1:41" x14ac:dyDescent="0.2">
      <c r="A458" s="249">
        <v>454</v>
      </c>
      <c r="B458" s="195">
        <v>20</v>
      </c>
      <c r="C458" s="195" t="s">
        <v>752</v>
      </c>
      <c r="D458" s="195">
        <v>3</v>
      </c>
      <c r="E458" s="195" t="s">
        <v>756</v>
      </c>
      <c r="F458" s="196">
        <v>44587</v>
      </c>
      <c r="G458" s="250" t="s">
        <v>6</v>
      </c>
      <c r="H458" s="263">
        <v>2205</v>
      </c>
      <c r="I458" s="216" t="s">
        <v>250</v>
      </c>
      <c r="J458" s="264">
        <v>1355</v>
      </c>
      <c r="K458" s="264">
        <v>1548</v>
      </c>
      <c r="L458" s="265">
        <v>1438</v>
      </c>
      <c r="M458" s="249">
        <v>0</v>
      </c>
      <c r="N458" s="200">
        <v>0</v>
      </c>
      <c r="P458" s="263">
        <v>2205</v>
      </c>
      <c r="Q458" s="270">
        <v>5.9</v>
      </c>
      <c r="R458" s="267"/>
      <c r="S458" s="267"/>
      <c r="T458" s="267"/>
      <c r="U458" s="267"/>
      <c r="V458" s="267"/>
      <c r="W458" s="267"/>
      <c r="Y458" s="263">
        <v>2205</v>
      </c>
      <c r="Z458" s="270">
        <v>0</v>
      </c>
      <c r="AA458" s="267"/>
      <c r="AB458" s="267"/>
      <c r="AC458" s="267"/>
      <c r="AD458" s="267"/>
      <c r="AE458" s="267"/>
      <c r="AF458" s="267"/>
      <c r="AH458" s="263">
        <v>2205</v>
      </c>
      <c r="AI458" s="254">
        <v>-5.9</v>
      </c>
      <c r="AJ458" s="254" t="s">
        <v>82</v>
      </c>
      <c r="AK458" s="254" t="s">
        <v>82</v>
      </c>
      <c r="AL458" s="254" t="s">
        <v>82</v>
      </c>
      <c r="AM458" s="254" t="s">
        <v>82</v>
      </c>
      <c r="AN458" s="254" t="s">
        <v>82</v>
      </c>
      <c r="AO458" s="254" t="s">
        <v>82</v>
      </c>
    </row>
    <row r="459" spans="1:41" x14ac:dyDescent="0.2">
      <c r="A459" s="249">
        <v>455</v>
      </c>
      <c r="B459" s="195">
        <v>20</v>
      </c>
      <c r="C459" s="195" t="s">
        <v>752</v>
      </c>
      <c r="D459" s="195">
        <v>4</v>
      </c>
      <c r="E459" s="195" t="s">
        <v>759</v>
      </c>
      <c r="F459" s="196">
        <v>44034</v>
      </c>
      <c r="G459" s="250" t="s">
        <v>6</v>
      </c>
      <c r="H459" s="263">
        <v>2030</v>
      </c>
      <c r="I459" s="216" t="s">
        <v>760</v>
      </c>
      <c r="J459" s="264">
        <v>700</v>
      </c>
      <c r="K459" s="264">
        <v>759</v>
      </c>
      <c r="L459" s="265">
        <v>707</v>
      </c>
      <c r="M459" s="249">
        <v>0</v>
      </c>
      <c r="N459" s="200">
        <v>0</v>
      </c>
      <c r="O459" s="269"/>
      <c r="P459" s="263">
        <v>2030</v>
      </c>
      <c r="Q459" s="270">
        <v>4.7</v>
      </c>
      <c r="R459" s="267"/>
      <c r="S459" s="267"/>
      <c r="T459" s="267"/>
      <c r="U459" s="267"/>
      <c r="V459" s="267"/>
      <c r="W459" s="267"/>
      <c r="Y459" s="263">
        <v>2030</v>
      </c>
      <c r="Z459" s="270">
        <v>0</v>
      </c>
      <c r="AA459" s="267"/>
      <c r="AB459" s="267"/>
      <c r="AC459" s="267"/>
      <c r="AD459" s="267"/>
      <c r="AE459" s="267"/>
      <c r="AF459" s="267"/>
      <c r="AH459" s="263">
        <v>2030</v>
      </c>
      <c r="AI459" s="254">
        <v>-4.7</v>
      </c>
      <c r="AJ459" s="254" t="s">
        <v>82</v>
      </c>
      <c r="AK459" s="254" t="s">
        <v>82</v>
      </c>
      <c r="AL459" s="254" t="s">
        <v>82</v>
      </c>
      <c r="AM459" s="254" t="s">
        <v>82</v>
      </c>
      <c r="AN459" s="254" t="s">
        <v>82</v>
      </c>
      <c r="AO459" s="254" t="s">
        <v>82</v>
      </c>
    </row>
    <row r="460" spans="1:41" x14ac:dyDescent="0.2">
      <c r="A460" s="249">
        <v>456</v>
      </c>
      <c r="B460" s="195">
        <v>20</v>
      </c>
      <c r="C460" s="195" t="s">
        <v>752</v>
      </c>
      <c r="D460" s="195">
        <v>4</v>
      </c>
      <c r="E460" s="195" t="s">
        <v>759</v>
      </c>
      <c r="F460" s="196">
        <v>44374</v>
      </c>
      <c r="G460" s="250" t="s">
        <v>10</v>
      </c>
      <c r="H460" s="263">
        <v>2126</v>
      </c>
      <c r="I460" s="216" t="s">
        <v>761</v>
      </c>
      <c r="J460" s="264">
        <v>700</v>
      </c>
      <c r="K460" s="264">
        <v>829</v>
      </c>
      <c r="L460" s="265">
        <v>740</v>
      </c>
      <c r="M460" s="249">
        <v>0</v>
      </c>
      <c r="N460" s="200">
        <v>0</v>
      </c>
      <c r="O460" s="269"/>
      <c r="P460" s="263">
        <v>2126</v>
      </c>
      <c r="Q460" s="270">
        <v>4.8</v>
      </c>
      <c r="R460" s="267"/>
      <c r="S460" s="267"/>
      <c r="T460" s="267"/>
      <c r="U460" s="267"/>
      <c r="V460" s="267"/>
      <c r="W460" s="267"/>
      <c r="Y460" s="263">
        <v>2126</v>
      </c>
      <c r="Z460" s="270">
        <v>0.2</v>
      </c>
      <c r="AA460" s="267"/>
      <c r="AB460" s="267"/>
      <c r="AC460" s="267"/>
      <c r="AD460" s="267"/>
      <c r="AE460" s="267"/>
      <c r="AF460" s="267"/>
      <c r="AH460" s="263">
        <v>2126</v>
      </c>
      <c r="AI460" s="254">
        <v>-4.5999999999999996</v>
      </c>
      <c r="AJ460" s="254" t="s">
        <v>82</v>
      </c>
      <c r="AK460" s="254" t="s">
        <v>82</v>
      </c>
      <c r="AL460" s="254" t="s">
        <v>82</v>
      </c>
      <c r="AM460" s="254" t="s">
        <v>82</v>
      </c>
      <c r="AN460" s="254" t="s">
        <v>82</v>
      </c>
      <c r="AO460" s="254" t="s">
        <v>82</v>
      </c>
    </row>
    <row r="461" spans="1:41" x14ac:dyDescent="0.2">
      <c r="A461" s="249">
        <v>457</v>
      </c>
      <c r="B461" s="195">
        <v>20</v>
      </c>
      <c r="C461" s="195" t="s">
        <v>752</v>
      </c>
      <c r="D461" s="195">
        <v>4</v>
      </c>
      <c r="E461" s="195" t="s">
        <v>759</v>
      </c>
      <c r="F461" s="196">
        <v>44537</v>
      </c>
      <c r="G461" s="250" t="s">
        <v>5</v>
      </c>
      <c r="H461" s="263">
        <v>2150</v>
      </c>
      <c r="I461" s="216" t="s">
        <v>762</v>
      </c>
      <c r="J461" s="264">
        <v>1640</v>
      </c>
      <c r="K461" s="264">
        <v>1749</v>
      </c>
      <c r="L461" s="265">
        <v>1711</v>
      </c>
      <c r="M461" s="249">
        <v>0</v>
      </c>
      <c r="N461" s="200">
        <v>0</v>
      </c>
      <c r="P461" s="263">
        <v>2150</v>
      </c>
      <c r="Q461" s="270">
        <v>4.7</v>
      </c>
      <c r="R461" s="267"/>
      <c r="S461" s="267"/>
      <c r="T461" s="267"/>
      <c r="U461" s="267"/>
      <c r="V461" s="267"/>
      <c r="W461" s="267"/>
      <c r="Y461" s="263">
        <v>2150</v>
      </c>
      <c r="Z461" s="270">
        <v>0</v>
      </c>
      <c r="AA461" s="267"/>
      <c r="AB461" s="267"/>
      <c r="AC461" s="267"/>
      <c r="AD461" s="267"/>
      <c r="AE461" s="267"/>
      <c r="AF461" s="267"/>
      <c r="AH461" s="263">
        <v>2150</v>
      </c>
      <c r="AI461" s="254">
        <v>-4.7</v>
      </c>
      <c r="AJ461" s="254" t="s">
        <v>82</v>
      </c>
      <c r="AK461" s="254" t="s">
        <v>82</v>
      </c>
      <c r="AL461" s="254" t="s">
        <v>82</v>
      </c>
      <c r="AM461" s="254" t="s">
        <v>82</v>
      </c>
      <c r="AN461" s="254" t="s">
        <v>82</v>
      </c>
      <c r="AO461" s="254" t="s">
        <v>82</v>
      </c>
    </row>
    <row r="462" spans="1:41" x14ac:dyDescent="0.2">
      <c r="A462" s="249">
        <v>458</v>
      </c>
      <c r="B462" s="195">
        <v>20</v>
      </c>
      <c r="C462" s="195" t="s">
        <v>752</v>
      </c>
      <c r="D462" s="195">
        <v>5</v>
      </c>
      <c r="E462" s="195" t="s">
        <v>549</v>
      </c>
      <c r="F462" s="196">
        <v>43948</v>
      </c>
      <c r="G462" s="250" t="s">
        <v>4</v>
      </c>
      <c r="H462" s="263">
        <v>2018</v>
      </c>
      <c r="I462" s="216" t="s">
        <v>763</v>
      </c>
      <c r="J462" s="264">
        <v>1930</v>
      </c>
      <c r="K462" s="264">
        <v>2041</v>
      </c>
      <c r="L462" s="265">
        <v>2007</v>
      </c>
      <c r="M462" s="249">
        <v>0</v>
      </c>
      <c r="N462" s="200">
        <v>0</v>
      </c>
      <c r="O462" s="269"/>
      <c r="P462" s="263">
        <v>2018</v>
      </c>
      <c r="Q462" s="270">
        <v>9.1</v>
      </c>
      <c r="R462" s="267"/>
      <c r="S462" s="267"/>
      <c r="T462" s="267"/>
      <c r="U462" s="267"/>
      <c r="V462" s="267"/>
      <c r="W462" s="267"/>
      <c r="Y462" s="263">
        <v>2018</v>
      </c>
      <c r="Z462" s="270">
        <v>0.2</v>
      </c>
      <c r="AA462" s="267"/>
      <c r="AB462" s="267"/>
      <c r="AC462" s="267"/>
      <c r="AD462" s="267"/>
      <c r="AE462" s="267"/>
      <c r="AF462" s="267"/>
      <c r="AH462" s="263">
        <v>2018</v>
      </c>
      <c r="AI462" s="254">
        <v>-8.9</v>
      </c>
      <c r="AJ462" s="254" t="s">
        <v>82</v>
      </c>
      <c r="AK462" s="254" t="s">
        <v>82</v>
      </c>
      <c r="AL462" s="254" t="s">
        <v>82</v>
      </c>
      <c r="AM462" s="254" t="s">
        <v>82</v>
      </c>
      <c r="AN462" s="254" t="s">
        <v>82</v>
      </c>
      <c r="AO462" s="254" t="s">
        <v>82</v>
      </c>
    </row>
    <row r="463" spans="1:41" x14ac:dyDescent="0.2">
      <c r="A463" s="249">
        <v>459</v>
      </c>
      <c r="B463" s="195">
        <v>20</v>
      </c>
      <c r="C463" s="195" t="s">
        <v>752</v>
      </c>
      <c r="D463" s="195">
        <v>5</v>
      </c>
      <c r="E463" s="195" t="s">
        <v>549</v>
      </c>
      <c r="F463" s="196">
        <v>43998</v>
      </c>
      <c r="G463" s="250" t="s">
        <v>5</v>
      </c>
      <c r="H463" s="263">
        <v>2025</v>
      </c>
      <c r="I463" s="216" t="s">
        <v>673</v>
      </c>
      <c r="J463" s="264">
        <v>2230</v>
      </c>
      <c r="K463" s="264">
        <v>2314</v>
      </c>
      <c r="L463" s="265">
        <v>2238</v>
      </c>
      <c r="M463" s="249">
        <v>0</v>
      </c>
      <c r="N463" s="200">
        <v>0</v>
      </c>
      <c r="O463" s="269"/>
      <c r="P463" s="263">
        <v>2025</v>
      </c>
      <c r="Q463" s="270">
        <v>6.1</v>
      </c>
      <c r="R463" s="267"/>
      <c r="S463" s="267"/>
      <c r="T463" s="267"/>
      <c r="U463" s="267"/>
      <c r="V463" s="267"/>
      <c r="W463" s="267"/>
      <c r="Y463" s="263">
        <v>2025</v>
      </c>
      <c r="Z463" s="270">
        <v>0</v>
      </c>
      <c r="AA463" s="267"/>
      <c r="AB463" s="267"/>
      <c r="AC463" s="267"/>
      <c r="AD463" s="267"/>
      <c r="AE463" s="267"/>
      <c r="AF463" s="267"/>
      <c r="AH463" s="263">
        <v>2025</v>
      </c>
      <c r="AI463" s="254">
        <v>-6.1</v>
      </c>
      <c r="AJ463" s="254" t="s">
        <v>82</v>
      </c>
      <c r="AK463" s="254" t="s">
        <v>82</v>
      </c>
      <c r="AL463" s="254" t="s">
        <v>82</v>
      </c>
      <c r="AM463" s="254" t="s">
        <v>82</v>
      </c>
      <c r="AN463" s="254" t="s">
        <v>82</v>
      </c>
      <c r="AO463" s="254" t="s">
        <v>82</v>
      </c>
    </row>
    <row r="464" spans="1:41" x14ac:dyDescent="0.2">
      <c r="A464" s="249">
        <v>460</v>
      </c>
      <c r="B464" s="195">
        <v>20</v>
      </c>
      <c r="C464" s="195" t="s">
        <v>752</v>
      </c>
      <c r="D464" s="195">
        <v>5</v>
      </c>
      <c r="E464" s="195" t="s">
        <v>549</v>
      </c>
      <c r="F464" s="196">
        <v>44004</v>
      </c>
      <c r="G464" s="250" t="s">
        <v>4</v>
      </c>
      <c r="H464" s="263">
        <v>2026</v>
      </c>
      <c r="I464" s="216" t="s">
        <v>673</v>
      </c>
      <c r="J464" s="264">
        <v>2415</v>
      </c>
      <c r="K464" s="264">
        <v>2459</v>
      </c>
      <c r="L464" s="265">
        <v>2423</v>
      </c>
      <c r="M464" s="249">
        <v>0</v>
      </c>
      <c r="N464" s="200">
        <v>0</v>
      </c>
      <c r="O464" s="269"/>
      <c r="P464" s="263">
        <v>2026</v>
      </c>
      <c r="Q464" s="270">
        <v>6.1</v>
      </c>
      <c r="R464" s="267"/>
      <c r="S464" s="267"/>
      <c r="T464" s="267"/>
      <c r="U464" s="267"/>
      <c r="V464" s="267"/>
      <c r="W464" s="267"/>
      <c r="Y464" s="263">
        <v>2026</v>
      </c>
      <c r="Z464" s="270">
        <v>0</v>
      </c>
      <c r="AA464" s="267"/>
      <c r="AB464" s="267"/>
      <c r="AC464" s="267"/>
      <c r="AD464" s="267"/>
      <c r="AE464" s="267"/>
      <c r="AF464" s="267"/>
      <c r="AH464" s="263">
        <v>2026</v>
      </c>
      <c r="AI464" s="254">
        <v>-6.1</v>
      </c>
      <c r="AJ464" s="254" t="s">
        <v>82</v>
      </c>
      <c r="AK464" s="254" t="s">
        <v>82</v>
      </c>
      <c r="AL464" s="254" t="s">
        <v>82</v>
      </c>
      <c r="AM464" s="254" t="s">
        <v>82</v>
      </c>
      <c r="AN464" s="254" t="s">
        <v>82</v>
      </c>
      <c r="AO464" s="254" t="s">
        <v>82</v>
      </c>
    </row>
    <row r="465" spans="1:41" x14ac:dyDescent="0.2">
      <c r="A465" s="249">
        <v>461</v>
      </c>
      <c r="B465" s="195">
        <v>20</v>
      </c>
      <c r="C465" s="195" t="s">
        <v>752</v>
      </c>
      <c r="D465" s="195">
        <v>5</v>
      </c>
      <c r="E465" s="195" t="s">
        <v>549</v>
      </c>
      <c r="F465" s="196">
        <v>44076</v>
      </c>
      <c r="G465" s="250" t="s">
        <v>6</v>
      </c>
      <c r="H465" s="263">
        <v>2036</v>
      </c>
      <c r="I465" s="216" t="s">
        <v>566</v>
      </c>
      <c r="J465" s="264">
        <v>2500</v>
      </c>
      <c r="K465" s="264">
        <v>2559</v>
      </c>
      <c r="L465" s="265">
        <v>2510</v>
      </c>
      <c r="M465" s="249">
        <v>0</v>
      </c>
      <c r="N465" s="200">
        <v>0</v>
      </c>
      <c r="O465" s="269"/>
      <c r="P465" s="263">
        <v>2036</v>
      </c>
      <c r="Q465" s="270">
        <v>3</v>
      </c>
      <c r="R465" s="267"/>
      <c r="S465" s="267"/>
      <c r="T465" s="267"/>
      <c r="U465" s="267"/>
      <c r="V465" s="267"/>
      <c r="W465" s="267"/>
      <c r="Y465" s="263">
        <v>2036</v>
      </c>
      <c r="Z465" s="270">
        <v>0</v>
      </c>
      <c r="AA465" s="267"/>
      <c r="AB465" s="267"/>
      <c r="AC465" s="267"/>
      <c r="AD465" s="267"/>
      <c r="AE465" s="267"/>
      <c r="AF465" s="267"/>
      <c r="AH465" s="263">
        <v>2036</v>
      </c>
      <c r="AI465" s="254">
        <v>-3</v>
      </c>
      <c r="AJ465" s="254" t="s">
        <v>82</v>
      </c>
      <c r="AK465" s="254" t="s">
        <v>82</v>
      </c>
      <c r="AL465" s="254" t="s">
        <v>82</v>
      </c>
      <c r="AM465" s="254" t="s">
        <v>82</v>
      </c>
      <c r="AN465" s="254" t="s">
        <v>82</v>
      </c>
      <c r="AO465" s="254" t="s">
        <v>82</v>
      </c>
    </row>
    <row r="466" spans="1:41" x14ac:dyDescent="0.2">
      <c r="A466" s="249">
        <v>462</v>
      </c>
      <c r="B466" s="195">
        <v>20</v>
      </c>
      <c r="C466" s="195" t="s">
        <v>752</v>
      </c>
      <c r="D466" s="195">
        <v>5</v>
      </c>
      <c r="E466" s="195" t="s">
        <v>549</v>
      </c>
      <c r="F466" s="196">
        <v>44220</v>
      </c>
      <c r="G466" s="250" t="s">
        <v>10</v>
      </c>
      <c r="H466" s="263">
        <v>2104</v>
      </c>
      <c r="I466" s="216" t="s">
        <v>593</v>
      </c>
      <c r="J466" s="264">
        <v>1900</v>
      </c>
      <c r="K466" s="264">
        <v>1929</v>
      </c>
      <c r="L466" s="265">
        <v>1917</v>
      </c>
      <c r="M466" s="249">
        <v>0</v>
      </c>
      <c r="N466" s="200">
        <v>0</v>
      </c>
      <c r="P466" s="263">
        <v>2104</v>
      </c>
      <c r="Q466" s="270">
        <v>6.5</v>
      </c>
      <c r="R466" s="267"/>
      <c r="S466" s="267"/>
      <c r="T466" s="267"/>
      <c r="U466" s="267"/>
      <c r="V466" s="267"/>
      <c r="W466" s="267"/>
      <c r="Y466" s="263">
        <v>2104</v>
      </c>
      <c r="Z466" s="270">
        <v>0.4</v>
      </c>
      <c r="AA466" s="267"/>
      <c r="AB466" s="267"/>
      <c r="AC466" s="267"/>
      <c r="AD466" s="267"/>
      <c r="AE466" s="267"/>
      <c r="AF466" s="267"/>
      <c r="AH466" s="263">
        <v>2104</v>
      </c>
      <c r="AI466" s="254">
        <v>-6.1</v>
      </c>
      <c r="AJ466" s="254" t="s">
        <v>82</v>
      </c>
      <c r="AK466" s="254" t="s">
        <v>82</v>
      </c>
      <c r="AL466" s="254" t="s">
        <v>82</v>
      </c>
      <c r="AM466" s="254" t="s">
        <v>82</v>
      </c>
      <c r="AN466" s="254" t="s">
        <v>82</v>
      </c>
      <c r="AO466" s="254" t="s">
        <v>82</v>
      </c>
    </row>
    <row r="467" spans="1:41" x14ac:dyDescent="0.2">
      <c r="A467" s="249">
        <v>463</v>
      </c>
      <c r="B467" s="195">
        <v>20</v>
      </c>
      <c r="C467" s="195" t="s">
        <v>752</v>
      </c>
      <c r="D467" s="195">
        <v>5</v>
      </c>
      <c r="E467" s="195" t="s">
        <v>549</v>
      </c>
      <c r="F467" s="196">
        <v>44229</v>
      </c>
      <c r="G467" s="250" t="s">
        <v>5</v>
      </c>
      <c r="H467" s="263">
        <v>2106</v>
      </c>
      <c r="I467" s="216" t="s">
        <v>684</v>
      </c>
      <c r="J467" s="264">
        <v>630</v>
      </c>
      <c r="K467" s="264">
        <v>659</v>
      </c>
      <c r="L467" s="265">
        <v>647</v>
      </c>
      <c r="M467" s="249">
        <v>0</v>
      </c>
      <c r="N467" s="200">
        <v>0</v>
      </c>
      <c r="O467" s="269"/>
      <c r="P467" s="263">
        <v>2106</v>
      </c>
      <c r="Q467" s="270">
        <v>5.0999999999999996</v>
      </c>
      <c r="R467" s="267"/>
      <c r="S467" s="267"/>
      <c r="T467" s="267"/>
      <c r="U467" s="267"/>
      <c r="V467" s="267"/>
      <c r="W467" s="267"/>
      <c r="Y467" s="263">
        <v>2106</v>
      </c>
      <c r="Z467" s="270">
        <v>0</v>
      </c>
      <c r="AA467" s="267"/>
      <c r="AB467" s="267"/>
      <c r="AC467" s="267"/>
      <c r="AD467" s="267"/>
      <c r="AE467" s="267"/>
      <c r="AF467" s="267"/>
      <c r="AH467" s="263">
        <v>2106</v>
      </c>
      <c r="AI467" s="254">
        <v>-5.0999999999999996</v>
      </c>
      <c r="AJ467" s="254" t="s">
        <v>82</v>
      </c>
      <c r="AK467" s="254" t="s">
        <v>82</v>
      </c>
      <c r="AL467" s="254" t="s">
        <v>82</v>
      </c>
      <c r="AM467" s="254" t="s">
        <v>82</v>
      </c>
      <c r="AN467" s="254" t="s">
        <v>82</v>
      </c>
      <c r="AO467" s="254" t="s">
        <v>82</v>
      </c>
    </row>
    <row r="468" spans="1:41" x14ac:dyDescent="0.2">
      <c r="A468" s="249">
        <v>464</v>
      </c>
      <c r="B468" s="195">
        <v>20</v>
      </c>
      <c r="C468" s="195" t="s">
        <v>752</v>
      </c>
      <c r="D468" s="195">
        <v>6</v>
      </c>
      <c r="E468" s="195" t="s">
        <v>553</v>
      </c>
      <c r="F468" s="196">
        <v>44038</v>
      </c>
      <c r="G468" s="250" t="s">
        <v>10</v>
      </c>
      <c r="H468" s="263">
        <v>2030</v>
      </c>
      <c r="I468" s="216" t="s">
        <v>764</v>
      </c>
      <c r="J468" s="264">
        <v>1230</v>
      </c>
      <c r="K468" s="264">
        <v>1359</v>
      </c>
      <c r="L468" s="265">
        <v>1348</v>
      </c>
      <c r="M468" s="249">
        <v>0</v>
      </c>
      <c r="N468" s="200">
        <v>0</v>
      </c>
      <c r="O468" s="269"/>
      <c r="P468" s="263">
        <v>2030</v>
      </c>
      <c r="Q468" s="270">
        <v>2.9</v>
      </c>
      <c r="R468" s="267"/>
      <c r="S468" s="267"/>
      <c r="T468" s="267"/>
      <c r="U468" s="267"/>
      <c r="V468" s="267"/>
      <c r="W468" s="267"/>
      <c r="Y468" s="263">
        <v>2030</v>
      </c>
      <c r="Z468" s="270">
        <v>0</v>
      </c>
      <c r="AA468" s="267"/>
      <c r="AB468" s="267"/>
      <c r="AC468" s="267"/>
      <c r="AD468" s="267"/>
      <c r="AE468" s="267"/>
      <c r="AF468" s="267"/>
      <c r="AH468" s="263">
        <v>2030</v>
      </c>
      <c r="AI468" s="254">
        <v>-2.9</v>
      </c>
      <c r="AJ468" s="254" t="s">
        <v>82</v>
      </c>
      <c r="AK468" s="254" t="s">
        <v>82</v>
      </c>
      <c r="AL468" s="254" t="s">
        <v>82</v>
      </c>
      <c r="AM468" s="254" t="s">
        <v>82</v>
      </c>
      <c r="AN468" s="254" t="s">
        <v>82</v>
      </c>
      <c r="AO468" s="254" t="s">
        <v>82</v>
      </c>
    </row>
    <row r="469" spans="1:41" x14ac:dyDescent="0.2">
      <c r="A469" s="249">
        <v>465</v>
      </c>
      <c r="B469" s="195">
        <v>20</v>
      </c>
      <c r="C469" s="195" t="s">
        <v>752</v>
      </c>
      <c r="D469" s="195">
        <v>6</v>
      </c>
      <c r="E469" s="195" t="s">
        <v>553</v>
      </c>
      <c r="F469" s="196">
        <v>44375</v>
      </c>
      <c r="G469" s="250" t="s">
        <v>4</v>
      </c>
      <c r="H469" s="263">
        <v>2127</v>
      </c>
      <c r="I469" s="216" t="s">
        <v>765</v>
      </c>
      <c r="J469" s="264">
        <v>1200</v>
      </c>
      <c r="K469" s="264">
        <v>1254</v>
      </c>
      <c r="L469" s="265">
        <v>1244</v>
      </c>
      <c r="M469" s="249">
        <v>0</v>
      </c>
      <c r="N469" s="200">
        <v>0</v>
      </c>
      <c r="O469" s="269"/>
      <c r="P469" s="263">
        <v>2127</v>
      </c>
      <c r="Q469" s="270">
        <v>11.8</v>
      </c>
      <c r="R469" s="267"/>
      <c r="S469" s="267"/>
      <c r="T469" s="267"/>
      <c r="U469" s="267"/>
      <c r="V469" s="267"/>
      <c r="W469" s="267"/>
      <c r="Y469" s="263">
        <v>2127</v>
      </c>
      <c r="Z469" s="270">
        <v>0</v>
      </c>
      <c r="AA469" s="267"/>
      <c r="AB469" s="267"/>
      <c r="AC469" s="267"/>
      <c r="AD469" s="267"/>
      <c r="AE469" s="267"/>
      <c r="AF469" s="267"/>
      <c r="AH469" s="263">
        <v>2127</v>
      </c>
      <c r="AI469" s="254">
        <v>-11.8</v>
      </c>
      <c r="AJ469" s="254" t="s">
        <v>82</v>
      </c>
      <c r="AK469" s="254" t="s">
        <v>82</v>
      </c>
      <c r="AL469" s="254" t="s">
        <v>82</v>
      </c>
      <c r="AM469" s="254" t="s">
        <v>82</v>
      </c>
      <c r="AN469" s="254" t="s">
        <v>82</v>
      </c>
      <c r="AO469" s="254" t="s">
        <v>82</v>
      </c>
    </row>
    <row r="470" spans="1:41" x14ac:dyDescent="0.2">
      <c r="A470" s="249">
        <v>466</v>
      </c>
      <c r="B470" s="195">
        <v>21</v>
      </c>
      <c r="C470" s="195" t="s">
        <v>766</v>
      </c>
      <c r="D470" s="195">
        <v>1</v>
      </c>
      <c r="E470" s="195" t="s">
        <v>432</v>
      </c>
      <c r="F470" s="196">
        <v>44071</v>
      </c>
      <c r="G470" s="250" t="s">
        <v>8</v>
      </c>
      <c r="H470" s="263">
        <v>2035</v>
      </c>
      <c r="I470" s="216" t="s">
        <v>176</v>
      </c>
      <c r="J470" s="264">
        <v>800</v>
      </c>
      <c r="K470" s="264">
        <v>929</v>
      </c>
      <c r="L470" s="265">
        <v>922</v>
      </c>
      <c r="M470" s="249">
        <v>0</v>
      </c>
      <c r="N470" s="200">
        <v>0</v>
      </c>
      <c r="O470" s="269"/>
      <c r="P470" s="263">
        <v>2035</v>
      </c>
      <c r="Q470" s="270">
        <v>13.9</v>
      </c>
      <c r="R470" s="267"/>
      <c r="S470" s="267"/>
      <c r="T470" s="267"/>
      <c r="U470" s="267"/>
      <c r="V470" s="267"/>
      <c r="W470" s="267"/>
      <c r="Y470" s="263">
        <v>2035</v>
      </c>
      <c r="Z470" s="270">
        <v>2.4</v>
      </c>
      <c r="AA470" s="267"/>
      <c r="AB470" s="267"/>
      <c r="AC470" s="267"/>
      <c r="AD470" s="267"/>
      <c r="AE470" s="267"/>
      <c r="AF470" s="267"/>
      <c r="AH470" s="263">
        <v>2035</v>
      </c>
      <c r="AI470" s="254">
        <v>-11.5</v>
      </c>
      <c r="AJ470" s="254" t="s">
        <v>82</v>
      </c>
      <c r="AK470" s="254" t="s">
        <v>82</v>
      </c>
      <c r="AL470" s="254" t="s">
        <v>82</v>
      </c>
      <c r="AM470" s="254" t="s">
        <v>82</v>
      </c>
      <c r="AN470" s="254" t="s">
        <v>82</v>
      </c>
      <c r="AO470" s="254" t="s">
        <v>82</v>
      </c>
    </row>
    <row r="471" spans="1:41" x14ac:dyDescent="0.2">
      <c r="A471" s="249">
        <v>467</v>
      </c>
      <c r="B471" s="195">
        <v>21</v>
      </c>
      <c r="C471" s="195" t="s">
        <v>766</v>
      </c>
      <c r="D471" s="195">
        <v>1</v>
      </c>
      <c r="E471" s="195" t="s">
        <v>432</v>
      </c>
      <c r="F471" s="196">
        <v>44339</v>
      </c>
      <c r="G471" s="250" t="s">
        <v>10</v>
      </c>
      <c r="H471" s="263">
        <v>2121</v>
      </c>
      <c r="I471" s="216" t="s">
        <v>767</v>
      </c>
      <c r="J471" s="264">
        <v>1200</v>
      </c>
      <c r="K471" s="264">
        <v>1254</v>
      </c>
      <c r="L471" s="265">
        <v>1242</v>
      </c>
      <c r="M471" s="249">
        <v>0</v>
      </c>
      <c r="N471" s="200">
        <v>0</v>
      </c>
      <c r="O471" s="269"/>
      <c r="P471" s="263">
        <v>2121</v>
      </c>
      <c r="Q471" s="270">
        <v>2.1</v>
      </c>
      <c r="R471" s="267"/>
      <c r="S471" s="267"/>
      <c r="T471" s="267"/>
      <c r="U471" s="267"/>
      <c r="V471" s="267"/>
      <c r="W471" s="267"/>
      <c r="Y471" s="263">
        <v>2121</v>
      </c>
      <c r="Z471" s="270">
        <v>0</v>
      </c>
      <c r="AA471" s="267"/>
      <c r="AB471" s="267"/>
      <c r="AC471" s="267"/>
      <c r="AD471" s="267"/>
      <c r="AE471" s="267"/>
      <c r="AF471" s="267"/>
      <c r="AH471" s="263">
        <v>2121</v>
      </c>
      <c r="AI471" s="254">
        <v>-2.1</v>
      </c>
      <c r="AJ471" s="254" t="s">
        <v>82</v>
      </c>
      <c r="AK471" s="254" t="s">
        <v>82</v>
      </c>
      <c r="AL471" s="254" t="s">
        <v>82</v>
      </c>
      <c r="AM471" s="254" t="s">
        <v>82</v>
      </c>
      <c r="AN471" s="254" t="s">
        <v>82</v>
      </c>
      <c r="AO471" s="254" t="s">
        <v>82</v>
      </c>
    </row>
    <row r="472" spans="1:41" x14ac:dyDescent="0.2">
      <c r="A472" s="249">
        <v>468</v>
      </c>
      <c r="B472" s="195">
        <v>21</v>
      </c>
      <c r="C472" s="195" t="s">
        <v>766</v>
      </c>
      <c r="D472" s="195">
        <v>1</v>
      </c>
      <c r="E472" s="195" t="s">
        <v>432</v>
      </c>
      <c r="F472" s="196">
        <v>44474</v>
      </c>
      <c r="G472" s="250" t="s">
        <v>5</v>
      </c>
      <c r="H472" s="263">
        <v>2141</v>
      </c>
      <c r="I472" s="216" t="s">
        <v>433</v>
      </c>
      <c r="J472" s="264">
        <v>1650</v>
      </c>
      <c r="K472" s="264">
        <v>1752</v>
      </c>
      <c r="L472" s="265">
        <v>1717</v>
      </c>
      <c r="M472" s="249">
        <v>1</v>
      </c>
      <c r="N472" s="200">
        <v>0</v>
      </c>
      <c r="O472" s="269"/>
      <c r="P472" s="263">
        <v>2141</v>
      </c>
      <c r="Q472" s="270">
        <v>8</v>
      </c>
      <c r="R472" s="270">
        <v>6</v>
      </c>
      <c r="S472" s="270">
        <v>5.4</v>
      </c>
      <c r="T472" s="270">
        <v>0.6</v>
      </c>
      <c r="U472" s="270">
        <v>5.8</v>
      </c>
      <c r="V472" s="270">
        <v>5.8</v>
      </c>
      <c r="W472" s="270" t="s">
        <v>84</v>
      </c>
      <c r="Y472" s="263">
        <v>2141</v>
      </c>
      <c r="Z472" s="270">
        <v>0</v>
      </c>
      <c r="AA472" s="270">
        <v>5.4</v>
      </c>
      <c r="AB472" s="270">
        <v>5.4</v>
      </c>
      <c r="AC472" s="270">
        <v>0</v>
      </c>
      <c r="AD472" s="270">
        <v>5.8</v>
      </c>
      <c r="AE472" s="270">
        <v>5.8</v>
      </c>
      <c r="AF472" s="270" t="s">
        <v>84</v>
      </c>
      <c r="AH472" s="263">
        <v>2141</v>
      </c>
      <c r="AI472" s="254">
        <v>-8</v>
      </c>
      <c r="AJ472" s="254">
        <v>-0.59999999999999964</v>
      </c>
      <c r="AK472" s="254" t="s">
        <v>82</v>
      </c>
      <c r="AL472" s="254">
        <v>-0.6</v>
      </c>
      <c r="AM472" s="254" t="s">
        <v>82</v>
      </c>
      <c r="AN472" s="254" t="s">
        <v>82</v>
      </c>
      <c r="AO472" s="254" t="s">
        <v>82</v>
      </c>
    </row>
    <row r="473" spans="1:41" x14ac:dyDescent="0.2">
      <c r="A473" s="249">
        <v>469</v>
      </c>
      <c r="B473" s="195">
        <v>21</v>
      </c>
      <c r="C473" s="195" t="s">
        <v>766</v>
      </c>
      <c r="D473" s="195">
        <v>1</v>
      </c>
      <c r="E473" s="195" t="s">
        <v>432</v>
      </c>
      <c r="F473" s="196">
        <v>44536</v>
      </c>
      <c r="G473" s="250" t="s">
        <v>4</v>
      </c>
      <c r="H473" s="263">
        <v>2150</v>
      </c>
      <c r="I473" s="216" t="s">
        <v>434</v>
      </c>
      <c r="J473" s="264">
        <v>1620</v>
      </c>
      <c r="K473" s="264">
        <v>1649</v>
      </c>
      <c r="L473" s="265">
        <v>1637</v>
      </c>
      <c r="M473" s="249">
        <v>1</v>
      </c>
      <c r="N473" s="200">
        <v>0</v>
      </c>
      <c r="O473" s="269"/>
      <c r="P473" s="263">
        <v>2150</v>
      </c>
      <c r="Q473" s="270">
        <v>8</v>
      </c>
      <c r="R473" s="270">
        <v>5.5</v>
      </c>
      <c r="S473" s="270">
        <v>4.5</v>
      </c>
      <c r="T473" s="270">
        <v>1</v>
      </c>
      <c r="U473" s="270">
        <v>4.5999999999999996</v>
      </c>
      <c r="V473" s="270">
        <v>4.5999999999999996</v>
      </c>
      <c r="W473" s="270" t="s">
        <v>84</v>
      </c>
      <c r="Y473" s="263">
        <v>2150</v>
      </c>
      <c r="Z473" s="270">
        <v>0</v>
      </c>
      <c r="AA473" s="270">
        <v>4.5</v>
      </c>
      <c r="AB473" s="270">
        <v>4.5</v>
      </c>
      <c r="AC473" s="270">
        <v>0</v>
      </c>
      <c r="AD473" s="270">
        <v>4.5999999999999996</v>
      </c>
      <c r="AE473" s="270">
        <v>4.5999999999999996</v>
      </c>
      <c r="AF473" s="270" t="s">
        <v>84</v>
      </c>
      <c r="AH473" s="263">
        <v>2150</v>
      </c>
      <c r="AI473" s="254">
        <v>-8</v>
      </c>
      <c r="AJ473" s="254">
        <v>-1</v>
      </c>
      <c r="AK473" s="254" t="s">
        <v>82</v>
      </c>
      <c r="AL473" s="254">
        <v>-1</v>
      </c>
      <c r="AM473" s="254" t="s">
        <v>82</v>
      </c>
      <c r="AN473" s="254" t="s">
        <v>82</v>
      </c>
      <c r="AO473" s="254" t="s">
        <v>82</v>
      </c>
    </row>
    <row r="474" spans="1:41" x14ac:dyDescent="0.2">
      <c r="A474" s="249">
        <v>470</v>
      </c>
      <c r="B474" s="195">
        <v>21</v>
      </c>
      <c r="C474" s="195" t="s">
        <v>766</v>
      </c>
      <c r="D474" s="195">
        <v>1</v>
      </c>
      <c r="E474" s="195" t="s">
        <v>432</v>
      </c>
      <c r="F474" s="196">
        <v>44556</v>
      </c>
      <c r="G474" s="250" t="s">
        <v>10</v>
      </c>
      <c r="H474" s="263">
        <v>2152</v>
      </c>
      <c r="I474" s="216" t="s">
        <v>439</v>
      </c>
      <c r="J474" s="264">
        <v>1700</v>
      </c>
      <c r="K474" s="264">
        <v>1724</v>
      </c>
      <c r="L474" s="265">
        <v>1721</v>
      </c>
      <c r="M474" s="249">
        <v>1</v>
      </c>
      <c r="N474" s="200">
        <v>0</v>
      </c>
      <c r="O474" s="269"/>
      <c r="P474" s="263">
        <v>2152</v>
      </c>
      <c r="Q474" s="270">
        <v>5.9</v>
      </c>
      <c r="R474" s="270">
        <v>6.8</v>
      </c>
      <c r="S474" s="270">
        <v>6.1</v>
      </c>
      <c r="T474" s="270">
        <v>0.7</v>
      </c>
      <c r="U474" s="270">
        <v>4.8</v>
      </c>
      <c r="V474" s="270">
        <v>4.8</v>
      </c>
      <c r="W474" s="270">
        <v>0</v>
      </c>
      <c r="Y474" s="263">
        <v>2152</v>
      </c>
      <c r="Z474" s="270">
        <v>0</v>
      </c>
      <c r="AA474" s="270">
        <v>6.1</v>
      </c>
      <c r="AB474" s="270">
        <v>6.1</v>
      </c>
      <c r="AC474" s="270">
        <v>0</v>
      </c>
      <c r="AD474" s="270">
        <v>4.8</v>
      </c>
      <c r="AE474" s="270">
        <v>4.8</v>
      </c>
      <c r="AF474" s="270">
        <v>0</v>
      </c>
      <c r="AH474" s="263">
        <v>2152</v>
      </c>
      <c r="AI474" s="254">
        <v>-5.9</v>
      </c>
      <c r="AJ474" s="254">
        <v>-0.70000000000000018</v>
      </c>
      <c r="AK474" s="254" t="s">
        <v>82</v>
      </c>
      <c r="AL474" s="254">
        <v>-0.7</v>
      </c>
      <c r="AM474" s="254" t="s">
        <v>82</v>
      </c>
      <c r="AN474" s="254" t="s">
        <v>82</v>
      </c>
      <c r="AO474" s="254" t="s">
        <v>82</v>
      </c>
    </row>
    <row r="475" spans="1:41" x14ac:dyDescent="0.2">
      <c r="A475" s="249">
        <v>471</v>
      </c>
      <c r="B475" s="195">
        <v>21</v>
      </c>
      <c r="C475" s="195" t="s">
        <v>766</v>
      </c>
      <c r="D475" s="195">
        <v>2</v>
      </c>
      <c r="E475" s="195" t="s">
        <v>440</v>
      </c>
      <c r="F475" s="196">
        <v>44569</v>
      </c>
      <c r="G475" s="250" t="s">
        <v>9</v>
      </c>
      <c r="H475" s="263">
        <v>2202</v>
      </c>
      <c r="I475" s="216" t="s">
        <v>281</v>
      </c>
      <c r="J475" s="264">
        <v>1900</v>
      </c>
      <c r="K475" s="264">
        <v>1959</v>
      </c>
      <c r="L475" s="265">
        <v>1924</v>
      </c>
      <c r="M475" s="249">
        <v>1</v>
      </c>
      <c r="N475" s="200">
        <v>0</v>
      </c>
      <c r="P475" s="263">
        <v>2202</v>
      </c>
      <c r="Q475" s="270">
        <v>82.5</v>
      </c>
      <c r="R475" s="270">
        <v>10.199999999999999</v>
      </c>
      <c r="S475" s="270">
        <v>3.3</v>
      </c>
      <c r="T475" s="270">
        <v>6.9</v>
      </c>
      <c r="U475" s="270">
        <v>3.8</v>
      </c>
      <c r="V475" s="270">
        <v>3.8</v>
      </c>
      <c r="W475" s="270" t="s">
        <v>84</v>
      </c>
      <c r="Y475" s="263">
        <v>2202</v>
      </c>
      <c r="Z475" s="270">
        <v>0.2</v>
      </c>
      <c r="AA475" s="270">
        <v>3.9</v>
      </c>
      <c r="AB475" s="270">
        <v>3.3</v>
      </c>
      <c r="AC475" s="270">
        <v>0.6</v>
      </c>
      <c r="AD475" s="270">
        <v>3.8</v>
      </c>
      <c r="AE475" s="270">
        <v>3.8</v>
      </c>
      <c r="AF475" s="270" t="s">
        <v>84</v>
      </c>
      <c r="AH475" s="263">
        <v>2202</v>
      </c>
      <c r="AI475" s="254">
        <v>-82.3</v>
      </c>
      <c r="AJ475" s="254">
        <v>-6.2999999999999989</v>
      </c>
      <c r="AK475" s="254" t="s">
        <v>82</v>
      </c>
      <c r="AL475" s="254">
        <v>-6.3000000000000007</v>
      </c>
      <c r="AM475" s="254" t="s">
        <v>82</v>
      </c>
      <c r="AN475" s="254" t="s">
        <v>82</v>
      </c>
      <c r="AO475" s="254" t="s">
        <v>82</v>
      </c>
    </row>
    <row r="476" spans="1:41" x14ac:dyDescent="0.2">
      <c r="A476" s="249">
        <v>472</v>
      </c>
      <c r="B476" s="195">
        <v>21</v>
      </c>
      <c r="C476" s="195" t="s">
        <v>766</v>
      </c>
      <c r="D476" s="195">
        <v>3</v>
      </c>
      <c r="E476" s="195" t="s">
        <v>441</v>
      </c>
      <c r="F476" s="196">
        <v>43988</v>
      </c>
      <c r="G476" s="250" t="s">
        <v>9</v>
      </c>
      <c r="H476" s="263">
        <v>2023</v>
      </c>
      <c r="I476" s="216" t="s">
        <v>447</v>
      </c>
      <c r="J476" s="264">
        <v>2458</v>
      </c>
      <c r="K476" s="264">
        <v>2527</v>
      </c>
      <c r="L476" s="265">
        <v>2504</v>
      </c>
      <c r="M476" s="249">
        <v>0</v>
      </c>
      <c r="N476" s="200">
        <v>0</v>
      </c>
      <c r="O476" s="269"/>
      <c r="P476" s="263">
        <v>2023</v>
      </c>
      <c r="Q476" s="270">
        <v>9.5</v>
      </c>
      <c r="R476" s="267"/>
      <c r="S476" s="267"/>
      <c r="T476" s="267"/>
      <c r="U476" s="267"/>
      <c r="V476" s="267"/>
      <c r="W476" s="267"/>
      <c r="Y476" s="263">
        <v>2023</v>
      </c>
      <c r="Z476" s="270">
        <v>0</v>
      </c>
      <c r="AA476" s="267"/>
      <c r="AB476" s="267"/>
      <c r="AC476" s="267"/>
      <c r="AD476" s="267"/>
      <c r="AE476" s="267"/>
      <c r="AF476" s="267"/>
      <c r="AH476" s="263">
        <v>2023</v>
      </c>
      <c r="AI476" s="254">
        <v>-9.5</v>
      </c>
      <c r="AJ476" s="254" t="s">
        <v>82</v>
      </c>
      <c r="AK476" s="254" t="s">
        <v>82</v>
      </c>
      <c r="AL476" s="254" t="s">
        <v>82</v>
      </c>
      <c r="AM476" s="254" t="s">
        <v>82</v>
      </c>
      <c r="AN476" s="254" t="s">
        <v>82</v>
      </c>
      <c r="AO476" s="254" t="s">
        <v>82</v>
      </c>
    </row>
    <row r="477" spans="1:41" x14ac:dyDescent="0.2">
      <c r="A477" s="249">
        <v>473</v>
      </c>
      <c r="B477" s="195">
        <v>21</v>
      </c>
      <c r="C477" s="195" t="s">
        <v>766</v>
      </c>
      <c r="D477" s="195">
        <v>3</v>
      </c>
      <c r="E477" s="195" t="s">
        <v>441</v>
      </c>
      <c r="F477" s="196">
        <v>43997</v>
      </c>
      <c r="G477" s="250" t="s">
        <v>4</v>
      </c>
      <c r="H477" s="263">
        <v>2025</v>
      </c>
      <c r="I477" s="216" t="s">
        <v>768</v>
      </c>
      <c r="J477" s="264">
        <v>1650</v>
      </c>
      <c r="K477" s="264">
        <v>1749</v>
      </c>
      <c r="L477" s="265">
        <v>1747</v>
      </c>
      <c r="M477" s="249">
        <v>0</v>
      </c>
      <c r="N477" s="200">
        <v>0</v>
      </c>
      <c r="O477" s="269"/>
      <c r="P477" s="263">
        <v>2025</v>
      </c>
      <c r="Q477" s="270">
        <v>14.2</v>
      </c>
      <c r="R477" s="267"/>
      <c r="S477" s="267"/>
      <c r="T477" s="267"/>
      <c r="U477" s="267"/>
      <c r="V477" s="267"/>
      <c r="W477" s="267"/>
      <c r="Y477" s="263">
        <v>2025</v>
      </c>
      <c r="Z477" s="270">
        <v>0</v>
      </c>
      <c r="AA477" s="267"/>
      <c r="AB477" s="267"/>
      <c r="AC477" s="267"/>
      <c r="AD477" s="267"/>
      <c r="AE477" s="267"/>
      <c r="AF477" s="267"/>
      <c r="AH477" s="263">
        <v>2025</v>
      </c>
      <c r="AI477" s="254">
        <v>-14.2</v>
      </c>
      <c r="AJ477" s="254" t="s">
        <v>82</v>
      </c>
      <c r="AK477" s="254" t="s">
        <v>82</v>
      </c>
      <c r="AL477" s="254" t="s">
        <v>82</v>
      </c>
      <c r="AM477" s="254" t="s">
        <v>82</v>
      </c>
      <c r="AN477" s="254" t="s">
        <v>82</v>
      </c>
      <c r="AO477" s="254" t="s">
        <v>82</v>
      </c>
    </row>
    <row r="478" spans="1:41" x14ac:dyDescent="0.2">
      <c r="A478" s="249">
        <v>474</v>
      </c>
      <c r="B478" s="195">
        <v>21</v>
      </c>
      <c r="C478" s="195" t="s">
        <v>766</v>
      </c>
      <c r="D478" s="195">
        <v>3</v>
      </c>
      <c r="E478" s="195" t="s">
        <v>441</v>
      </c>
      <c r="F478" s="196">
        <v>44131</v>
      </c>
      <c r="G478" s="250" t="s">
        <v>5</v>
      </c>
      <c r="H478" s="263">
        <v>2044</v>
      </c>
      <c r="I478" s="216" t="s">
        <v>590</v>
      </c>
      <c r="J478" s="264">
        <v>2300</v>
      </c>
      <c r="K478" s="264">
        <v>2355</v>
      </c>
      <c r="L478" s="265">
        <v>2306</v>
      </c>
      <c r="M478" s="249">
        <v>0</v>
      </c>
      <c r="N478" s="200">
        <v>0</v>
      </c>
      <c r="O478" s="269"/>
      <c r="P478" s="263">
        <v>2044</v>
      </c>
      <c r="Q478" s="270">
        <v>17</v>
      </c>
      <c r="R478" s="267"/>
      <c r="S478" s="267"/>
      <c r="T478" s="267"/>
      <c r="U478" s="267"/>
      <c r="V478" s="267"/>
      <c r="W478" s="267"/>
      <c r="Y478" s="263">
        <v>2044</v>
      </c>
      <c r="Z478" s="270">
        <v>0</v>
      </c>
      <c r="AA478" s="267"/>
      <c r="AB478" s="267"/>
      <c r="AC478" s="267"/>
      <c r="AD478" s="267"/>
      <c r="AE478" s="267"/>
      <c r="AF478" s="267"/>
      <c r="AH478" s="263">
        <v>2044</v>
      </c>
      <c r="AI478" s="254">
        <v>-17</v>
      </c>
      <c r="AJ478" s="254" t="s">
        <v>82</v>
      </c>
      <c r="AK478" s="254" t="s">
        <v>82</v>
      </c>
      <c r="AL478" s="254" t="s">
        <v>82</v>
      </c>
      <c r="AM478" s="254" t="s">
        <v>82</v>
      </c>
      <c r="AN478" s="254" t="s">
        <v>82</v>
      </c>
      <c r="AO478" s="254" t="s">
        <v>82</v>
      </c>
    </row>
    <row r="479" spans="1:41" x14ac:dyDescent="0.2">
      <c r="A479" s="249">
        <v>475</v>
      </c>
      <c r="B479" s="195">
        <v>21</v>
      </c>
      <c r="C479" s="195" t="s">
        <v>766</v>
      </c>
      <c r="D479" s="195">
        <v>3</v>
      </c>
      <c r="E479" s="195" t="s">
        <v>441</v>
      </c>
      <c r="F479" s="196">
        <v>44165</v>
      </c>
      <c r="G479" s="250" t="s">
        <v>4</v>
      </c>
      <c r="H479" s="263">
        <v>2049</v>
      </c>
      <c r="I479" s="216" t="s">
        <v>250</v>
      </c>
      <c r="J479" s="264">
        <v>1355</v>
      </c>
      <c r="K479" s="264">
        <v>1548</v>
      </c>
      <c r="L479" s="265">
        <v>1435</v>
      </c>
      <c r="M479" s="249">
        <v>1</v>
      </c>
      <c r="N479" s="200">
        <v>0</v>
      </c>
      <c r="O479" s="269"/>
      <c r="P479" s="263">
        <v>2049</v>
      </c>
      <c r="Q479" s="270">
        <v>36.799999999999997</v>
      </c>
      <c r="R479" s="270">
        <v>3.3</v>
      </c>
      <c r="S479" s="270">
        <v>1.4</v>
      </c>
      <c r="T479" s="270">
        <v>1.9</v>
      </c>
      <c r="U479" s="270">
        <v>0.6</v>
      </c>
      <c r="V479" s="270">
        <v>0.6</v>
      </c>
      <c r="W479" s="270" t="s">
        <v>84</v>
      </c>
      <c r="Y479" s="263">
        <v>2049</v>
      </c>
      <c r="Z479" s="270">
        <v>0</v>
      </c>
      <c r="AA479" s="270">
        <v>1.4</v>
      </c>
      <c r="AB479" s="270">
        <v>1.4</v>
      </c>
      <c r="AC479" s="270">
        <v>0</v>
      </c>
      <c r="AD479" s="270">
        <v>0.6</v>
      </c>
      <c r="AE479" s="270">
        <v>0.6</v>
      </c>
      <c r="AF479" s="270" t="s">
        <v>84</v>
      </c>
      <c r="AH479" s="263">
        <v>2049</v>
      </c>
      <c r="AI479" s="254">
        <v>-36.799999999999997</v>
      </c>
      <c r="AJ479" s="254">
        <v>-1.9</v>
      </c>
      <c r="AK479" s="254" t="s">
        <v>82</v>
      </c>
      <c r="AL479" s="254">
        <v>-1.9</v>
      </c>
      <c r="AM479" s="254" t="s">
        <v>82</v>
      </c>
      <c r="AN479" s="254" t="s">
        <v>82</v>
      </c>
      <c r="AO479" s="254" t="s">
        <v>82</v>
      </c>
    </row>
    <row r="480" spans="1:41" x14ac:dyDescent="0.2">
      <c r="A480" s="249">
        <v>476</v>
      </c>
      <c r="B480" s="195">
        <v>21</v>
      </c>
      <c r="C480" s="195" t="s">
        <v>766</v>
      </c>
      <c r="D480" s="195">
        <v>3</v>
      </c>
      <c r="E480" s="195" t="s">
        <v>441</v>
      </c>
      <c r="F480" s="196">
        <v>44494</v>
      </c>
      <c r="G480" s="250" t="s">
        <v>4</v>
      </c>
      <c r="H480" s="263">
        <v>2144</v>
      </c>
      <c r="I480" s="216" t="s">
        <v>109</v>
      </c>
      <c r="J480" s="264">
        <v>600</v>
      </c>
      <c r="K480" s="264">
        <v>659</v>
      </c>
      <c r="L480" s="265">
        <v>648</v>
      </c>
      <c r="M480" s="249">
        <v>0</v>
      </c>
      <c r="N480" s="200">
        <v>0</v>
      </c>
      <c r="O480" s="269"/>
      <c r="P480" s="263">
        <v>2144</v>
      </c>
      <c r="Q480" s="270">
        <v>10.8</v>
      </c>
      <c r="R480" s="267"/>
      <c r="S480" s="267"/>
      <c r="T480" s="267"/>
      <c r="U480" s="267"/>
      <c r="V480" s="267"/>
      <c r="W480" s="267"/>
      <c r="Y480" s="263">
        <v>2144</v>
      </c>
      <c r="Z480" s="270">
        <v>0</v>
      </c>
      <c r="AA480" s="267"/>
      <c r="AB480" s="267"/>
      <c r="AC480" s="267"/>
      <c r="AD480" s="267"/>
      <c r="AE480" s="267"/>
      <c r="AF480" s="267"/>
      <c r="AH480" s="263">
        <v>2144</v>
      </c>
      <c r="AI480" s="254">
        <v>-10.8</v>
      </c>
      <c r="AJ480" s="254" t="s">
        <v>82</v>
      </c>
      <c r="AK480" s="254" t="s">
        <v>82</v>
      </c>
      <c r="AL480" s="254" t="s">
        <v>82</v>
      </c>
      <c r="AM480" s="254" t="s">
        <v>82</v>
      </c>
      <c r="AN480" s="254" t="s">
        <v>82</v>
      </c>
      <c r="AO480" s="254" t="s">
        <v>82</v>
      </c>
    </row>
    <row r="481" spans="1:41" x14ac:dyDescent="0.2">
      <c r="A481" s="249">
        <v>477</v>
      </c>
      <c r="B481" s="195">
        <v>21</v>
      </c>
      <c r="C481" s="195" t="s">
        <v>766</v>
      </c>
      <c r="D481" s="195">
        <v>4</v>
      </c>
      <c r="E481" s="195" t="s">
        <v>549</v>
      </c>
      <c r="F481" s="196">
        <v>44248</v>
      </c>
      <c r="G481" s="250" t="s">
        <v>10</v>
      </c>
      <c r="H481" s="263">
        <v>2108</v>
      </c>
      <c r="I481" s="216" t="s">
        <v>577</v>
      </c>
      <c r="J481" s="264">
        <v>2400</v>
      </c>
      <c r="K481" s="264">
        <v>2404</v>
      </c>
      <c r="L481" s="265">
        <v>2404</v>
      </c>
      <c r="M481" s="249">
        <v>0</v>
      </c>
      <c r="N481" s="200">
        <v>1</v>
      </c>
      <c r="P481" s="263">
        <v>2108</v>
      </c>
      <c r="Q481" s="270">
        <v>2</v>
      </c>
      <c r="R481" s="267"/>
      <c r="S481" s="267"/>
      <c r="T481" s="267"/>
      <c r="U481" s="267"/>
      <c r="V481" s="267"/>
      <c r="W481" s="267"/>
      <c r="Y481" s="263">
        <v>2108</v>
      </c>
      <c r="Z481" s="270">
        <v>0</v>
      </c>
      <c r="AA481" s="267"/>
      <c r="AB481" s="267"/>
      <c r="AC481" s="267"/>
      <c r="AD481" s="267"/>
      <c r="AE481" s="267"/>
      <c r="AF481" s="267"/>
      <c r="AH481" s="263">
        <v>2108</v>
      </c>
      <c r="AI481" s="254">
        <v>-2</v>
      </c>
      <c r="AJ481" s="254" t="s">
        <v>82</v>
      </c>
      <c r="AK481" s="254" t="s">
        <v>82</v>
      </c>
      <c r="AL481" s="254" t="s">
        <v>82</v>
      </c>
      <c r="AM481" s="254" t="s">
        <v>82</v>
      </c>
      <c r="AN481" s="254" t="s">
        <v>82</v>
      </c>
      <c r="AO481" s="254" t="s">
        <v>82</v>
      </c>
    </row>
    <row r="482" spans="1:41" x14ac:dyDescent="0.2">
      <c r="A482" s="249">
        <v>478</v>
      </c>
      <c r="B482" s="195">
        <v>21</v>
      </c>
      <c r="C482" s="195" t="s">
        <v>766</v>
      </c>
      <c r="D482" s="195">
        <v>5</v>
      </c>
      <c r="E482" s="195" t="s">
        <v>553</v>
      </c>
      <c r="F482" s="196">
        <v>44087</v>
      </c>
      <c r="G482" s="250" t="s">
        <v>10</v>
      </c>
      <c r="H482" s="263">
        <v>2037</v>
      </c>
      <c r="I482" s="216" t="s">
        <v>711</v>
      </c>
      <c r="J482" s="264">
        <v>500</v>
      </c>
      <c r="K482" s="264">
        <v>559</v>
      </c>
      <c r="L482" s="265">
        <v>517</v>
      </c>
      <c r="M482" s="249">
        <v>0</v>
      </c>
      <c r="N482" s="200">
        <v>0</v>
      </c>
      <c r="O482" s="269"/>
      <c r="P482" s="263">
        <v>2037</v>
      </c>
      <c r="Q482" s="270">
        <v>3.7</v>
      </c>
      <c r="R482" s="267"/>
      <c r="S482" s="267"/>
      <c r="T482" s="267"/>
      <c r="U482" s="267"/>
      <c r="V482" s="267"/>
      <c r="W482" s="267"/>
      <c r="Y482" s="263">
        <v>2037</v>
      </c>
      <c r="Z482" s="270">
        <v>0</v>
      </c>
      <c r="AA482" s="267"/>
      <c r="AB482" s="267"/>
      <c r="AC482" s="267"/>
      <c r="AD482" s="267"/>
      <c r="AE482" s="267"/>
      <c r="AF482" s="267"/>
      <c r="AH482" s="263">
        <v>2037</v>
      </c>
      <c r="AI482" s="254">
        <v>-3.7</v>
      </c>
      <c r="AJ482" s="254" t="s">
        <v>82</v>
      </c>
      <c r="AK482" s="254" t="s">
        <v>82</v>
      </c>
      <c r="AL482" s="254" t="s">
        <v>82</v>
      </c>
      <c r="AM482" s="254" t="s">
        <v>82</v>
      </c>
      <c r="AN482" s="254" t="s">
        <v>82</v>
      </c>
      <c r="AO482" s="254" t="s">
        <v>82</v>
      </c>
    </row>
    <row r="483" spans="1:41" x14ac:dyDescent="0.2">
      <c r="A483" s="249">
        <v>479</v>
      </c>
      <c r="B483" s="195">
        <v>22</v>
      </c>
      <c r="C483" s="195" t="s">
        <v>769</v>
      </c>
      <c r="D483" s="195">
        <v>1</v>
      </c>
      <c r="E483" s="195" t="s">
        <v>444</v>
      </c>
      <c r="F483" s="196">
        <v>44053</v>
      </c>
      <c r="G483" s="250" t="s">
        <v>4</v>
      </c>
      <c r="H483" s="263">
        <v>2033</v>
      </c>
      <c r="I483" s="216" t="s">
        <v>731</v>
      </c>
      <c r="J483" s="264">
        <v>1900</v>
      </c>
      <c r="K483" s="264">
        <v>2059</v>
      </c>
      <c r="L483" s="265">
        <v>2018</v>
      </c>
      <c r="M483" s="249">
        <v>1</v>
      </c>
      <c r="N483" s="200">
        <v>0</v>
      </c>
      <c r="O483" s="269"/>
      <c r="P483" s="263">
        <v>2033</v>
      </c>
      <c r="Q483" s="270">
        <v>4.5999999999999996</v>
      </c>
      <c r="R483" s="270">
        <v>7.7</v>
      </c>
      <c r="S483" s="270">
        <v>5.8</v>
      </c>
      <c r="T483" s="270">
        <v>1.9</v>
      </c>
      <c r="U483" s="270">
        <v>6.6</v>
      </c>
      <c r="V483" s="270">
        <v>6.6</v>
      </c>
      <c r="W483" s="270" t="s">
        <v>84</v>
      </c>
      <c r="Y483" s="263">
        <v>2033</v>
      </c>
      <c r="Z483" s="270">
        <v>0.8</v>
      </c>
      <c r="AA483" s="270">
        <v>7.6</v>
      </c>
      <c r="AB483" s="270">
        <v>5.8</v>
      </c>
      <c r="AC483" s="270">
        <v>1.8</v>
      </c>
      <c r="AD483" s="270">
        <v>6.6</v>
      </c>
      <c r="AE483" s="270">
        <v>6.6</v>
      </c>
      <c r="AF483" s="270" t="s">
        <v>84</v>
      </c>
      <c r="AH483" s="263">
        <v>2033</v>
      </c>
      <c r="AI483" s="254">
        <v>-3.8</v>
      </c>
      <c r="AJ483" s="254">
        <v>-0.10000000000000053</v>
      </c>
      <c r="AK483" s="254" t="s">
        <v>82</v>
      </c>
      <c r="AL483" s="254">
        <v>-9.9999999999999867E-2</v>
      </c>
      <c r="AM483" s="254" t="s">
        <v>82</v>
      </c>
      <c r="AN483" s="254" t="s">
        <v>82</v>
      </c>
      <c r="AO483" s="254" t="s">
        <v>82</v>
      </c>
    </row>
    <row r="484" spans="1:41" x14ac:dyDescent="0.2">
      <c r="A484" s="249">
        <v>480</v>
      </c>
      <c r="B484" s="195">
        <v>22</v>
      </c>
      <c r="C484" s="195" t="s">
        <v>769</v>
      </c>
      <c r="D484" s="195">
        <v>1</v>
      </c>
      <c r="E484" s="195" t="s">
        <v>444</v>
      </c>
      <c r="F484" s="196">
        <v>44433</v>
      </c>
      <c r="G484" s="250" t="s">
        <v>6</v>
      </c>
      <c r="H484" s="263">
        <v>2135</v>
      </c>
      <c r="I484" s="216" t="s">
        <v>205</v>
      </c>
      <c r="J484" s="264">
        <v>1355</v>
      </c>
      <c r="K484" s="264">
        <v>1549</v>
      </c>
      <c r="L484" s="265">
        <v>1429</v>
      </c>
      <c r="M484" s="249">
        <v>1</v>
      </c>
      <c r="N484" s="200">
        <v>0</v>
      </c>
      <c r="O484" s="269"/>
      <c r="P484" s="263">
        <v>2135</v>
      </c>
      <c r="Q484" s="270">
        <v>26.8</v>
      </c>
      <c r="R484" s="270">
        <v>4.5999999999999996</v>
      </c>
      <c r="S484" s="270">
        <v>3.4</v>
      </c>
      <c r="T484" s="270">
        <v>1.2</v>
      </c>
      <c r="U484" s="270">
        <v>2.5</v>
      </c>
      <c r="V484" s="270">
        <v>2.5</v>
      </c>
      <c r="W484" s="270">
        <v>0</v>
      </c>
      <c r="Y484" s="263">
        <v>2135</v>
      </c>
      <c r="Z484" s="270">
        <v>0</v>
      </c>
      <c r="AA484" s="270">
        <v>3.4</v>
      </c>
      <c r="AB484" s="270">
        <v>3.4</v>
      </c>
      <c r="AC484" s="270">
        <v>0</v>
      </c>
      <c r="AD484" s="270">
        <v>2.5</v>
      </c>
      <c r="AE484" s="270">
        <v>2.5</v>
      </c>
      <c r="AF484" s="270">
        <v>0</v>
      </c>
      <c r="AH484" s="263">
        <v>2135</v>
      </c>
      <c r="AI484" s="254">
        <v>-26.8</v>
      </c>
      <c r="AJ484" s="254">
        <v>-1.1999999999999997</v>
      </c>
      <c r="AK484" s="254" t="s">
        <v>82</v>
      </c>
      <c r="AL484" s="254">
        <v>-1.2</v>
      </c>
      <c r="AM484" s="254" t="s">
        <v>82</v>
      </c>
      <c r="AN484" s="254" t="s">
        <v>82</v>
      </c>
      <c r="AO484" s="254" t="s">
        <v>82</v>
      </c>
    </row>
    <row r="485" spans="1:41" x14ac:dyDescent="0.2">
      <c r="A485" s="249">
        <v>481</v>
      </c>
      <c r="B485" s="195">
        <v>22</v>
      </c>
      <c r="C485" s="195" t="s">
        <v>769</v>
      </c>
      <c r="D485" s="195">
        <v>2</v>
      </c>
      <c r="E485" s="195" t="s">
        <v>445</v>
      </c>
      <c r="F485" s="196">
        <v>44121</v>
      </c>
      <c r="G485" s="250" t="s">
        <v>9</v>
      </c>
      <c r="H485" s="263">
        <v>2042</v>
      </c>
      <c r="I485" s="216" t="s">
        <v>447</v>
      </c>
      <c r="J485" s="264">
        <v>2458</v>
      </c>
      <c r="K485" s="264">
        <v>2527</v>
      </c>
      <c r="L485" s="265">
        <v>2518</v>
      </c>
      <c r="M485" s="249">
        <v>1</v>
      </c>
      <c r="N485" s="200">
        <v>0</v>
      </c>
      <c r="O485" s="269"/>
      <c r="P485" s="263">
        <v>2042</v>
      </c>
      <c r="Q485" s="270">
        <v>5.6</v>
      </c>
      <c r="R485" s="270">
        <v>2.7</v>
      </c>
      <c r="S485" s="270">
        <v>1.7</v>
      </c>
      <c r="T485" s="270">
        <v>1</v>
      </c>
      <c r="U485" s="270">
        <v>1.5</v>
      </c>
      <c r="V485" s="270">
        <v>1.5</v>
      </c>
      <c r="W485" s="270" t="s">
        <v>84</v>
      </c>
      <c r="Y485" s="263">
        <v>2042</v>
      </c>
      <c r="Z485" s="270">
        <v>1.2</v>
      </c>
      <c r="AA485" s="270">
        <v>2</v>
      </c>
      <c r="AB485" s="270">
        <v>1.7</v>
      </c>
      <c r="AC485" s="270">
        <v>0.3</v>
      </c>
      <c r="AD485" s="270">
        <v>1.5</v>
      </c>
      <c r="AE485" s="270">
        <v>1.5</v>
      </c>
      <c r="AF485" s="270" t="s">
        <v>84</v>
      </c>
      <c r="AH485" s="263">
        <v>2042</v>
      </c>
      <c r="AI485" s="254">
        <v>-4.3999999999999995</v>
      </c>
      <c r="AJ485" s="254">
        <v>-0.70000000000000018</v>
      </c>
      <c r="AK485" s="254" t="s">
        <v>82</v>
      </c>
      <c r="AL485" s="254">
        <v>-0.7</v>
      </c>
      <c r="AM485" s="254" t="s">
        <v>82</v>
      </c>
      <c r="AN485" s="254" t="s">
        <v>82</v>
      </c>
      <c r="AO485" s="254" t="s">
        <v>82</v>
      </c>
    </row>
    <row r="486" spans="1:41" x14ac:dyDescent="0.2">
      <c r="A486" s="249">
        <v>482</v>
      </c>
      <c r="B486" s="195">
        <v>22</v>
      </c>
      <c r="C486" s="195" t="s">
        <v>769</v>
      </c>
      <c r="D486" s="195">
        <v>2</v>
      </c>
      <c r="E486" s="195" t="s">
        <v>445</v>
      </c>
      <c r="F486" s="196">
        <v>44631</v>
      </c>
      <c r="G486" s="250" t="s">
        <v>8</v>
      </c>
      <c r="H486" s="263">
        <v>2211</v>
      </c>
      <c r="I486" s="216" t="s">
        <v>770</v>
      </c>
      <c r="J486" s="264">
        <v>1130</v>
      </c>
      <c r="K486" s="264">
        <v>1154</v>
      </c>
      <c r="L486" s="265">
        <v>1142</v>
      </c>
      <c r="M486" s="249">
        <v>0</v>
      </c>
      <c r="N486" s="200">
        <v>0</v>
      </c>
      <c r="O486" s="269"/>
      <c r="P486" s="263">
        <v>2211</v>
      </c>
      <c r="Q486" s="270">
        <v>7.9</v>
      </c>
      <c r="R486" s="267"/>
      <c r="S486" s="267"/>
      <c r="T486" s="267"/>
      <c r="U486" s="267"/>
      <c r="V486" s="267"/>
      <c r="W486" s="267"/>
      <c r="Y486" s="263">
        <v>2211</v>
      </c>
      <c r="Z486" s="270">
        <v>0</v>
      </c>
      <c r="AA486" s="267"/>
      <c r="AB486" s="267"/>
      <c r="AC486" s="267"/>
      <c r="AD486" s="267"/>
      <c r="AE486" s="267"/>
      <c r="AF486" s="267"/>
      <c r="AH486" s="263">
        <v>2211</v>
      </c>
      <c r="AI486" s="254">
        <v>-7.9</v>
      </c>
      <c r="AJ486" s="254" t="s">
        <v>82</v>
      </c>
      <c r="AK486" s="254" t="s">
        <v>82</v>
      </c>
      <c r="AL486" s="254" t="s">
        <v>82</v>
      </c>
      <c r="AM486" s="254" t="s">
        <v>82</v>
      </c>
      <c r="AN486" s="254" t="s">
        <v>82</v>
      </c>
      <c r="AO486" s="254" t="s">
        <v>82</v>
      </c>
    </row>
    <row r="487" spans="1:41" x14ac:dyDescent="0.2">
      <c r="A487" s="249">
        <v>483</v>
      </c>
      <c r="B487" s="195">
        <v>22</v>
      </c>
      <c r="C487" s="195" t="s">
        <v>769</v>
      </c>
      <c r="D487" s="195">
        <v>3</v>
      </c>
      <c r="E487" s="195" t="s">
        <v>448</v>
      </c>
      <c r="F487" s="196">
        <v>44050</v>
      </c>
      <c r="G487" s="250" t="s">
        <v>8</v>
      </c>
      <c r="H487" s="263">
        <v>2032</v>
      </c>
      <c r="I487" s="216" t="s">
        <v>771</v>
      </c>
      <c r="J487" s="264">
        <v>1900</v>
      </c>
      <c r="K487" s="264">
        <v>2147</v>
      </c>
      <c r="L487" s="265">
        <v>1909</v>
      </c>
      <c r="M487" s="249">
        <v>1</v>
      </c>
      <c r="N487" s="200">
        <v>0</v>
      </c>
      <c r="O487" s="269"/>
      <c r="P487" s="263">
        <v>2032</v>
      </c>
      <c r="Q487" s="270">
        <v>4.5999999999999996</v>
      </c>
      <c r="R487" s="270">
        <v>9.5</v>
      </c>
      <c r="S487" s="270">
        <v>6.8</v>
      </c>
      <c r="T487" s="270">
        <v>2.7</v>
      </c>
      <c r="U487" s="270">
        <v>4.8</v>
      </c>
      <c r="V487" s="270">
        <v>3.3</v>
      </c>
      <c r="W487" s="270">
        <v>1.5</v>
      </c>
      <c r="Y487" s="263">
        <v>2032</v>
      </c>
      <c r="Z487" s="270">
        <v>1.7</v>
      </c>
      <c r="AA487" s="270">
        <v>9.5</v>
      </c>
      <c r="AB487" s="270">
        <v>6.8</v>
      </c>
      <c r="AC487" s="270">
        <v>2.7</v>
      </c>
      <c r="AD487" s="270">
        <v>4.8</v>
      </c>
      <c r="AE487" s="270">
        <v>3.3</v>
      </c>
      <c r="AF487" s="270">
        <v>1.5</v>
      </c>
      <c r="AH487" s="263">
        <v>2032</v>
      </c>
      <c r="AI487" s="254">
        <v>-2.8999999999999995</v>
      </c>
      <c r="AJ487" s="254" t="s">
        <v>82</v>
      </c>
      <c r="AK487" s="254" t="s">
        <v>82</v>
      </c>
      <c r="AL487" s="254" t="s">
        <v>82</v>
      </c>
      <c r="AM487" s="254" t="s">
        <v>82</v>
      </c>
      <c r="AN487" s="254" t="s">
        <v>82</v>
      </c>
      <c r="AO487" s="254" t="s">
        <v>82</v>
      </c>
    </row>
    <row r="488" spans="1:41" x14ac:dyDescent="0.2">
      <c r="A488" s="249">
        <v>484</v>
      </c>
      <c r="B488" s="195">
        <v>22</v>
      </c>
      <c r="C488" s="195" t="s">
        <v>769</v>
      </c>
      <c r="D488" s="195">
        <v>3</v>
      </c>
      <c r="E488" s="195" t="s">
        <v>448</v>
      </c>
      <c r="F488" s="196">
        <v>44360</v>
      </c>
      <c r="G488" s="250" t="s">
        <v>10</v>
      </c>
      <c r="H488" s="263">
        <v>2124</v>
      </c>
      <c r="I488" s="216" t="s">
        <v>145</v>
      </c>
      <c r="J488" s="264">
        <v>1900</v>
      </c>
      <c r="K488" s="264">
        <v>1957</v>
      </c>
      <c r="L488" s="265">
        <v>1926</v>
      </c>
      <c r="M488" s="249">
        <v>1</v>
      </c>
      <c r="N488" s="200">
        <v>0</v>
      </c>
      <c r="P488" s="263">
        <v>2124</v>
      </c>
      <c r="Q488" s="270">
        <v>12.2</v>
      </c>
      <c r="R488" s="270">
        <v>8.9</v>
      </c>
      <c r="S488" s="270">
        <v>7.8</v>
      </c>
      <c r="T488" s="270">
        <v>1.1000000000000001</v>
      </c>
      <c r="U488" s="270">
        <v>10.4</v>
      </c>
      <c r="V488" s="270">
        <v>10.4</v>
      </c>
      <c r="W488" s="270" t="s">
        <v>84</v>
      </c>
      <c r="Y488" s="263">
        <v>2124</v>
      </c>
      <c r="Z488" s="270">
        <v>0</v>
      </c>
      <c r="AA488" s="270">
        <v>7.9</v>
      </c>
      <c r="AB488" s="270">
        <v>7.8</v>
      </c>
      <c r="AC488" s="270">
        <v>0.1</v>
      </c>
      <c r="AD488" s="270">
        <v>10.4</v>
      </c>
      <c r="AE488" s="270">
        <v>10.4</v>
      </c>
      <c r="AF488" s="270" t="s">
        <v>84</v>
      </c>
      <c r="AH488" s="263">
        <v>2124</v>
      </c>
      <c r="AI488" s="254">
        <v>-12.2</v>
      </c>
      <c r="AJ488" s="254">
        <v>-1</v>
      </c>
      <c r="AK488" s="254" t="s">
        <v>82</v>
      </c>
      <c r="AL488" s="254">
        <v>-1</v>
      </c>
      <c r="AM488" s="254" t="s">
        <v>82</v>
      </c>
      <c r="AN488" s="254" t="s">
        <v>82</v>
      </c>
      <c r="AO488" s="254" t="s">
        <v>82</v>
      </c>
    </row>
    <row r="489" spans="1:41" x14ac:dyDescent="0.2">
      <c r="A489" s="249">
        <v>485</v>
      </c>
      <c r="B489" s="195">
        <v>22</v>
      </c>
      <c r="C489" s="195" t="s">
        <v>769</v>
      </c>
      <c r="D489" s="195">
        <v>3</v>
      </c>
      <c r="E489" s="195" t="s">
        <v>448</v>
      </c>
      <c r="F489" s="196">
        <v>44368</v>
      </c>
      <c r="G489" s="250" t="s">
        <v>4</v>
      </c>
      <c r="H489" s="263">
        <v>2126</v>
      </c>
      <c r="I489" s="216" t="s">
        <v>772</v>
      </c>
      <c r="J489" s="264">
        <v>500</v>
      </c>
      <c r="K489" s="264">
        <v>549</v>
      </c>
      <c r="L489" s="265">
        <v>528</v>
      </c>
      <c r="M489" s="249">
        <v>0</v>
      </c>
      <c r="N489" s="200">
        <v>0</v>
      </c>
      <c r="O489" s="269"/>
      <c r="P489" s="263">
        <v>2126</v>
      </c>
      <c r="Q489" s="270">
        <v>10.1</v>
      </c>
      <c r="R489" s="267"/>
      <c r="S489" s="267"/>
      <c r="T489" s="267"/>
      <c r="U489" s="267"/>
      <c r="V489" s="267"/>
      <c r="W489" s="267"/>
      <c r="Y489" s="263">
        <v>2126</v>
      </c>
      <c r="Z489" s="270">
        <v>0</v>
      </c>
      <c r="AA489" s="267"/>
      <c r="AB489" s="267"/>
      <c r="AC489" s="267"/>
      <c r="AD489" s="267"/>
      <c r="AE489" s="267"/>
      <c r="AF489" s="267"/>
      <c r="AH489" s="263">
        <v>2126</v>
      </c>
      <c r="AI489" s="254">
        <v>-10.1</v>
      </c>
      <c r="AJ489" s="254" t="s">
        <v>82</v>
      </c>
      <c r="AK489" s="254" t="s">
        <v>82</v>
      </c>
      <c r="AL489" s="254" t="s">
        <v>82</v>
      </c>
      <c r="AM489" s="254" t="s">
        <v>82</v>
      </c>
      <c r="AN489" s="254" t="s">
        <v>82</v>
      </c>
      <c r="AO489" s="254" t="s">
        <v>82</v>
      </c>
    </row>
    <row r="490" spans="1:41" x14ac:dyDescent="0.2">
      <c r="A490" s="249">
        <v>486</v>
      </c>
      <c r="B490" s="195">
        <v>22</v>
      </c>
      <c r="C490" s="195" t="s">
        <v>769</v>
      </c>
      <c r="D490" s="195">
        <v>3</v>
      </c>
      <c r="E490" s="195" t="s">
        <v>448</v>
      </c>
      <c r="F490" s="196">
        <v>44470</v>
      </c>
      <c r="G490" s="250" t="s">
        <v>8</v>
      </c>
      <c r="H490" s="263">
        <v>2140</v>
      </c>
      <c r="I490" s="216" t="s">
        <v>450</v>
      </c>
      <c r="J490" s="264">
        <v>2415</v>
      </c>
      <c r="K490" s="264">
        <v>2514</v>
      </c>
      <c r="L490" s="265">
        <v>2415</v>
      </c>
      <c r="M490" s="249">
        <v>1</v>
      </c>
      <c r="N490" s="200">
        <v>0</v>
      </c>
      <c r="P490" s="263">
        <v>2140</v>
      </c>
      <c r="Q490" s="270">
        <v>44.7</v>
      </c>
      <c r="R490" s="270">
        <v>4.3</v>
      </c>
      <c r="S490" s="270">
        <v>1.6</v>
      </c>
      <c r="T490" s="270">
        <v>2.7</v>
      </c>
      <c r="U490" s="270">
        <v>1.3</v>
      </c>
      <c r="V490" s="270">
        <v>1.3</v>
      </c>
      <c r="W490" s="270" t="s">
        <v>84</v>
      </c>
      <c r="Y490" s="263">
        <v>2140</v>
      </c>
      <c r="Z490" s="270">
        <v>0</v>
      </c>
      <c r="AA490" s="270">
        <v>1.6</v>
      </c>
      <c r="AB490" s="270">
        <v>1.6</v>
      </c>
      <c r="AC490" s="270">
        <v>0</v>
      </c>
      <c r="AD490" s="270">
        <v>1.3</v>
      </c>
      <c r="AE490" s="270">
        <v>1.3</v>
      </c>
      <c r="AF490" s="270" t="s">
        <v>84</v>
      </c>
      <c r="AH490" s="263">
        <v>2140</v>
      </c>
      <c r="AI490" s="254">
        <v>-44.7</v>
      </c>
      <c r="AJ490" s="254">
        <v>-2.6999999999999997</v>
      </c>
      <c r="AK490" s="254" t="s">
        <v>82</v>
      </c>
      <c r="AL490" s="254">
        <v>-2.7</v>
      </c>
      <c r="AM490" s="254" t="s">
        <v>82</v>
      </c>
      <c r="AN490" s="254" t="s">
        <v>82</v>
      </c>
      <c r="AO490" s="254" t="s">
        <v>82</v>
      </c>
    </row>
    <row r="491" spans="1:41" x14ac:dyDescent="0.2">
      <c r="A491" s="249">
        <v>487</v>
      </c>
      <c r="B491" s="195">
        <v>22</v>
      </c>
      <c r="C491" s="195" t="s">
        <v>769</v>
      </c>
      <c r="D491" s="195">
        <v>3</v>
      </c>
      <c r="E491" s="195" t="s">
        <v>448</v>
      </c>
      <c r="F491" s="196">
        <v>44495</v>
      </c>
      <c r="G491" s="250" t="s">
        <v>5</v>
      </c>
      <c r="H491" s="263">
        <v>2144</v>
      </c>
      <c r="I491" s="216" t="s">
        <v>455</v>
      </c>
      <c r="J491" s="264">
        <v>1451</v>
      </c>
      <c r="K491" s="264">
        <v>1549</v>
      </c>
      <c r="L491" s="265">
        <v>1534</v>
      </c>
      <c r="M491" s="249">
        <v>1</v>
      </c>
      <c r="N491" s="200">
        <v>0</v>
      </c>
      <c r="P491" s="263">
        <v>2144</v>
      </c>
      <c r="Q491" s="270">
        <v>40.299999999999997</v>
      </c>
      <c r="R491" s="270">
        <v>4.5999999999999996</v>
      </c>
      <c r="S491" s="270">
        <v>1.3</v>
      </c>
      <c r="T491" s="270">
        <v>3.3</v>
      </c>
      <c r="U491" s="270">
        <v>2.2999999999999998</v>
      </c>
      <c r="V491" s="270">
        <v>1.9</v>
      </c>
      <c r="W491" s="270">
        <v>0.4</v>
      </c>
      <c r="Y491" s="263">
        <v>2144</v>
      </c>
      <c r="Z491" s="270">
        <v>0.2</v>
      </c>
      <c r="AA491" s="270">
        <v>1.5</v>
      </c>
      <c r="AB491" s="270">
        <v>1.3</v>
      </c>
      <c r="AC491" s="270">
        <v>0.2</v>
      </c>
      <c r="AD491" s="270">
        <v>2.2999999999999998</v>
      </c>
      <c r="AE491" s="270">
        <v>1.9</v>
      </c>
      <c r="AF491" s="270">
        <v>0.4</v>
      </c>
      <c r="AH491" s="263">
        <v>2144</v>
      </c>
      <c r="AI491" s="254">
        <v>-40.099999999999994</v>
      </c>
      <c r="AJ491" s="254">
        <v>-3.0999999999999996</v>
      </c>
      <c r="AK491" s="254" t="s">
        <v>82</v>
      </c>
      <c r="AL491" s="254">
        <v>-3.0999999999999996</v>
      </c>
      <c r="AM491" s="254" t="s">
        <v>82</v>
      </c>
      <c r="AN491" s="254" t="s">
        <v>82</v>
      </c>
      <c r="AO491" s="254" t="s">
        <v>82</v>
      </c>
    </row>
    <row r="492" spans="1:41" x14ac:dyDescent="0.2">
      <c r="A492" s="249">
        <v>488</v>
      </c>
      <c r="B492" s="195">
        <v>22</v>
      </c>
      <c r="C492" s="195" t="s">
        <v>769</v>
      </c>
      <c r="D492" s="195">
        <v>4</v>
      </c>
      <c r="E492" s="195" t="s">
        <v>549</v>
      </c>
      <c r="F492" s="196">
        <v>44170</v>
      </c>
      <c r="G492" s="250" t="s">
        <v>9</v>
      </c>
      <c r="H492" s="263">
        <v>2049</v>
      </c>
      <c r="I492" s="216" t="s">
        <v>565</v>
      </c>
      <c r="J492" s="264">
        <v>1305</v>
      </c>
      <c r="K492" s="264">
        <v>1347</v>
      </c>
      <c r="L492" s="265">
        <v>1347</v>
      </c>
      <c r="M492" s="249">
        <v>0</v>
      </c>
      <c r="N492" s="200">
        <v>1</v>
      </c>
      <c r="O492" s="269"/>
      <c r="P492" s="263">
        <v>2049</v>
      </c>
      <c r="Q492" s="270">
        <v>35</v>
      </c>
      <c r="R492" s="267"/>
      <c r="S492" s="267"/>
      <c r="T492" s="267"/>
      <c r="U492" s="267"/>
      <c r="V492" s="267"/>
      <c r="W492" s="267"/>
      <c r="Y492" s="263">
        <v>2049</v>
      </c>
      <c r="Z492" s="270">
        <v>0.2</v>
      </c>
      <c r="AA492" s="267"/>
      <c r="AB492" s="267"/>
      <c r="AC492" s="267"/>
      <c r="AD492" s="267"/>
      <c r="AE492" s="267"/>
      <c r="AF492" s="267"/>
      <c r="AH492" s="263">
        <v>2049</v>
      </c>
      <c r="AI492" s="254">
        <v>-34.799999999999997</v>
      </c>
      <c r="AJ492" s="254" t="s">
        <v>82</v>
      </c>
      <c r="AK492" s="254" t="s">
        <v>82</v>
      </c>
      <c r="AL492" s="254" t="s">
        <v>82</v>
      </c>
      <c r="AM492" s="254" t="s">
        <v>82</v>
      </c>
      <c r="AN492" s="254" t="s">
        <v>82</v>
      </c>
      <c r="AO492" s="254" t="s">
        <v>82</v>
      </c>
    </row>
    <row r="493" spans="1:41" x14ac:dyDescent="0.2">
      <c r="A493" s="249">
        <v>489</v>
      </c>
      <c r="B493" s="195">
        <v>22</v>
      </c>
      <c r="C493" s="195" t="s">
        <v>769</v>
      </c>
      <c r="D493" s="195">
        <v>5</v>
      </c>
      <c r="E493" s="195" t="s">
        <v>553</v>
      </c>
      <c r="F493" s="196">
        <v>44162</v>
      </c>
      <c r="G493" s="250" t="s">
        <v>8</v>
      </c>
      <c r="H493" s="263">
        <v>2048</v>
      </c>
      <c r="I493" s="216" t="s">
        <v>596</v>
      </c>
      <c r="J493" s="264">
        <v>1605</v>
      </c>
      <c r="K493" s="264">
        <v>1619</v>
      </c>
      <c r="L493" s="265">
        <v>1617</v>
      </c>
      <c r="M493" s="249">
        <v>0</v>
      </c>
      <c r="N493" s="200">
        <v>0</v>
      </c>
      <c r="O493" s="269"/>
      <c r="P493" s="263">
        <v>2048</v>
      </c>
      <c r="Q493" s="270">
        <v>26.2</v>
      </c>
      <c r="R493" s="267"/>
      <c r="S493" s="267"/>
      <c r="T493" s="267"/>
      <c r="U493" s="267"/>
      <c r="V493" s="267"/>
      <c r="W493" s="267"/>
      <c r="Y493" s="263">
        <v>2048</v>
      </c>
      <c r="Z493" s="270">
        <v>0</v>
      </c>
      <c r="AA493" s="267"/>
      <c r="AB493" s="267"/>
      <c r="AC493" s="267"/>
      <c r="AD493" s="267"/>
      <c r="AE493" s="267"/>
      <c r="AF493" s="267"/>
      <c r="AH493" s="263">
        <v>2048</v>
      </c>
      <c r="AI493" s="254">
        <v>-26.2</v>
      </c>
      <c r="AJ493" s="254" t="s">
        <v>82</v>
      </c>
      <c r="AK493" s="254" t="s">
        <v>82</v>
      </c>
      <c r="AL493" s="254" t="s">
        <v>82</v>
      </c>
      <c r="AM493" s="254" t="s">
        <v>82</v>
      </c>
      <c r="AN493" s="254" t="s">
        <v>82</v>
      </c>
      <c r="AO493" s="254" t="s">
        <v>82</v>
      </c>
    </row>
    <row r="494" spans="1:41" x14ac:dyDescent="0.2">
      <c r="A494" s="249">
        <v>490</v>
      </c>
      <c r="B494" s="195">
        <v>23</v>
      </c>
      <c r="C494" s="195" t="s">
        <v>773</v>
      </c>
      <c r="D494" s="195">
        <v>1</v>
      </c>
      <c r="E494" s="195" t="s">
        <v>774</v>
      </c>
      <c r="F494" s="196">
        <v>44134</v>
      </c>
      <c r="G494" s="250" t="s">
        <v>8</v>
      </c>
      <c r="H494" s="263">
        <v>2044</v>
      </c>
      <c r="I494" s="216" t="s">
        <v>775</v>
      </c>
      <c r="J494" s="264">
        <v>2400</v>
      </c>
      <c r="K494" s="264">
        <v>2514</v>
      </c>
      <c r="L494" s="265">
        <v>2407</v>
      </c>
      <c r="M494" s="249">
        <v>0</v>
      </c>
      <c r="N494" s="200">
        <v>0</v>
      </c>
      <c r="O494" s="269"/>
      <c r="P494" s="263">
        <v>2044</v>
      </c>
      <c r="Q494" s="270">
        <v>14.8</v>
      </c>
      <c r="R494" s="267"/>
      <c r="S494" s="267"/>
      <c r="T494" s="267"/>
      <c r="U494" s="267"/>
      <c r="V494" s="267"/>
      <c r="W494" s="267"/>
      <c r="Y494" s="263">
        <v>2044</v>
      </c>
      <c r="Z494" s="270">
        <v>0</v>
      </c>
      <c r="AA494" s="267"/>
      <c r="AB494" s="267"/>
      <c r="AC494" s="267"/>
      <c r="AD494" s="267"/>
      <c r="AE494" s="267"/>
      <c r="AF494" s="267"/>
      <c r="AH494" s="263">
        <v>2044</v>
      </c>
      <c r="AI494" s="254">
        <v>-14.8</v>
      </c>
      <c r="AJ494" s="254" t="s">
        <v>82</v>
      </c>
      <c r="AK494" s="254" t="s">
        <v>82</v>
      </c>
      <c r="AL494" s="254" t="s">
        <v>82</v>
      </c>
      <c r="AM494" s="254" t="s">
        <v>82</v>
      </c>
      <c r="AN494" s="254" t="s">
        <v>82</v>
      </c>
      <c r="AO494" s="254" t="s">
        <v>82</v>
      </c>
    </row>
    <row r="495" spans="1:41" x14ac:dyDescent="0.2">
      <c r="A495" s="249">
        <v>491</v>
      </c>
      <c r="B495" s="195">
        <v>23</v>
      </c>
      <c r="C495" s="195" t="s">
        <v>773</v>
      </c>
      <c r="D495" s="195">
        <v>1</v>
      </c>
      <c r="E495" s="195" t="s">
        <v>774</v>
      </c>
      <c r="F495" s="196">
        <v>44352</v>
      </c>
      <c r="G495" s="250" t="s">
        <v>9</v>
      </c>
      <c r="H495" s="263">
        <v>2123</v>
      </c>
      <c r="I495" s="216" t="s">
        <v>259</v>
      </c>
      <c r="J495" s="264">
        <v>559</v>
      </c>
      <c r="K495" s="264">
        <v>759</v>
      </c>
      <c r="L495" s="265">
        <v>756</v>
      </c>
      <c r="M495" s="249">
        <v>0</v>
      </c>
      <c r="N495" s="200">
        <v>0</v>
      </c>
      <c r="O495" s="269"/>
      <c r="P495" s="263">
        <v>2123</v>
      </c>
      <c r="Q495" s="270">
        <v>15.7</v>
      </c>
      <c r="R495" s="267"/>
      <c r="S495" s="267"/>
      <c r="T495" s="267"/>
      <c r="U495" s="267"/>
      <c r="V495" s="267"/>
      <c r="W495" s="267"/>
      <c r="Y495" s="263">
        <v>2123</v>
      </c>
      <c r="Z495" s="270">
        <v>0</v>
      </c>
      <c r="AA495" s="267"/>
      <c r="AB495" s="267"/>
      <c r="AC495" s="267"/>
      <c r="AD495" s="267"/>
      <c r="AE495" s="267"/>
      <c r="AF495" s="267"/>
      <c r="AH495" s="263">
        <v>2123</v>
      </c>
      <c r="AI495" s="254">
        <v>-15.7</v>
      </c>
      <c r="AJ495" s="254" t="s">
        <v>82</v>
      </c>
      <c r="AK495" s="254" t="s">
        <v>82</v>
      </c>
      <c r="AL495" s="254" t="s">
        <v>82</v>
      </c>
      <c r="AM495" s="254" t="s">
        <v>82</v>
      </c>
      <c r="AN495" s="254" t="s">
        <v>82</v>
      </c>
      <c r="AO495" s="254" t="s">
        <v>82</v>
      </c>
    </row>
    <row r="496" spans="1:41" x14ac:dyDescent="0.2">
      <c r="A496" s="249">
        <v>492</v>
      </c>
      <c r="B496" s="195">
        <v>23</v>
      </c>
      <c r="C496" s="195" t="s">
        <v>773</v>
      </c>
      <c r="D496" s="195">
        <v>1</v>
      </c>
      <c r="E496" s="195" t="s">
        <v>774</v>
      </c>
      <c r="F496" s="196">
        <v>44603</v>
      </c>
      <c r="G496" s="250" t="s">
        <v>8</v>
      </c>
      <c r="H496" s="263">
        <v>2207</v>
      </c>
      <c r="I496" s="216" t="s">
        <v>776</v>
      </c>
      <c r="J496" s="264">
        <v>1550</v>
      </c>
      <c r="K496" s="264">
        <v>1649</v>
      </c>
      <c r="L496" s="265">
        <v>1552</v>
      </c>
      <c r="M496" s="249">
        <v>0</v>
      </c>
      <c r="N496" s="200">
        <v>0</v>
      </c>
      <c r="O496" s="269"/>
      <c r="P496" s="263">
        <v>2207</v>
      </c>
      <c r="Q496" s="270">
        <v>3.7</v>
      </c>
      <c r="R496" s="267"/>
      <c r="S496" s="267"/>
      <c r="T496" s="267"/>
      <c r="U496" s="267"/>
      <c r="V496" s="267"/>
      <c r="W496" s="267"/>
      <c r="Y496" s="263">
        <v>2207</v>
      </c>
      <c r="Z496" s="270">
        <v>0</v>
      </c>
      <c r="AA496" s="267"/>
      <c r="AB496" s="267"/>
      <c r="AC496" s="267"/>
      <c r="AD496" s="267"/>
      <c r="AE496" s="267"/>
      <c r="AF496" s="267"/>
      <c r="AH496" s="263">
        <v>2207</v>
      </c>
      <c r="AI496" s="254">
        <v>-3.7</v>
      </c>
      <c r="AJ496" s="254" t="s">
        <v>82</v>
      </c>
      <c r="AK496" s="254" t="s">
        <v>82</v>
      </c>
      <c r="AL496" s="254" t="s">
        <v>82</v>
      </c>
      <c r="AM496" s="254" t="s">
        <v>82</v>
      </c>
      <c r="AN496" s="254" t="s">
        <v>82</v>
      </c>
      <c r="AO496" s="254" t="s">
        <v>82</v>
      </c>
    </row>
    <row r="497" spans="1:41" x14ac:dyDescent="0.2">
      <c r="A497" s="249">
        <v>493</v>
      </c>
      <c r="B497" s="195">
        <v>23</v>
      </c>
      <c r="C497" s="195" t="s">
        <v>773</v>
      </c>
      <c r="D497" s="195">
        <v>1</v>
      </c>
      <c r="E497" s="195" t="s">
        <v>774</v>
      </c>
      <c r="F497" s="196">
        <v>44664</v>
      </c>
      <c r="G497" s="250" t="s">
        <v>6</v>
      </c>
      <c r="H497" s="263">
        <v>2216</v>
      </c>
      <c r="I497" s="216" t="s">
        <v>283</v>
      </c>
      <c r="J497" s="264">
        <v>1155</v>
      </c>
      <c r="K497" s="264">
        <v>1354</v>
      </c>
      <c r="L497" s="265">
        <v>1352</v>
      </c>
      <c r="M497" s="249">
        <v>0</v>
      </c>
      <c r="N497" s="200">
        <v>0</v>
      </c>
      <c r="O497" s="269"/>
      <c r="P497" s="263">
        <v>2216</v>
      </c>
      <c r="Q497" s="270">
        <v>7.3</v>
      </c>
      <c r="R497" s="267"/>
      <c r="S497" s="267"/>
      <c r="T497" s="267"/>
      <c r="U497" s="267"/>
      <c r="V497" s="267"/>
      <c r="W497" s="267"/>
      <c r="Y497" s="263">
        <v>2216</v>
      </c>
      <c r="Z497" s="270">
        <v>0</v>
      </c>
      <c r="AA497" s="267"/>
      <c r="AB497" s="267"/>
      <c r="AC497" s="267"/>
      <c r="AD497" s="267"/>
      <c r="AE497" s="267"/>
      <c r="AF497" s="267"/>
      <c r="AH497" s="263">
        <v>2216</v>
      </c>
      <c r="AI497" s="254">
        <v>-7.3</v>
      </c>
      <c r="AJ497" s="254" t="s">
        <v>82</v>
      </c>
      <c r="AK497" s="254" t="s">
        <v>82</v>
      </c>
      <c r="AL497" s="254" t="s">
        <v>82</v>
      </c>
      <c r="AM497" s="254" t="s">
        <v>82</v>
      </c>
      <c r="AN497" s="254" t="s">
        <v>82</v>
      </c>
      <c r="AO497" s="254" t="s">
        <v>82</v>
      </c>
    </row>
    <row r="498" spans="1:41" x14ac:dyDescent="0.2">
      <c r="A498" s="249">
        <v>494</v>
      </c>
      <c r="B498" s="195">
        <v>23</v>
      </c>
      <c r="C498" s="195" t="s">
        <v>773</v>
      </c>
      <c r="D498" s="195">
        <v>2</v>
      </c>
      <c r="E498" s="195" t="s">
        <v>457</v>
      </c>
      <c r="F498" s="196">
        <v>44548</v>
      </c>
      <c r="G498" s="250" t="s">
        <v>9</v>
      </c>
      <c r="H498" s="263">
        <v>2151</v>
      </c>
      <c r="I498" s="216" t="s">
        <v>458</v>
      </c>
      <c r="J498" s="264">
        <v>1730</v>
      </c>
      <c r="K498" s="264">
        <v>1754</v>
      </c>
      <c r="L498" s="265">
        <v>1754</v>
      </c>
      <c r="M498" s="249">
        <v>1</v>
      </c>
      <c r="N498" s="200">
        <v>1</v>
      </c>
      <c r="O498" s="269"/>
      <c r="P498" s="263">
        <v>2151</v>
      </c>
      <c r="Q498" s="270">
        <v>3.1</v>
      </c>
      <c r="R498" s="270">
        <v>13.5</v>
      </c>
      <c r="S498" s="270">
        <v>13.1</v>
      </c>
      <c r="T498" s="270">
        <v>0.4</v>
      </c>
      <c r="U498" s="270">
        <v>14.8</v>
      </c>
      <c r="V498" s="270">
        <v>11.7</v>
      </c>
      <c r="W498" s="270">
        <v>3.1</v>
      </c>
      <c r="Y498" s="263">
        <v>2151</v>
      </c>
      <c r="Z498" s="270">
        <v>0</v>
      </c>
      <c r="AA498" s="270">
        <v>13.1</v>
      </c>
      <c r="AB498" s="270">
        <v>13.1</v>
      </c>
      <c r="AC498" s="270">
        <v>0</v>
      </c>
      <c r="AD498" s="270">
        <v>11.7</v>
      </c>
      <c r="AE498" s="270">
        <v>11.7</v>
      </c>
      <c r="AF498" s="270">
        <v>0</v>
      </c>
      <c r="AH498" s="263">
        <v>2151</v>
      </c>
      <c r="AI498" s="254">
        <v>-3.1</v>
      </c>
      <c r="AJ498" s="254">
        <v>-0.40000000000000036</v>
      </c>
      <c r="AK498" s="254" t="s">
        <v>82</v>
      </c>
      <c r="AL498" s="254">
        <v>-0.4</v>
      </c>
      <c r="AM498" s="254">
        <v>-3.1000000000000014</v>
      </c>
      <c r="AN498" s="254" t="s">
        <v>82</v>
      </c>
      <c r="AO498" s="254">
        <v>-3.1</v>
      </c>
    </row>
    <row r="499" spans="1:41" x14ac:dyDescent="0.2">
      <c r="A499" s="249">
        <v>495</v>
      </c>
      <c r="B499" s="195">
        <v>23</v>
      </c>
      <c r="C499" s="195" t="s">
        <v>773</v>
      </c>
      <c r="D499" s="195">
        <v>3</v>
      </c>
      <c r="E499" s="195" t="s">
        <v>460</v>
      </c>
      <c r="F499" s="196">
        <v>44319</v>
      </c>
      <c r="G499" s="250" t="s">
        <v>4</v>
      </c>
      <c r="H499" s="263">
        <v>2119</v>
      </c>
      <c r="I499" s="216" t="s">
        <v>347</v>
      </c>
      <c r="J499" s="264">
        <v>2154</v>
      </c>
      <c r="K499" s="264">
        <v>2309</v>
      </c>
      <c r="L499" s="265">
        <v>2247</v>
      </c>
      <c r="M499" s="249">
        <v>1</v>
      </c>
      <c r="N499" s="200">
        <v>0</v>
      </c>
      <c r="P499" s="263">
        <v>2119</v>
      </c>
      <c r="Q499" s="270">
        <v>32.6</v>
      </c>
      <c r="R499" s="270">
        <v>8.1</v>
      </c>
      <c r="S499" s="270">
        <v>6.4</v>
      </c>
      <c r="T499" s="270">
        <v>1.7</v>
      </c>
      <c r="U499" s="270">
        <v>6.5</v>
      </c>
      <c r="V499" s="270">
        <v>6.5</v>
      </c>
      <c r="W499" s="270">
        <v>0</v>
      </c>
      <c r="Y499" s="263">
        <v>2119</v>
      </c>
      <c r="Z499" s="270">
        <v>0</v>
      </c>
      <c r="AA499" s="270">
        <v>6.4</v>
      </c>
      <c r="AB499" s="270">
        <v>6.4</v>
      </c>
      <c r="AC499" s="270">
        <v>0</v>
      </c>
      <c r="AD499" s="270">
        <v>6.5</v>
      </c>
      <c r="AE499" s="270">
        <v>6.5</v>
      </c>
      <c r="AF499" s="270">
        <v>0</v>
      </c>
      <c r="AH499" s="263">
        <v>2119</v>
      </c>
      <c r="AI499" s="254">
        <v>-32.6</v>
      </c>
      <c r="AJ499" s="254">
        <v>-1.6999999999999993</v>
      </c>
      <c r="AK499" s="254" t="s">
        <v>82</v>
      </c>
      <c r="AL499" s="254">
        <v>-1.7</v>
      </c>
      <c r="AM499" s="254" t="s">
        <v>82</v>
      </c>
      <c r="AN499" s="254" t="s">
        <v>82</v>
      </c>
      <c r="AO499" s="254" t="s">
        <v>82</v>
      </c>
    </row>
    <row r="500" spans="1:41" x14ac:dyDescent="0.2">
      <c r="A500" s="249">
        <v>496</v>
      </c>
      <c r="B500" s="195">
        <v>23</v>
      </c>
      <c r="C500" s="195" t="s">
        <v>773</v>
      </c>
      <c r="D500" s="195">
        <v>4</v>
      </c>
      <c r="E500" s="195" t="s">
        <v>549</v>
      </c>
      <c r="F500" s="196">
        <v>44198</v>
      </c>
      <c r="G500" s="250" t="s">
        <v>9</v>
      </c>
      <c r="H500" s="271">
        <v>2101</v>
      </c>
      <c r="I500" s="216" t="s">
        <v>777</v>
      </c>
      <c r="J500" s="264">
        <v>2716</v>
      </c>
      <c r="K500" s="264">
        <v>2740</v>
      </c>
      <c r="L500" s="265">
        <v>2717</v>
      </c>
      <c r="M500" s="249">
        <v>0</v>
      </c>
      <c r="N500" s="200">
        <v>0</v>
      </c>
      <c r="O500" s="269"/>
      <c r="P500" s="263">
        <v>2101</v>
      </c>
      <c r="Q500" s="270">
        <v>4.8</v>
      </c>
      <c r="R500" s="267"/>
      <c r="S500" s="267"/>
      <c r="T500" s="267"/>
      <c r="U500" s="267"/>
      <c r="V500" s="267"/>
      <c r="W500" s="267"/>
      <c r="Y500" s="263">
        <v>2101</v>
      </c>
      <c r="Z500" s="270">
        <v>0</v>
      </c>
      <c r="AA500" s="267"/>
      <c r="AB500" s="267"/>
      <c r="AC500" s="267"/>
      <c r="AD500" s="267"/>
      <c r="AE500" s="267"/>
      <c r="AF500" s="267"/>
      <c r="AH500" s="263">
        <v>2101</v>
      </c>
      <c r="AI500" s="254">
        <v>-4.8</v>
      </c>
      <c r="AJ500" s="254" t="s">
        <v>82</v>
      </c>
      <c r="AK500" s="254" t="s">
        <v>82</v>
      </c>
      <c r="AL500" s="254" t="s">
        <v>82</v>
      </c>
      <c r="AM500" s="254" t="s">
        <v>82</v>
      </c>
      <c r="AN500" s="254" t="s">
        <v>82</v>
      </c>
      <c r="AO500" s="254" t="s">
        <v>82</v>
      </c>
    </row>
    <row r="501" spans="1:41" x14ac:dyDescent="0.2">
      <c r="A501" s="249">
        <v>497</v>
      </c>
      <c r="B501" s="195">
        <v>23</v>
      </c>
      <c r="C501" s="195" t="s">
        <v>773</v>
      </c>
      <c r="D501" s="195">
        <v>4</v>
      </c>
      <c r="E501" s="195" t="s">
        <v>549</v>
      </c>
      <c r="F501" s="196">
        <v>44337</v>
      </c>
      <c r="G501" s="250" t="s">
        <v>8</v>
      </c>
      <c r="H501" s="263">
        <v>2121</v>
      </c>
      <c r="I501" s="216" t="s">
        <v>712</v>
      </c>
      <c r="J501" s="264">
        <v>1220</v>
      </c>
      <c r="K501" s="264">
        <v>1242</v>
      </c>
      <c r="L501" s="265">
        <v>1221</v>
      </c>
      <c r="M501" s="249">
        <v>0</v>
      </c>
      <c r="N501" s="200">
        <v>0</v>
      </c>
      <c r="O501" s="269"/>
      <c r="P501" s="263">
        <v>2121</v>
      </c>
      <c r="Q501" s="270">
        <v>2.8</v>
      </c>
      <c r="R501" s="267"/>
      <c r="S501" s="267"/>
      <c r="T501" s="267"/>
      <c r="U501" s="267"/>
      <c r="V501" s="267"/>
      <c r="W501" s="267"/>
      <c r="Y501" s="263">
        <v>2121</v>
      </c>
      <c r="Z501" s="270">
        <v>0</v>
      </c>
      <c r="AA501" s="267"/>
      <c r="AB501" s="267"/>
      <c r="AC501" s="267"/>
      <c r="AD501" s="267"/>
      <c r="AE501" s="267"/>
      <c r="AF501" s="267"/>
      <c r="AH501" s="263">
        <v>2121</v>
      </c>
      <c r="AI501" s="254">
        <v>-2.8</v>
      </c>
      <c r="AJ501" s="254" t="s">
        <v>82</v>
      </c>
      <c r="AK501" s="254" t="s">
        <v>82</v>
      </c>
      <c r="AL501" s="254" t="s">
        <v>82</v>
      </c>
      <c r="AM501" s="254" t="s">
        <v>82</v>
      </c>
      <c r="AN501" s="254" t="s">
        <v>82</v>
      </c>
      <c r="AO501" s="254" t="s">
        <v>82</v>
      </c>
    </row>
    <row r="502" spans="1:41" x14ac:dyDescent="0.2">
      <c r="A502" s="249">
        <v>498</v>
      </c>
      <c r="B502" s="195">
        <v>23</v>
      </c>
      <c r="C502" s="195" t="s">
        <v>773</v>
      </c>
      <c r="D502" s="195">
        <v>4</v>
      </c>
      <c r="E502" s="195" t="s">
        <v>549</v>
      </c>
      <c r="F502" s="196">
        <v>44363</v>
      </c>
      <c r="G502" s="250" t="s">
        <v>6</v>
      </c>
      <c r="H502" s="263">
        <v>2125</v>
      </c>
      <c r="I502" s="216" t="s">
        <v>646</v>
      </c>
      <c r="J502" s="264">
        <v>815</v>
      </c>
      <c r="K502" s="264">
        <v>859</v>
      </c>
      <c r="L502" s="265">
        <v>817</v>
      </c>
      <c r="M502" s="249">
        <v>0</v>
      </c>
      <c r="N502" s="200">
        <v>0</v>
      </c>
      <c r="O502" s="269"/>
      <c r="P502" s="263">
        <v>2125</v>
      </c>
      <c r="Q502" s="270">
        <v>5.5</v>
      </c>
      <c r="R502" s="267"/>
      <c r="S502" s="267"/>
      <c r="T502" s="267"/>
      <c r="U502" s="267"/>
      <c r="V502" s="267"/>
      <c r="W502" s="267"/>
      <c r="Y502" s="263">
        <v>2125</v>
      </c>
      <c r="Z502" s="270">
        <v>0.4</v>
      </c>
      <c r="AA502" s="267"/>
      <c r="AB502" s="267"/>
      <c r="AC502" s="267"/>
      <c r="AD502" s="267"/>
      <c r="AE502" s="267"/>
      <c r="AF502" s="267"/>
      <c r="AH502" s="263">
        <v>2125</v>
      </c>
      <c r="AI502" s="254">
        <v>-5.0999999999999996</v>
      </c>
      <c r="AJ502" s="254" t="s">
        <v>82</v>
      </c>
      <c r="AK502" s="254" t="s">
        <v>82</v>
      </c>
      <c r="AL502" s="254" t="s">
        <v>82</v>
      </c>
      <c r="AM502" s="254" t="s">
        <v>82</v>
      </c>
      <c r="AN502" s="254" t="s">
        <v>82</v>
      </c>
      <c r="AO502" s="254" t="s">
        <v>82</v>
      </c>
    </row>
    <row r="503" spans="1:41" x14ac:dyDescent="0.2">
      <c r="A503" s="249">
        <v>499</v>
      </c>
      <c r="B503" s="195">
        <v>23</v>
      </c>
      <c r="C503" s="195" t="s">
        <v>773</v>
      </c>
      <c r="D503" s="195">
        <v>4</v>
      </c>
      <c r="E503" s="195" t="s">
        <v>549</v>
      </c>
      <c r="F503" s="196">
        <v>44629</v>
      </c>
      <c r="G503" s="250" t="s">
        <v>6</v>
      </c>
      <c r="H503" s="263">
        <v>2211</v>
      </c>
      <c r="I503" s="216" t="s">
        <v>568</v>
      </c>
      <c r="J503" s="264">
        <v>1650</v>
      </c>
      <c r="K503" s="264">
        <v>1809</v>
      </c>
      <c r="L503" s="265">
        <v>1722</v>
      </c>
      <c r="M503" s="249">
        <v>0</v>
      </c>
      <c r="N503" s="200">
        <v>0</v>
      </c>
      <c r="P503" s="263">
        <v>2211</v>
      </c>
      <c r="Q503" s="270">
        <v>6.5</v>
      </c>
      <c r="R503" s="267"/>
      <c r="S503" s="267"/>
      <c r="T503" s="267"/>
      <c r="U503" s="267"/>
      <c r="V503" s="267"/>
      <c r="W503" s="267"/>
      <c r="Y503" s="263">
        <v>2211</v>
      </c>
      <c r="Z503" s="270">
        <v>0</v>
      </c>
      <c r="AA503" s="267"/>
      <c r="AB503" s="267"/>
      <c r="AC503" s="267"/>
      <c r="AD503" s="267"/>
      <c r="AE503" s="267"/>
      <c r="AF503" s="267"/>
      <c r="AH503" s="263">
        <v>2211</v>
      </c>
      <c r="AI503" s="254">
        <v>-6.5</v>
      </c>
      <c r="AJ503" s="254" t="s">
        <v>82</v>
      </c>
      <c r="AK503" s="254" t="s">
        <v>82</v>
      </c>
      <c r="AL503" s="254" t="s">
        <v>82</v>
      </c>
      <c r="AM503" s="254" t="s">
        <v>82</v>
      </c>
      <c r="AN503" s="254" t="s">
        <v>82</v>
      </c>
      <c r="AO503" s="254" t="s">
        <v>82</v>
      </c>
    </row>
    <row r="504" spans="1:41" x14ac:dyDescent="0.2">
      <c r="A504" s="249">
        <v>500</v>
      </c>
      <c r="B504" s="195">
        <v>23</v>
      </c>
      <c r="C504" s="195" t="s">
        <v>773</v>
      </c>
      <c r="D504" s="195">
        <v>5</v>
      </c>
      <c r="E504" s="195" t="s">
        <v>553</v>
      </c>
      <c r="F504" s="196">
        <v>44162</v>
      </c>
      <c r="G504" s="250" t="s">
        <v>8</v>
      </c>
      <c r="H504" s="263">
        <v>2048</v>
      </c>
      <c r="I504" s="216" t="s">
        <v>596</v>
      </c>
      <c r="J504" s="264">
        <v>1605</v>
      </c>
      <c r="K504" s="264">
        <v>1619</v>
      </c>
      <c r="L504" s="265">
        <v>1617</v>
      </c>
      <c r="M504" s="249">
        <v>0</v>
      </c>
      <c r="N504" s="200">
        <v>0</v>
      </c>
      <c r="O504" s="269"/>
      <c r="P504" s="263">
        <v>2048</v>
      </c>
      <c r="Q504" s="270">
        <v>12.2</v>
      </c>
      <c r="R504" s="267"/>
      <c r="S504" s="267"/>
      <c r="T504" s="267"/>
      <c r="U504" s="267"/>
      <c r="V504" s="267"/>
      <c r="W504" s="267"/>
      <c r="Y504" s="263">
        <v>2048</v>
      </c>
      <c r="Z504" s="270">
        <v>0</v>
      </c>
      <c r="AA504" s="267"/>
      <c r="AB504" s="267"/>
      <c r="AC504" s="267"/>
      <c r="AD504" s="267"/>
      <c r="AE504" s="267"/>
      <c r="AF504" s="267"/>
      <c r="AH504" s="263">
        <v>2048</v>
      </c>
      <c r="AI504" s="254">
        <v>-12.2</v>
      </c>
      <c r="AJ504" s="254" t="s">
        <v>82</v>
      </c>
      <c r="AK504" s="254" t="s">
        <v>82</v>
      </c>
      <c r="AL504" s="254" t="s">
        <v>82</v>
      </c>
      <c r="AM504" s="254" t="s">
        <v>82</v>
      </c>
      <c r="AN504" s="254" t="s">
        <v>82</v>
      </c>
      <c r="AO504" s="254" t="s">
        <v>82</v>
      </c>
    </row>
    <row r="505" spans="1:41" x14ac:dyDescent="0.2">
      <c r="A505" s="249">
        <v>501</v>
      </c>
      <c r="B505" s="195">
        <v>23</v>
      </c>
      <c r="C505" s="195" t="s">
        <v>773</v>
      </c>
      <c r="D505" s="195">
        <v>5</v>
      </c>
      <c r="E505" s="195" t="s">
        <v>553</v>
      </c>
      <c r="F505" s="196">
        <v>44298</v>
      </c>
      <c r="G505" s="250" t="s">
        <v>4</v>
      </c>
      <c r="H505" s="263">
        <v>2116</v>
      </c>
      <c r="I505" s="216" t="s">
        <v>712</v>
      </c>
      <c r="J505" s="264">
        <v>1100</v>
      </c>
      <c r="K505" s="264">
        <v>1122</v>
      </c>
      <c r="L505" s="265">
        <v>1101</v>
      </c>
      <c r="M505" s="249">
        <v>0</v>
      </c>
      <c r="N505" s="200">
        <v>0</v>
      </c>
      <c r="O505" s="269"/>
      <c r="P505" s="263">
        <v>2116</v>
      </c>
      <c r="Q505" s="270">
        <v>22.6</v>
      </c>
      <c r="R505" s="267"/>
      <c r="S505" s="267"/>
      <c r="T505" s="267"/>
      <c r="U505" s="267"/>
      <c r="V505" s="267"/>
      <c r="W505" s="267"/>
      <c r="Y505" s="263">
        <v>2116</v>
      </c>
      <c r="Z505" s="270">
        <v>0</v>
      </c>
      <c r="AA505" s="267"/>
      <c r="AB505" s="267"/>
      <c r="AC505" s="267"/>
      <c r="AD505" s="267"/>
      <c r="AE505" s="267"/>
      <c r="AF505" s="267"/>
      <c r="AH505" s="263">
        <v>2116</v>
      </c>
      <c r="AI505" s="254">
        <v>-22.6</v>
      </c>
      <c r="AJ505" s="254" t="s">
        <v>82</v>
      </c>
      <c r="AK505" s="254" t="s">
        <v>82</v>
      </c>
      <c r="AL505" s="254" t="s">
        <v>82</v>
      </c>
      <c r="AM505" s="254" t="s">
        <v>82</v>
      </c>
      <c r="AN505" s="254" t="s">
        <v>82</v>
      </c>
      <c r="AO505" s="254" t="s">
        <v>82</v>
      </c>
    </row>
    <row r="506" spans="1:41" x14ac:dyDescent="0.2">
      <c r="A506" s="249">
        <v>502</v>
      </c>
      <c r="B506" s="195">
        <v>23</v>
      </c>
      <c r="C506" s="195" t="s">
        <v>773</v>
      </c>
      <c r="D506" s="195">
        <v>5</v>
      </c>
      <c r="E506" s="195" t="s">
        <v>553</v>
      </c>
      <c r="F506" s="196">
        <v>44328</v>
      </c>
      <c r="G506" s="250" t="s">
        <v>6</v>
      </c>
      <c r="H506" s="263">
        <v>2120</v>
      </c>
      <c r="I506" s="216" t="s">
        <v>712</v>
      </c>
      <c r="J506" s="264">
        <v>2100</v>
      </c>
      <c r="K506" s="264">
        <v>2122</v>
      </c>
      <c r="L506" s="265">
        <v>2101</v>
      </c>
      <c r="M506" s="249">
        <v>0</v>
      </c>
      <c r="N506" s="200">
        <v>0</v>
      </c>
      <c r="P506" s="263">
        <v>2120</v>
      </c>
      <c r="Q506" s="270">
        <v>13</v>
      </c>
      <c r="R506" s="267"/>
      <c r="S506" s="267"/>
      <c r="T506" s="267"/>
      <c r="U506" s="267"/>
      <c r="V506" s="267"/>
      <c r="W506" s="267"/>
      <c r="Y506" s="263">
        <v>2120</v>
      </c>
      <c r="Z506" s="270">
        <v>0</v>
      </c>
      <c r="AA506" s="267"/>
      <c r="AB506" s="267"/>
      <c r="AC506" s="267"/>
      <c r="AD506" s="267"/>
      <c r="AE506" s="267"/>
      <c r="AF506" s="267"/>
      <c r="AH506" s="263">
        <v>2120</v>
      </c>
      <c r="AI506" s="254">
        <v>-13</v>
      </c>
      <c r="AJ506" s="254" t="s">
        <v>82</v>
      </c>
      <c r="AK506" s="254" t="s">
        <v>82</v>
      </c>
      <c r="AL506" s="254" t="s">
        <v>82</v>
      </c>
      <c r="AM506" s="254" t="s">
        <v>82</v>
      </c>
      <c r="AN506" s="254" t="s">
        <v>82</v>
      </c>
      <c r="AO506" s="254" t="s">
        <v>82</v>
      </c>
    </row>
    <row r="507" spans="1:41" x14ac:dyDescent="0.2">
      <c r="A507" s="249">
        <v>503</v>
      </c>
      <c r="B507" s="195">
        <v>23</v>
      </c>
      <c r="C507" s="195" t="s">
        <v>773</v>
      </c>
      <c r="D507" s="195">
        <v>5</v>
      </c>
      <c r="E507" s="195" t="s">
        <v>553</v>
      </c>
      <c r="F507" s="196">
        <v>44599</v>
      </c>
      <c r="G507" s="250" t="s">
        <v>4</v>
      </c>
      <c r="H507" s="263">
        <v>2207</v>
      </c>
      <c r="I507" s="216" t="s">
        <v>777</v>
      </c>
      <c r="J507" s="264">
        <v>2200</v>
      </c>
      <c r="K507" s="264">
        <v>2224</v>
      </c>
      <c r="L507" s="265">
        <v>2201</v>
      </c>
      <c r="M507" s="249">
        <v>0</v>
      </c>
      <c r="N507" s="200">
        <v>0</v>
      </c>
      <c r="P507" s="263">
        <v>2207</v>
      </c>
      <c r="Q507" s="270">
        <v>5.5</v>
      </c>
      <c r="R507" s="267"/>
      <c r="S507" s="267"/>
      <c r="T507" s="267"/>
      <c r="U507" s="267"/>
      <c r="V507" s="267"/>
      <c r="W507" s="267"/>
      <c r="Y507" s="263">
        <v>2207</v>
      </c>
      <c r="Z507" s="270">
        <v>0</v>
      </c>
      <c r="AA507" s="267"/>
      <c r="AB507" s="267"/>
      <c r="AC507" s="267"/>
      <c r="AD507" s="267"/>
      <c r="AE507" s="267"/>
      <c r="AF507" s="267"/>
      <c r="AH507" s="263">
        <v>2207</v>
      </c>
      <c r="AI507" s="254">
        <v>-5.5</v>
      </c>
      <c r="AJ507" s="254" t="s">
        <v>82</v>
      </c>
      <c r="AK507" s="254" t="s">
        <v>82</v>
      </c>
      <c r="AL507" s="254" t="s">
        <v>82</v>
      </c>
      <c r="AM507" s="254" t="s">
        <v>82</v>
      </c>
      <c r="AN507" s="254" t="s">
        <v>82</v>
      </c>
      <c r="AO507" s="254" t="s">
        <v>82</v>
      </c>
    </row>
    <row r="508" spans="1:41" x14ac:dyDescent="0.2">
      <c r="A508" s="249">
        <v>504</v>
      </c>
      <c r="B508" s="195">
        <v>23</v>
      </c>
      <c r="C508" s="195" t="s">
        <v>773</v>
      </c>
      <c r="D508" s="195">
        <v>5</v>
      </c>
      <c r="E508" s="195" t="s">
        <v>553</v>
      </c>
      <c r="F508" s="196">
        <v>44672</v>
      </c>
      <c r="G508" s="250" t="s">
        <v>7</v>
      </c>
      <c r="H508" s="263">
        <v>2217</v>
      </c>
      <c r="I508" s="216" t="s">
        <v>778</v>
      </c>
      <c r="J508" s="264">
        <v>2255</v>
      </c>
      <c r="K508" s="264">
        <v>2259</v>
      </c>
      <c r="L508" s="265">
        <v>2259</v>
      </c>
      <c r="M508" s="249">
        <v>0</v>
      </c>
      <c r="N508" s="200">
        <v>1</v>
      </c>
      <c r="P508" s="263">
        <v>2217</v>
      </c>
      <c r="Q508" s="270">
        <v>4.2</v>
      </c>
      <c r="R508" s="267"/>
      <c r="S508" s="267"/>
      <c r="T508" s="267"/>
      <c r="U508" s="267"/>
      <c r="V508" s="267"/>
      <c r="W508" s="267"/>
      <c r="Y508" s="263">
        <v>2217</v>
      </c>
      <c r="Z508" s="270">
        <v>0</v>
      </c>
      <c r="AA508" s="267"/>
      <c r="AB508" s="267"/>
      <c r="AC508" s="267"/>
      <c r="AD508" s="267"/>
      <c r="AE508" s="267"/>
      <c r="AF508" s="267"/>
      <c r="AH508" s="263">
        <v>2217</v>
      </c>
      <c r="AI508" s="254">
        <v>-4.2</v>
      </c>
      <c r="AJ508" s="254" t="s">
        <v>82</v>
      </c>
      <c r="AK508" s="254" t="s">
        <v>82</v>
      </c>
      <c r="AL508" s="254" t="s">
        <v>82</v>
      </c>
      <c r="AM508" s="254" t="s">
        <v>82</v>
      </c>
      <c r="AN508" s="254" t="s">
        <v>82</v>
      </c>
      <c r="AO508" s="254" t="s">
        <v>82</v>
      </c>
    </row>
    <row r="509" spans="1:41" x14ac:dyDescent="0.2">
      <c r="A509" s="249">
        <v>505</v>
      </c>
      <c r="B509" s="195">
        <v>24</v>
      </c>
      <c r="C509" s="195" t="s">
        <v>779</v>
      </c>
      <c r="D509" s="195">
        <v>1</v>
      </c>
      <c r="E509" s="195" t="s">
        <v>462</v>
      </c>
      <c r="F509" s="196">
        <v>44101</v>
      </c>
      <c r="G509" s="250" t="s">
        <v>10</v>
      </c>
      <c r="H509" s="263">
        <v>2039</v>
      </c>
      <c r="I509" s="216" t="s">
        <v>463</v>
      </c>
      <c r="J509" s="264">
        <v>1025</v>
      </c>
      <c r="K509" s="264">
        <v>1124</v>
      </c>
      <c r="L509" s="265">
        <v>1110</v>
      </c>
      <c r="M509" s="249">
        <v>1</v>
      </c>
      <c r="N509" s="200">
        <v>0</v>
      </c>
      <c r="O509" s="269"/>
      <c r="P509" s="263">
        <v>2039</v>
      </c>
      <c r="Q509" s="270">
        <v>7.9</v>
      </c>
      <c r="R509" s="270">
        <v>7.1</v>
      </c>
      <c r="S509" s="270">
        <v>6.6</v>
      </c>
      <c r="T509" s="270">
        <v>0.5</v>
      </c>
      <c r="U509" s="270">
        <v>6.5</v>
      </c>
      <c r="V509" s="270">
        <v>6.5</v>
      </c>
      <c r="W509" s="270">
        <v>0</v>
      </c>
      <c r="Y509" s="263">
        <v>2039</v>
      </c>
      <c r="Z509" s="270">
        <v>0</v>
      </c>
      <c r="AA509" s="270">
        <v>6.6</v>
      </c>
      <c r="AB509" s="270">
        <v>6.6</v>
      </c>
      <c r="AC509" s="270">
        <v>0</v>
      </c>
      <c r="AD509" s="270">
        <v>6.5</v>
      </c>
      <c r="AE509" s="270">
        <v>6.5</v>
      </c>
      <c r="AF509" s="270">
        <v>0</v>
      </c>
      <c r="AH509" s="263">
        <v>2039</v>
      </c>
      <c r="AI509" s="254">
        <v>-7.9</v>
      </c>
      <c r="AJ509" s="254">
        <v>-0.5</v>
      </c>
      <c r="AK509" s="254" t="s">
        <v>82</v>
      </c>
      <c r="AL509" s="254">
        <v>-0.5</v>
      </c>
      <c r="AM509" s="254" t="s">
        <v>82</v>
      </c>
      <c r="AN509" s="254" t="s">
        <v>82</v>
      </c>
      <c r="AO509" s="254" t="s">
        <v>82</v>
      </c>
    </row>
    <row r="510" spans="1:41" x14ac:dyDescent="0.2">
      <c r="A510" s="249">
        <v>506</v>
      </c>
      <c r="B510" s="195">
        <v>24</v>
      </c>
      <c r="C510" s="195" t="s">
        <v>779</v>
      </c>
      <c r="D510" s="195">
        <v>1</v>
      </c>
      <c r="E510" s="195" t="s">
        <v>462</v>
      </c>
      <c r="F510" s="196">
        <v>44207</v>
      </c>
      <c r="G510" s="250" t="s">
        <v>4</v>
      </c>
      <c r="H510" s="263">
        <v>2103</v>
      </c>
      <c r="I510" s="216" t="s">
        <v>376</v>
      </c>
      <c r="J510" s="264">
        <v>2157</v>
      </c>
      <c r="K510" s="264">
        <v>2159</v>
      </c>
      <c r="L510" s="265">
        <v>2158</v>
      </c>
      <c r="M510" s="249">
        <v>0</v>
      </c>
      <c r="N510" s="200">
        <v>0</v>
      </c>
      <c r="O510" s="269"/>
      <c r="P510" s="263">
        <v>2103</v>
      </c>
      <c r="Q510" s="270">
        <v>2.2999999999999998</v>
      </c>
      <c r="R510" s="267"/>
      <c r="S510" s="267"/>
      <c r="T510" s="267"/>
      <c r="U510" s="267"/>
      <c r="V510" s="267"/>
      <c r="W510" s="267"/>
      <c r="Y510" s="263">
        <v>2103</v>
      </c>
      <c r="Z510" s="270">
        <v>0</v>
      </c>
      <c r="AA510" s="267"/>
      <c r="AB510" s="267"/>
      <c r="AC510" s="267"/>
      <c r="AD510" s="267"/>
      <c r="AE510" s="267"/>
      <c r="AF510" s="267"/>
      <c r="AH510" s="263">
        <v>2103</v>
      </c>
      <c r="AI510" s="254">
        <v>-2.2999999999999998</v>
      </c>
      <c r="AJ510" s="254" t="s">
        <v>82</v>
      </c>
      <c r="AK510" s="254" t="s">
        <v>82</v>
      </c>
      <c r="AL510" s="254" t="s">
        <v>82</v>
      </c>
      <c r="AM510" s="254" t="s">
        <v>82</v>
      </c>
      <c r="AN510" s="254" t="s">
        <v>82</v>
      </c>
      <c r="AO510" s="254" t="s">
        <v>82</v>
      </c>
    </row>
    <row r="511" spans="1:41" x14ac:dyDescent="0.2">
      <c r="A511" s="249">
        <v>507</v>
      </c>
      <c r="B511" s="195">
        <v>24</v>
      </c>
      <c r="C511" s="195" t="s">
        <v>779</v>
      </c>
      <c r="D511" s="195">
        <v>1</v>
      </c>
      <c r="E511" s="195" t="s">
        <v>462</v>
      </c>
      <c r="F511" s="196">
        <v>44241</v>
      </c>
      <c r="G511" s="250" t="s">
        <v>10</v>
      </c>
      <c r="H511" s="263">
        <v>2107</v>
      </c>
      <c r="I511" s="216" t="s">
        <v>464</v>
      </c>
      <c r="J511" s="264">
        <v>1210</v>
      </c>
      <c r="K511" s="264">
        <v>1339</v>
      </c>
      <c r="L511" s="265">
        <v>1214</v>
      </c>
      <c r="M511" s="249">
        <v>1</v>
      </c>
      <c r="N511" s="200">
        <v>0</v>
      </c>
      <c r="O511" s="269"/>
      <c r="P511" s="263">
        <v>2107</v>
      </c>
      <c r="Q511" s="270">
        <v>3.9</v>
      </c>
      <c r="R511" s="270">
        <v>9.5</v>
      </c>
      <c r="S511" s="270">
        <v>9.3000000000000007</v>
      </c>
      <c r="T511" s="270">
        <v>0.2</v>
      </c>
      <c r="U511" s="270">
        <v>8.8000000000000007</v>
      </c>
      <c r="V511" s="270">
        <v>8.8000000000000007</v>
      </c>
      <c r="W511" s="270">
        <v>0</v>
      </c>
      <c r="Y511" s="263">
        <v>2107</v>
      </c>
      <c r="Z511" s="270">
        <v>0</v>
      </c>
      <c r="AA511" s="270">
        <v>9.3000000000000007</v>
      </c>
      <c r="AB511" s="270">
        <v>9.3000000000000007</v>
      </c>
      <c r="AC511" s="270">
        <v>0</v>
      </c>
      <c r="AD511" s="270">
        <v>8.8000000000000007</v>
      </c>
      <c r="AE511" s="270">
        <v>8.8000000000000007</v>
      </c>
      <c r="AF511" s="270">
        <v>0</v>
      </c>
      <c r="AH511" s="263">
        <v>2107</v>
      </c>
      <c r="AI511" s="254">
        <v>-3.9</v>
      </c>
      <c r="AJ511" s="254">
        <v>-0.19999999999999929</v>
      </c>
      <c r="AK511" s="254" t="s">
        <v>82</v>
      </c>
      <c r="AL511" s="254">
        <v>-0.2</v>
      </c>
      <c r="AM511" s="254" t="s">
        <v>82</v>
      </c>
      <c r="AN511" s="254" t="s">
        <v>82</v>
      </c>
      <c r="AO511" s="254" t="s">
        <v>82</v>
      </c>
    </row>
    <row r="512" spans="1:41" x14ac:dyDescent="0.2">
      <c r="A512" s="249">
        <v>508</v>
      </c>
      <c r="B512" s="195">
        <v>24</v>
      </c>
      <c r="C512" s="195" t="s">
        <v>779</v>
      </c>
      <c r="D512" s="195">
        <v>1</v>
      </c>
      <c r="E512" s="195" t="s">
        <v>462</v>
      </c>
      <c r="F512" s="196">
        <v>44284</v>
      </c>
      <c r="G512" s="250" t="s">
        <v>4</v>
      </c>
      <c r="H512" s="263">
        <v>2114</v>
      </c>
      <c r="I512" s="216" t="s">
        <v>214</v>
      </c>
      <c r="J512" s="264">
        <v>500</v>
      </c>
      <c r="K512" s="264">
        <v>514</v>
      </c>
      <c r="L512" s="265">
        <v>514</v>
      </c>
      <c r="M512" s="249">
        <v>1</v>
      </c>
      <c r="N512" s="200">
        <v>1</v>
      </c>
      <c r="O512" s="269"/>
      <c r="P512" s="263">
        <v>2114</v>
      </c>
      <c r="Q512" s="270">
        <v>2.8</v>
      </c>
      <c r="R512" s="270">
        <v>4</v>
      </c>
      <c r="S512" s="270">
        <v>1.2</v>
      </c>
      <c r="T512" s="270">
        <v>2.8</v>
      </c>
      <c r="U512" s="270">
        <v>4</v>
      </c>
      <c r="V512" s="270">
        <v>1.2</v>
      </c>
      <c r="W512" s="270">
        <v>2.8</v>
      </c>
      <c r="Y512" s="263">
        <v>2114</v>
      </c>
      <c r="Z512" s="270">
        <v>0</v>
      </c>
      <c r="AA512" s="270">
        <v>1.2</v>
      </c>
      <c r="AB512" s="270">
        <v>1.2</v>
      </c>
      <c r="AC512" s="270">
        <v>0</v>
      </c>
      <c r="AD512" s="270">
        <v>1.2</v>
      </c>
      <c r="AE512" s="270">
        <v>1.2</v>
      </c>
      <c r="AF512" s="270">
        <v>0</v>
      </c>
      <c r="AH512" s="263">
        <v>2114</v>
      </c>
      <c r="AI512" s="254">
        <v>-2.8</v>
      </c>
      <c r="AJ512" s="254">
        <v>-2.8</v>
      </c>
      <c r="AK512" s="254" t="s">
        <v>82</v>
      </c>
      <c r="AL512" s="254">
        <v>-2.8</v>
      </c>
      <c r="AM512" s="254">
        <v>-2.8</v>
      </c>
      <c r="AN512" s="254" t="s">
        <v>82</v>
      </c>
      <c r="AO512" s="254">
        <v>-2.8</v>
      </c>
    </row>
    <row r="513" spans="1:41" x14ac:dyDescent="0.2">
      <c r="A513" s="249">
        <v>509</v>
      </c>
      <c r="B513" s="195">
        <v>24</v>
      </c>
      <c r="C513" s="195" t="s">
        <v>779</v>
      </c>
      <c r="D513" s="195">
        <v>1</v>
      </c>
      <c r="E513" s="195" t="s">
        <v>462</v>
      </c>
      <c r="F513" s="196">
        <v>44467</v>
      </c>
      <c r="G513" s="250" t="s">
        <v>5</v>
      </c>
      <c r="H513" s="263">
        <v>2140</v>
      </c>
      <c r="I513" s="216" t="s">
        <v>780</v>
      </c>
      <c r="J513" s="264">
        <v>1956</v>
      </c>
      <c r="K513" s="264">
        <v>2253</v>
      </c>
      <c r="L513" s="265">
        <v>2220</v>
      </c>
      <c r="M513" s="249">
        <v>1</v>
      </c>
      <c r="N513" s="200">
        <v>0</v>
      </c>
      <c r="O513" s="269"/>
      <c r="P513" s="263">
        <v>2140</v>
      </c>
      <c r="Q513" s="270">
        <v>4.8</v>
      </c>
      <c r="R513" s="270">
        <v>12.1</v>
      </c>
      <c r="S513" s="270">
        <v>11.7</v>
      </c>
      <c r="T513" s="270">
        <v>0.4</v>
      </c>
      <c r="U513" s="270">
        <v>8.3000000000000007</v>
      </c>
      <c r="V513" s="270">
        <v>8.3000000000000007</v>
      </c>
      <c r="W513" s="270" t="s">
        <v>84</v>
      </c>
      <c r="Y513" s="263">
        <v>2140</v>
      </c>
      <c r="Z513" s="270">
        <v>0.4</v>
      </c>
      <c r="AA513" s="270">
        <v>12</v>
      </c>
      <c r="AB513" s="270">
        <v>11.7</v>
      </c>
      <c r="AC513" s="270">
        <v>0.3</v>
      </c>
      <c r="AD513" s="270">
        <v>8.3000000000000007</v>
      </c>
      <c r="AE513" s="270">
        <v>8.3000000000000007</v>
      </c>
      <c r="AF513" s="270" t="s">
        <v>84</v>
      </c>
      <c r="AH513" s="263">
        <v>2140</v>
      </c>
      <c r="AI513" s="254">
        <v>-4.3999999999999995</v>
      </c>
      <c r="AJ513" s="254">
        <v>-9.9999999999999645E-2</v>
      </c>
      <c r="AK513" s="254" t="s">
        <v>82</v>
      </c>
      <c r="AL513" s="254">
        <v>-0.10000000000000003</v>
      </c>
      <c r="AM513" s="254" t="s">
        <v>82</v>
      </c>
      <c r="AN513" s="254" t="s">
        <v>82</v>
      </c>
      <c r="AO513" s="254" t="s">
        <v>82</v>
      </c>
    </row>
    <row r="514" spans="1:41" x14ac:dyDescent="0.2">
      <c r="A514" s="249">
        <v>510</v>
      </c>
      <c r="B514" s="195">
        <v>24</v>
      </c>
      <c r="C514" s="195" t="s">
        <v>779</v>
      </c>
      <c r="D514" s="195">
        <v>2</v>
      </c>
      <c r="E514" s="195" t="s">
        <v>470</v>
      </c>
      <c r="F514" s="196">
        <v>43964</v>
      </c>
      <c r="G514" s="250" t="s">
        <v>6</v>
      </c>
      <c r="H514" s="263">
        <v>2020</v>
      </c>
      <c r="I514" s="216" t="s">
        <v>781</v>
      </c>
      <c r="J514" s="264">
        <v>700</v>
      </c>
      <c r="K514" s="264">
        <v>759</v>
      </c>
      <c r="L514" s="265">
        <v>744</v>
      </c>
      <c r="M514" s="249">
        <v>0</v>
      </c>
      <c r="N514" s="200">
        <v>0</v>
      </c>
      <c r="O514" s="269"/>
      <c r="P514" s="263">
        <v>2020</v>
      </c>
      <c r="Q514" s="270">
        <v>6</v>
      </c>
      <c r="R514" s="267"/>
      <c r="S514" s="267"/>
      <c r="T514" s="267"/>
      <c r="U514" s="267"/>
      <c r="V514" s="267"/>
      <c r="W514" s="267"/>
      <c r="Y514" s="263">
        <v>2020</v>
      </c>
      <c r="Z514" s="270">
        <v>0</v>
      </c>
      <c r="AA514" s="267"/>
      <c r="AB514" s="267"/>
      <c r="AC514" s="267"/>
      <c r="AD514" s="267"/>
      <c r="AE514" s="267"/>
      <c r="AF514" s="267"/>
      <c r="AH514" s="263">
        <v>2020</v>
      </c>
      <c r="AI514" s="254">
        <v>-6</v>
      </c>
      <c r="AJ514" s="254" t="s">
        <v>82</v>
      </c>
      <c r="AK514" s="254" t="s">
        <v>82</v>
      </c>
      <c r="AL514" s="254" t="s">
        <v>82</v>
      </c>
      <c r="AM514" s="254" t="s">
        <v>82</v>
      </c>
      <c r="AN514" s="254" t="s">
        <v>82</v>
      </c>
      <c r="AO514" s="254" t="s">
        <v>82</v>
      </c>
    </row>
    <row r="515" spans="1:41" x14ac:dyDescent="0.2">
      <c r="A515" s="249">
        <v>511</v>
      </c>
      <c r="B515" s="195">
        <v>24</v>
      </c>
      <c r="C515" s="195" t="s">
        <v>779</v>
      </c>
      <c r="D515" s="195">
        <v>2</v>
      </c>
      <c r="E515" s="195" t="s">
        <v>470</v>
      </c>
      <c r="F515" s="196">
        <v>44118</v>
      </c>
      <c r="G515" s="250" t="s">
        <v>6</v>
      </c>
      <c r="H515" s="263">
        <v>2042</v>
      </c>
      <c r="I515" s="216" t="s">
        <v>471</v>
      </c>
      <c r="J515" s="264">
        <v>1650</v>
      </c>
      <c r="K515" s="264">
        <v>1749</v>
      </c>
      <c r="L515" s="265">
        <v>1709</v>
      </c>
      <c r="M515" s="249">
        <v>1</v>
      </c>
      <c r="N515" s="200">
        <v>0</v>
      </c>
      <c r="O515" s="269"/>
      <c r="P515" s="263">
        <v>2042</v>
      </c>
      <c r="Q515" s="270">
        <v>8.6</v>
      </c>
      <c r="R515" s="270">
        <v>4.7</v>
      </c>
      <c r="S515" s="270">
        <v>3.9</v>
      </c>
      <c r="T515" s="270">
        <v>0.8</v>
      </c>
      <c r="U515" s="270">
        <v>5</v>
      </c>
      <c r="V515" s="270">
        <v>5</v>
      </c>
      <c r="W515" s="270" t="s">
        <v>84</v>
      </c>
      <c r="Y515" s="263">
        <v>2042</v>
      </c>
      <c r="Z515" s="270">
        <v>0</v>
      </c>
      <c r="AA515" s="270">
        <v>3.9</v>
      </c>
      <c r="AB515" s="270">
        <v>3.9</v>
      </c>
      <c r="AC515" s="270">
        <v>0</v>
      </c>
      <c r="AD515" s="270">
        <v>5</v>
      </c>
      <c r="AE515" s="270">
        <v>5</v>
      </c>
      <c r="AF515" s="270" t="s">
        <v>84</v>
      </c>
      <c r="AH515" s="263">
        <v>2042</v>
      </c>
      <c r="AI515" s="254">
        <v>-8.6</v>
      </c>
      <c r="AJ515" s="254">
        <v>-0.80000000000000027</v>
      </c>
      <c r="AK515" s="254" t="s">
        <v>82</v>
      </c>
      <c r="AL515" s="254">
        <v>-0.8</v>
      </c>
      <c r="AM515" s="254" t="s">
        <v>82</v>
      </c>
      <c r="AN515" s="254" t="s">
        <v>82</v>
      </c>
      <c r="AO515" s="254" t="s">
        <v>82</v>
      </c>
    </row>
    <row r="516" spans="1:41" x14ac:dyDescent="0.2">
      <c r="A516" s="249">
        <v>512</v>
      </c>
      <c r="B516" s="195">
        <v>24</v>
      </c>
      <c r="C516" s="195" t="s">
        <v>779</v>
      </c>
      <c r="D516" s="195">
        <v>2</v>
      </c>
      <c r="E516" s="195" t="s">
        <v>470</v>
      </c>
      <c r="F516" s="196">
        <v>44217</v>
      </c>
      <c r="G516" s="250" t="s">
        <v>7</v>
      </c>
      <c r="H516" s="263">
        <v>2104</v>
      </c>
      <c r="I516" s="216" t="s">
        <v>781</v>
      </c>
      <c r="J516" s="264">
        <v>700</v>
      </c>
      <c r="K516" s="264">
        <v>759</v>
      </c>
      <c r="L516" s="265">
        <v>734</v>
      </c>
      <c r="M516" s="249">
        <v>0</v>
      </c>
      <c r="N516" s="200">
        <v>0</v>
      </c>
      <c r="O516" s="269"/>
      <c r="P516" s="263">
        <v>2104</v>
      </c>
      <c r="Q516" s="270">
        <v>5</v>
      </c>
      <c r="R516" s="267"/>
      <c r="S516" s="267"/>
      <c r="T516" s="267"/>
      <c r="U516" s="267"/>
      <c r="V516" s="267"/>
      <c r="W516" s="267"/>
      <c r="Y516" s="263">
        <v>2104</v>
      </c>
      <c r="Z516" s="270">
        <v>1.2</v>
      </c>
      <c r="AA516" s="267"/>
      <c r="AB516" s="267"/>
      <c r="AC516" s="267"/>
      <c r="AD516" s="267"/>
      <c r="AE516" s="267"/>
      <c r="AF516" s="267"/>
      <c r="AH516" s="263">
        <v>2104</v>
      </c>
      <c r="AI516" s="254">
        <v>-3.8</v>
      </c>
      <c r="AJ516" s="254" t="s">
        <v>82</v>
      </c>
      <c r="AK516" s="254" t="s">
        <v>82</v>
      </c>
      <c r="AL516" s="254" t="s">
        <v>82</v>
      </c>
      <c r="AM516" s="254" t="s">
        <v>82</v>
      </c>
      <c r="AN516" s="254" t="s">
        <v>82</v>
      </c>
      <c r="AO516" s="254" t="s">
        <v>82</v>
      </c>
    </row>
    <row r="517" spans="1:41" x14ac:dyDescent="0.2">
      <c r="A517" s="249">
        <v>513</v>
      </c>
      <c r="B517" s="195">
        <v>24</v>
      </c>
      <c r="C517" s="195" t="s">
        <v>779</v>
      </c>
      <c r="D517" s="195">
        <v>2</v>
      </c>
      <c r="E517" s="195" t="s">
        <v>470</v>
      </c>
      <c r="F517" s="196">
        <v>44259</v>
      </c>
      <c r="G517" s="250" t="s">
        <v>7</v>
      </c>
      <c r="H517" s="263">
        <v>2110</v>
      </c>
      <c r="I517" s="216" t="s">
        <v>781</v>
      </c>
      <c r="J517" s="264">
        <v>700</v>
      </c>
      <c r="K517" s="264">
        <v>759</v>
      </c>
      <c r="L517" s="265">
        <v>732</v>
      </c>
      <c r="M517" s="249">
        <v>0</v>
      </c>
      <c r="N517" s="200">
        <v>0</v>
      </c>
      <c r="O517" s="269"/>
      <c r="P517" s="263">
        <v>2110</v>
      </c>
      <c r="Q517" s="270">
        <v>5.5</v>
      </c>
      <c r="R517" s="267"/>
      <c r="S517" s="267"/>
      <c r="T517" s="267"/>
      <c r="U517" s="267"/>
      <c r="V517" s="267"/>
      <c r="W517" s="267"/>
      <c r="Y517" s="263">
        <v>2110</v>
      </c>
      <c r="Z517" s="270">
        <v>1</v>
      </c>
      <c r="AA517" s="267"/>
      <c r="AB517" s="267"/>
      <c r="AC517" s="267"/>
      <c r="AD517" s="267"/>
      <c r="AE517" s="267"/>
      <c r="AF517" s="267"/>
      <c r="AH517" s="263">
        <v>2110</v>
      </c>
      <c r="AI517" s="254">
        <v>-4.5</v>
      </c>
      <c r="AJ517" s="254" t="s">
        <v>82</v>
      </c>
      <c r="AK517" s="254" t="s">
        <v>82</v>
      </c>
      <c r="AL517" s="254" t="s">
        <v>82</v>
      </c>
      <c r="AM517" s="254" t="s">
        <v>82</v>
      </c>
      <c r="AN517" s="254" t="s">
        <v>82</v>
      </c>
      <c r="AO517" s="254" t="s">
        <v>82</v>
      </c>
    </row>
    <row r="518" spans="1:41" x14ac:dyDescent="0.2">
      <c r="A518" s="249">
        <v>514</v>
      </c>
      <c r="B518" s="195">
        <v>24</v>
      </c>
      <c r="C518" s="195" t="s">
        <v>779</v>
      </c>
      <c r="D518" s="195">
        <v>2</v>
      </c>
      <c r="E518" s="195" t="s">
        <v>470</v>
      </c>
      <c r="F518" s="196">
        <v>44542</v>
      </c>
      <c r="G518" s="250" t="s">
        <v>10</v>
      </c>
      <c r="H518" s="263">
        <v>2150</v>
      </c>
      <c r="I518" s="216" t="s">
        <v>472</v>
      </c>
      <c r="J518" s="264">
        <v>630</v>
      </c>
      <c r="K518" s="264">
        <v>644</v>
      </c>
      <c r="L518" s="265">
        <v>644</v>
      </c>
      <c r="M518" s="249">
        <v>1</v>
      </c>
      <c r="N518" s="200">
        <v>1</v>
      </c>
      <c r="O518" s="269"/>
      <c r="P518" s="263">
        <v>2150</v>
      </c>
      <c r="Q518" s="270">
        <v>10.9</v>
      </c>
      <c r="R518" s="270">
        <v>3.5</v>
      </c>
      <c r="S518" s="270">
        <v>1.3</v>
      </c>
      <c r="T518" s="270">
        <v>2.2000000000000002</v>
      </c>
      <c r="U518" s="270">
        <v>12.1</v>
      </c>
      <c r="V518" s="270">
        <v>1.2</v>
      </c>
      <c r="W518" s="270">
        <v>10.9</v>
      </c>
      <c r="Y518" s="263">
        <v>2150</v>
      </c>
      <c r="Z518" s="270">
        <v>0</v>
      </c>
      <c r="AA518" s="270">
        <v>1.3</v>
      </c>
      <c r="AB518" s="270">
        <v>1.3</v>
      </c>
      <c r="AC518" s="270">
        <v>0</v>
      </c>
      <c r="AD518" s="270">
        <v>1.2</v>
      </c>
      <c r="AE518" s="270">
        <v>1.2</v>
      </c>
      <c r="AF518" s="270">
        <v>0</v>
      </c>
      <c r="AH518" s="263">
        <v>2150</v>
      </c>
      <c r="AI518" s="254">
        <v>-10.9</v>
      </c>
      <c r="AJ518" s="254">
        <v>-2.2000000000000002</v>
      </c>
      <c r="AK518" s="254" t="s">
        <v>82</v>
      </c>
      <c r="AL518" s="254">
        <v>-2.2000000000000002</v>
      </c>
      <c r="AM518" s="254">
        <v>-10.9</v>
      </c>
      <c r="AN518" s="254" t="s">
        <v>82</v>
      </c>
      <c r="AO518" s="254">
        <v>-10.9</v>
      </c>
    </row>
    <row r="519" spans="1:41" x14ac:dyDescent="0.2">
      <c r="A519" s="249">
        <v>515</v>
      </c>
      <c r="B519" s="195">
        <v>24</v>
      </c>
      <c r="C519" s="195" t="s">
        <v>779</v>
      </c>
      <c r="D519" s="195">
        <v>2</v>
      </c>
      <c r="E519" s="195" t="s">
        <v>470</v>
      </c>
      <c r="F519" s="196">
        <v>44635</v>
      </c>
      <c r="G519" s="250" t="s">
        <v>5</v>
      </c>
      <c r="H519" s="263">
        <v>2212</v>
      </c>
      <c r="I519" s="216" t="s">
        <v>782</v>
      </c>
      <c r="J519" s="264">
        <v>2200</v>
      </c>
      <c r="K519" s="264">
        <v>2256</v>
      </c>
      <c r="L519" s="265">
        <v>2238</v>
      </c>
      <c r="M519" s="249">
        <v>0</v>
      </c>
      <c r="N519" s="200">
        <v>0</v>
      </c>
      <c r="P519" s="263">
        <v>2212</v>
      </c>
      <c r="Q519" s="270">
        <v>3.5</v>
      </c>
      <c r="R519" s="267"/>
      <c r="S519" s="267"/>
      <c r="T519" s="267"/>
      <c r="U519" s="267"/>
      <c r="V519" s="267"/>
      <c r="W519" s="267"/>
      <c r="Y519" s="263">
        <v>2212</v>
      </c>
      <c r="Z519" s="270">
        <v>2</v>
      </c>
      <c r="AA519" s="267"/>
      <c r="AB519" s="267"/>
      <c r="AC519" s="267"/>
      <c r="AD519" s="267"/>
      <c r="AE519" s="267"/>
      <c r="AF519" s="267"/>
      <c r="AH519" s="263">
        <v>2212</v>
      </c>
      <c r="AI519" s="254">
        <v>-1.5</v>
      </c>
      <c r="AJ519" s="254" t="s">
        <v>82</v>
      </c>
      <c r="AK519" s="254" t="s">
        <v>82</v>
      </c>
      <c r="AL519" s="254" t="s">
        <v>82</v>
      </c>
      <c r="AM519" s="254" t="s">
        <v>82</v>
      </c>
      <c r="AN519" s="254" t="s">
        <v>82</v>
      </c>
      <c r="AO519" s="254" t="s">
        <v>82</v>
      </c>
    </row>
    <row r="520" spans="1:41" x14ac:dyDescent="0.2">
      <c r="A520" s="249">
        <v>516</v>
      </c>
      <c r="B520" s="195">
        <v>24</v>
      </c>
      <c r="C520" s="195" t="s">
        <v>779</v>
      </c>
      <c r="D520" s="195">
        <v>3</v>
      </c>
      <c r="E520" s="195" t="s">
        <v>783</v>
      </c>
      <c r="F520" s="196">
        <v>44118</v>
      </c>
      <c r="G520" s="250" t="s">
        <v>6</v>
      </c>
      <c r="H520" s="263">
        <v>2042</v>
      </c>
      <c r="I520" s="216" t="s">
        <v>784</v>
      </c>
      <c r="J520" s="264">
        <v>2635</v>
      </c>
      <c r="K520" s="264">
        <v>2704</v>
      </c>
      <c r="L520" s="265">
        <v>2642</v>
      </c>
      <c r="M520" s="249">
        <v>0</v>
      </c>
      <c r="N520" s="200">
        <v>0</v>
      </c>
      <c r="O520" s="269"/>
      <c r="P520" s="263">
        <v>2042</v>
      </c>
      <c r="Q520" s="270">
        <v>14.1</v>
      </c>
      <c r="R520" s="267"/>
      <c r="S520" s="267"/>
      <c r="T520" s="267"/>
      <c r="U520" s="267"/>
      <c r="V520" s="267"/>
      <c r="W520" s="267"/>
      <c r="Y520" s="263">
        <v>2042</v>
      </c>
      <c r="Z520" s="270">
        <v>0</v>
      </c>
      <c r="AA520" s="267"/>
      <c r="AB520" s="267"/>
      <c r="AC520" s="267"/>
      <c r="AD520" s="267"/>
      <c r="AE520" s="267"/>
      <c r="AF520" s="267"/>
      <c r="AH520" s="263">
        <v>2042</v>
      </c>
      <c r="AI520" s="254">
        <v>-14.1</v>
      </c>
      <c r="AJ520" s="254" t="s">
        <v>82</v>
      </c>
      <c r="AK520" s="254" t="s">
        <v>82</v>
      </c>
      <c r="AL520" s="254" t="s">
        <v>82</v>
      </c>
      <c r="AM520" s="254" t="s">
        <v>82</v>
      </c>
      <c r="AN520" s="254" t="s">
        <v>82</v>
      </c>
      <c r="AO520" s="254" t="s">
        <v>82</v>
      </c>
    </row>
    <row r="521" spans="1:41" x14ac:dyDescent="0.2">
      <c r="A521" s="249">
        <v>517</v>
      </c>
      <c r="B521" s="195">
        <v>24</v>
      </c>
      <c r="C521" s="195" t="s">
        <v>779</v>
      </c>
      <c r="D521" s="195">
        <v>4</v>
      </c>
      <c r="E521" s="195" t="s">
        <v>549</v>
      </c>
      <c r="F521" s="196">
        <v>43938</v>
      </c>
      <c r="G521" s="250" t="s">
        <v>8</v>
      </c>
      <c r="H521" s="263">
        <v>2016</v>
      </c>
      <c r="I521" s="216" t="s">
        <v>621</v>
      </c>
      <c r="J521" s="264">
        <v>800</v>
      </c>
      <c r="K521" s="264">
        <v>814</v>
      </c>
      <c r="L521" s="265">
        <v>806</v>
      </c>
      <c r="M521" s="249">
        <v>0</v>
      </c>
      <c r="N521" s="200">
        <v>0</v>
      </c>
      <c r="O521" s="269"/>
      <c r="P521" s="263">
        <v>2016</v>
      </c>
      <c r="Q521" s="270">
        <v>6.8</v>
      </c>
      <c r="R521" s="267"/>
      <c r="S521" s="267"/>
      <c r="T521" s="267"/>
      <c r="U521" s="267"/>
      <c r="V521" s="267"/>
      <c r="W521" s="267"/>
      <c r="Y521" s="263">
        <v>2016</v>
      </c>
      <c r="Z521" s="270">
        <v>4.5</v>
      </c>
      <c r="AA521" s="267"/>
      <c r="AB521" s="267"/>
      <c r="AC521" s="267"/>
      <c r="AD521" s="267"/>
      <c r="AE521" s="267"/>
      <c r="AF521" s="267"/>
      <c r="AH521" s="263">
        <v>2016</v>
      </c>
      <c r="AI521" s="254">
        <v>-2.2999999999999998</v>
      </c>
      <c r="AJ521" s="254" t="s">
        <v>82</v>
      </c>
      <c r="AK521" s="254" t="s">
        <v>82</v>
      </c>
      <c r="AL521" s="254" t="s">
        <v>82</v>
      </c>
      <c r="AM521" s="254" t="s">
        <v>82</v>
      </c>
      <c r="AN521" s="254" t="s">
        <v>82</v>
      </c>
      <c r="AO521" s="254" t="s">
        <v>82</v>
      </c>
    </row>
    <row r="522" spans="1:41" x14ac:dyDescent="0.2">
      <c r="A522" s="249">
        <v>518</v>
      </c>
      <c r="B522" s="195">
        <v>24</v>
      </c>
      <c r="C522" s="195" t="s">
        <v>779</v>
      </c>
      <c r="D522" s="195">
        <v>4</v>
      </c>
      <c r="E522" s="195" t="s">
        <v>549</v>
      </c>
      <c r="F522" s="196">
        <v>44515</v>
      </c>
      <c r="G522" s="250" t="s">
        <v>4</v>
      </c>
      <c r="H522" s="263">
        <v>2147</v>
      </c>
      <c r="I522" s="216" t="s">
        <v>686</v>
      </c>
      <c r="J522" s="264">
        <v>2534</v>
      </c>
      <c r="K522" s="264">
        <v>2613</v>
      </c>
      <c r="L522" s="265">
        <v>2551</v>
      </c>
      <c r="M522" s="249">
        <v>0</v>
      </c>
      <c r="N522" s="200">
        <v>0</v>
      </c>
      <c r="P522" s="263">
        <v>2147</v>
      </c>
      <c r="Q522" s="270">
        <v>1.2</v>
      </c>
      <c r="R522" s="267"/>
      <c r="S522" s="267"/>
      <c r="T522" s="267"/>
      <c r="U522" s="267"/>
      <c r="V522" s="267"/>
      <c r="W522" s="267"/>
      <c r="Y522" s="263">
        <v>2147</v>
      </c>
      <c r="Z522" s="270">
        <v>0</v>
      </c>
      <c r="AA522" s="267"/>
      <c r="AB522" s="267"/>
      <c r="AC522" s="267"/>
      <c r="AD522" s="267"/>
      <c r="AE522" s="267"/>
      <c r="AF522" s="267"/>
      <c r="AH522" s="263">
        <v>2147</v>
      </c>
      <c r="AI522" s="254">
        <v>-1.2</v>
      </c>
      <c r="AJ522" s="254" t="s">
        <v>82</v>
      </c>
      <c r="AK522" s="254" t="s">
        <v>82</v>
      </c>
      <c r="AL522" s="254" t="s">
        <v>82</v>
      </c>
      <c r="AM522" s="254" t="s">
        <v>82</v>
      </c>
      <c r="AN522" s="254" t="s">
        <v>82</v>
      </c>
      <c r="AO522" s="254" t="s">
        <v>82</v>
      </c>
    </row>
    <row r="523" spans="1:41" x14ac:dyDescent="0.2">
      <c r="A523" s="249">
        <v>519</v>
      </c>
      <c r="B523" s="195">
        <v>25</v>
      </c>
      <c r="C523" s="195" t="s">
        <v>785</v>
      </c>
      <c r="D523" s="195">
        <v>1</v>
      </c>
      <c r="E523" s="195" t="s">
        <v>475</v>
      </c>
      <c r="F523" s="196">
        <v>44265</v>
      </c>
      <c r="G523" s="250" t="s">
        <v>6</v>
      </c>
      <c r="H523" s="263">
        <v>2111</v>
      </c>
      <c r="I523" s="216" t="s">
        <v>103</v>
      </c>
      <c r="J523" s="264">
        <v>800</v>
      </c>
      <c r="K523" s="264">
        <v>954</v>
      </c>
      <c r="L523" s="265">
        <v>817</v>
      </c>
      <c r="M523" s="249">
        <v>0</v>
      </c>
      <c r="N523" s="200">
        <v>0</v>
      </c>
      <c r="O523" s="269"/>
      <c r="P523" s="263">
        <v>2111</v>
      </c>
      <c r="Q523" s="270">
        <v>36.799999999999997</v>
      </c>
      <c r="R523" s="267"/>
      <c r="S523" s="267"/>
      <c r="T523" s="267"/>
      <c r="U523" s="267"/>
      <c r="V523" s="267"/>
      <c r="W523" s="267"/>
      <c r="Y523" s="263">
        <v>2111</v>
      </c>
      <c r="Z523" s="270">
        <v>0</v>
      </c>
      <c r="AA523" s="267"/>
      <c r="AB523" s="267"/>
      <c r="AC523" s="267"/>
      <c r="AD523" s="267"/>
      <c r="AE523" s="267"/>
      <c r="AF523" s="267"/>
      <c r="AH523" s="263">
        <v>2111</v>
      </c>
      <c r="AI523" s="254">
        <v>-36.799999999999997</v>
      </c>
      <c r="AJ523" s="254" t="s">
        <v>82</v>
      </c>
      <c r="AK523" s="254" t="s">
        <v>82</v>
      </c>
      <c r="AL523" s="254" t="s">
        <v>82</v>
      </c>
      <c r="AM523" s="254" t="s">
        <v>82</v>
      </c>
      <c r="AN523" s="254" t="s">
        <v>82</v>
      </c>
      <c r="AO523" s="254" t="s">
        <v>82</v>
      </c>
    </row>
    <row r="524" spans="1:41" x14ac:dyDescent="0.2">
      <c r="A524" s="249">
        <v>520</v>
      </c>
      <c r="B524" s="195">
        <v>25</v>
      </c>
      <c r="C524" s="195" t="s">
        <v>785</v>
      </c>
      <c r="D524" s="195">
        <v>1</v>
      </c>
      <c r="E524" s="195" t="s">
        <v>475</v>
      </c>
      <c r="F524" s="196">
        <v>44316</v>
      </c>
      <c r="G524" s="250" t="s">
        <v>8</v>
      </c>
      <c r="H524" s="263">
        <v>2118</v>
      </c>
      <c r="I524" s="216" t="s">
        <v>590</v>
      </c>
      <c r="J524" s="264">
        <v>2330</v>
      </c>
      <c r="K524" s="264">
        <v>2414</v>
      </c>
      <c r="L524" s="265">
        <v>2332</v>
      </c>
      <c r="M524" s="249">
        <v>0</v>
      </c>
      <c r="N524" s="200">
        <v>0</v>
      </c>
      <c r="O524" s="269"/>
      <c r="P524" s="263">
        <v>2118</v>
      </c>
      <c r="Q524" s="270">
        <v>9</v>
      </c>
      <c r="R524" s="267"/>
      <c r="S524" s="267"/>
      <c r="T524" s="267"/>
      <c r="U524" s="267"/>
      <c r="V524" s="267"/>
      <c r="W524" s="267"/>
      <c r="Y524" s="263">
        <v>2118</v>
      </c>
      <c r="Z524" s="270">
        <v>2.6</v>
      </c>
      <c r="AA524" s="267"/>
      <c r="AB524" s="267"/>
      <c r="AC524" s="267"/>
      <c r="AD524" s="267"/>
      <c r="AE524" s="267"/>
      <c r="AF524" s="267"/>
      <c r="AH524" s="263">
        <v>2118</v>
      </c>
      <c r="AI524" s="254">
        <v>-6.4</v>
      </c>
      <c r="AJ524" s="254" t="s">
        <v>82</v>
      </c>
      <c r="AK524" s="254" t="s">
        <v>82</v>
      </c>
      <c r="AL524" s="254" t="s">
        <v>82</v>
      </c>
      <c r="AM524" s="254" t="s">
        <v>82</v>
      </c>
      <c r="AN524" s="254" t="s">
        <v>82</v>
      </c>
      <c r="AO524" s="254" t="s">
        <v>82</v>
      </c>
    </row>
    <row r="525" spans="1:41" x14ac:dyDescent="0.2">
      <c r="A525" s="249">
        <v>521</v>
      </c>
      <c r="B525" s="195">
        <v>25</v>
      </c>
      <c r="C525" s="195" t="s">
        <v>785</v>
      </c>
      <c r="D525" s="195">
        <v>1</v>
      </c>
      <c r="E525" s="195" t="s">
        <v>475</v>
      </c>
      <c r="F525" s="196">
        <v>44672</v>
      </c>
      <c r="G525" s="250" t="s">
        <v>7</v>
      </c>
      <c r="H525" s="263">
        <v>2217</v>
      </c>
      <c r="I525" s="216" t="s">
        <v>786</v>
      </c>
      <c r="J525" s="264">
        <v>2000</v>
      </c>
      <c r="K525" s="264">
        <v>2159</v>
      </c>
      <c r="L525" s="265">
        <v>2050</v>
      </c>
      <c r="M525" s="249">
        <v>1</v>
      </c>
      <c r="N525" s="200">
        <v>0</v>
      </c>
      <c r="O525" s="269"/>
      <c r="P525" s="263">
        <v>2217</v>
      </c>
      <c r="Q525" s="270">
        <v>3.4</v>
      </c>
      <c r="R525" s="270">
        <v>7.8</v>
      </c>
      <c r="S525" s="270">
        <v>7.2</v>
      </c>
      <c r="T525" s="270">
        <v>0.6</v>
      </c>
      <c r="U525" s="270">
        <v>8.3000000000000007</v>
      </c>
      <c r="V525" s="270">
        <v>8.3000000000000007</v>
      </c>
      <c r="W525" s="270" t="s">
        <v>84</v>
      </c>
      <c r="Y525" s="263">
        <v>2217</v>
      </c>
      <c r="Z525" s="270">
        <v>0.4</v>
      </c>
      <c r="AA525" s="270">
        <v>7.6</v>
      </c>
      <c r="AB525" s="270">
        <v>7.2</v>
      </c>
      <c r="AC525" s="270">
        <v>0.4</v>
      </c>
      <c r="AD525" s="270">
        <v>8.3000000000000007</v>
      </c>
      <c r="AE525" s="270">
        <v>8.3000000000000007</v>
      </c>
      <c r="AF525" s="270" t="s">
        <v>84</v>
      </c>
      <c r="AH525" s="263">
        <v>2217</v>
      </c>
      <c r="AI525" s="254">
        <v>-3</v>
      </c>
      <c r="AJ525" s="254">
        <v>-0.20000000000000018</v>
      </c>
      <c r="AK525" s="254" t="s">
        <v>82</v>
      </c>
      <c r="AL525" s="254">
        <v>-0.19999999999999996</v>
      </c>
      <c r="AM525" s="254" t="s">
        <v>82</v>
      </c>
      <c r="AN525" s="254" t="s">
        <v>82</v>
      </c>
      <c r="AO525" s="254" t="s">
        <v>82</v>
      </c>
    </row>
    <row r="526" spans="1:41" x14ac:dyDescent="0.2">
      <c r="A526" s="249">
        <v>522</v>
      </c>
      <c r="B526" s="195">
        <v>25</v>
      </c>
      <c r="C526" s="195" t="s">
        <v>785</v>
      </c>
      <c r="D526" s="195">
        <v>2</v>
      </c>
      <c r="E526" s="195" t="s">
        <v>478</v>
      </c>
      <c r="F526" s="196">
        <v>44044</v>
      </c>
      <c r="G526" s="250" t="s">
        <v>9</v>
      </c>
      <c r="H526" s="263">
        <v>2031</v>
      </c>
      <c r="I526" s="216" t="s">
        <v>479</v>
      </c>
      <c r="J526" s="264">
        <v>1956</v>
      </c>
      <c r="K526" s="264">
        <v>2053</v>
      </c>
      <c r="L526" s="265">
        <v>2021</v>
      </c>
      <c r="M526" s="249">
        <v>1</v>
      </c>
      <c r="N526" s="200">
        <v>0</v>
      </c>
      <c r="O526" s="269"/>
      <c r="P526" s="263">
        <v>2031</v>
      </c>
      <c r="Q526" s="270">
        <v>7.6</v>
      </c>
      <c r="R526" s="270">
        <v>8.6999999999999993</v>
      </c>
      <c r="S526" s="270">
        <v>8</v>
      </c>
      <c r="T526" s="270">
        <v>0.7</v>
      </c>
      <c r="U526" s="270">
        <v>7.4</v>
      </c>
      <c r="V526" s="270">
        <v>7.4</v>
      </c>
      <c r="W526" s="270">
        <v>0</v>
      </c>
      <c r="Y526" s="263">
        <v>2031</v>
      </c>
      <c r="Z526" s="270">
        <v>0</v>
      </c>
      <c r="AA526" s="270">
        <v>8.1</v>
      </c>
      <c r="AB526" s="270">
        <v>8</v>
      </c>
      <c r="AC526" s="270">
        <v>0.1</v>
      </c>
      <c r="AD526" s="270">
        <v>7.4</v>
      </c>
      <c r="AE526" s="270">
        <v>7.4</v>
      </c>
      <c r="AF526" s="270">
        <v>0</v>
      </c>
      <c r="AH526" s="263">
        <v>2031</v>
      </c>
      <c r="AI526" s="254">
        <v>-7.6</v>
      </c>
      <c r="AJ526" s="254">
        <v>-0.59999999999999964</v>
      </c>
      <c r="AK526" s="254" t="s">
        <v>82</v>
      </c>
      <c r="AL526" s="254">
        <v>-0.6</v>
      </c>
      <c r="AM526" s="254" t="s">
        <v>82</v>
      </c>
      <c r="AN526" s="254" t="s">
        <v>82</v>
      </c>
      <c r="AO526" s="254" t="s">
        <v>82</v>
      </c>
    </row>
    <row r="527" spans="1:41" x14ac:dyDescent="0.2">
      <c r="A527" s="249">
        <v>523</v>
      </c>
      <c r="B527" s="195">
        <v>25</v>
      </c>
      <c r="C527" s="195" t="s">
        <v>785</v>
      </c>
      <c r="D527" s="195">
        <v>2</v>
      </c>
      <c r="E527" s="195" t="s">
        <v>478</v>
      </c>
      <c r="F527" s="196">
        <v>44098</v>
      </c>
      <c r="G527" s="250" t="s">
        <v>7</v>
      </c>
      <c r="H527" s="263">
        <v>2039</v>
      </c>
      <c r="I527" s="216" t="s">
        <v>787</v>
      </c>
      <c r="J527" s="264">
        <v>1130</v>
      </c>
      <c r="K527" s="264">
        <v>1154</v>
      </c>
      <c r="L527" s="265">
        <v>1132</v>
      </c>
      <c r="M527" s="249">
        <v>0</v>
      </c>
      <c r="N527" s="200">
        <v>0</v>
      </c>
      <c r="O527" s="269"/>
      <c r="P527" s="263">
        <v>2039</v>
      </c>
      <c r="Q527" s="270">
        <v>52.1</v>
      </c>
      <c r="R527" s="267"/>
      <c r="S527" s="267"/>
      <c r="T527" s="267"/>
      <c r="U527" s="267"/>
      <c r="V527" s="267"/>
      <c r="W527" s="267"/>
      <c r="Y527" s="263">
        <v>2039</v>
      </c>
      <c r="Z527" s="270">
        <v>0</v>
      </c>
      <c r="AA527" s="267"/>
      <c r="AB527" s="267"/>
      <c r="AC527" s="267"/>
      <c r="AD527" s="267"/>
      <c r="AE527" s="267"/>
      <c r="AF527" s="267"/>
      <c r="AH527" s="263">
        <v>2039</v>
      </c>
      <c r="AI527" s="254">
        <v>-52.1</v>
      </c>
      <c r="AJ527" s="254" t="s">
        <v>82</v>
      </c>
      <c r="AK527" s="254" t="s">
        <v>82</v>
      </c>
      <c r="AL527" s="254" t="s">
        <v>82</v>
      </c>
      <c r="AM527" s="254" t="s">
        <v>82</v>
      </c>
      <c r="AN527" s="254" t="s">
        <v>82</v>
      </c>
      <c r="AO527" s="254" t="s">
        <v>82</v>
      </c>
    </row>
    <row r="528" spans="1:41" x14ac:dyDescent="0.2">
      <c r="A528" s="249">
        <v>524</v>
      </c>
      <c r="B528" s="195">
        <v>25</v>
      </c>
      <c r="C528" s="195" t="s">
        <v>785</v>
      </c>
      <c r="D528" s="195">
        <v>2</v>
      </c>
      <c r="E528" s="195" t="s">
        <v>478</v>
      </c>
      <c r="F528" s="196">
        <v>44326</v>
      </c>
      <c r="G528" s="250" t="s">
        <v>4</v>
      </c>
      <c r="H528" s="263">
        <v>2120</v>
      </c>
      <c r="I528" s="216" t="s">
        <v>481</v>
      </c>
      <c r="J528" s="264">
        <v>1748</v>
      </c>
      <c r="K528" s="264">
        <v>1859</v>
      </c>
      <c r="L528" s="265">
        <v>1850</v>
      </c>
      <c r="M528" s="249">
        <v>1</v>
      </c>
      <c r="N528" s="200">
        <v>0</v>
      </c>
      <c r="O528" s="269"/>
      <c r="P528" s="263">
        <v>2120</v>
      </c>
      <c r="Q528" s="270">
        <v>4.5</v>
      </c>
      <c r="R528" s="270">
        <v>7.5</v>
      </c>
      <c r="S528" s="270">
        <v>7.2</v>
      </c>
      <c r="T528" s="270">
        <v>0.3</v>
      </c>
      <c r="U528" s="270">
        <v>8.1999999999999993</v>
      </c>
      <c r="V528" s="270">
        <v>8.1999999999999993</v>
      </c>
      <c r="W528" s="270" t="s">
        <v>84</v>
      </c>
      <c r="Y528" s="263">
        <v>2120</v>
      </c>
      <c r="Z528" s="270">
        <v>0</v>
      </c>
      <c r="AA528" s="270">
        <v>7.2</v>
      </c>
      <c r="AB528" s="270">
        <v>7.2</v>
      </c>
      <c r="AC528" s="270">
        <v>0</v>
      </c>
      <c r="AD528" s="270">
        <v>8.1999999999999993</v>
      </c>
      <c r="AE528" s="270">
        <v>8.1999999999999993</v>
      </c>
      <c r="AF528" s="270" t="s">
        <v>84</v>
      </c>
      <c r="AH528" s="263">
        <v>2120</v>
      </c>
      <c r="AI528" s="254">
        <v>-4.5</v>
      </c>
      <c r="AJ528" s="254">
        <v>-0.29999999999999982</v>
      </c>
      <c r="AK528" s="254" t="s">
        <v>82</v>
      </c>
      <c r="AL528" s="254">
        <v>-0.3</v>
      </c>
      <c r="AM528" s="254" t="s">
        <v>82</v>
      </c>
      <c r="AN528" s="254" t="s">
        <v>82</v>
      </c>
      <c r="AO528" s="254" t="s">
        <v>82</v>
      </c>
    </row>
    <row r="529" spans="1:41" x14ac:dyDescent="0.2">
      <c r="A529" s="249">
        <v>525</v>
      </c>
      <c r="B529" s="195">
        <v>25</v>
      </c>
      <c r="C529" s="195" t="s">
        <v>785</v>
      </c>
      <c r="D529" s="195">
        <v>2</v>
      </c>
      <c r="E529" s="195" t="s">
        <v>478</v>
      </c>
      <c r="F529" s="196">
        <v>44412</v>
      </c>
      <c r="G529" s="250" t="s">
        <v>6</v>
      </c>
      <c r="H529" s="263">
        <v>2132</v>
      </c>
      <c r="I529" s="216" t="s">
        <v>99</v>
      </c>
      <c r="J529" s="264">
        <v>550</v>
      </c>
      <c r="K529" s="264">
        <v>759</v>
      </c>
      <c r="L529" s="265">
        <v>623</v>
      </c>
      <c r="M529" s="249">
        <v>0</v>
      </c>
      <c r="N529" s="200">
        <v>0</v>
      </c>
      <c r="O529" s="269"/>
      <c r="P529" s="263">
        <v>2132</v>
      </c>
      <c r="Q529" s="270">
        <v>4.0999999999999996</v>
      </c>
      <c r="R529" s="267"/>
      <c r="S529" s="267"/>
      <c r="T529" s="267"/>
      <c r="U529" s="267"/>
      <c r="V529" s="267"/>
      <c r="W529" s="267"/>
      <c r="Y529" s="263">
        <v>2132</v>
      </c>
      <c r="Z529" s="270">
        <v>0</v>
      </c>
      <c r="AA529" s="267"/>
      <c r="AB529" s="267"/>
      <c r="AC529" s="267"/>
      <c r="AD529" s="267"/>
      <c r="AE529" s="267"/>
      <c r="AF529" s="267"/>
      <c r="AH529" s="263">
        <v>2132</v>
      </c>
      <c r="AI529" s="254">
        <v>-4.0999999999999996</v>
      </c>
      <c r="AJ529" s="254" t="s">
        <v>82</v>
      </c>
      <c r="AK529" s="254" t="s">
        <v>82</v>
      </c>
      <c r="AL529" s="254" t="s">
        <v>82</v>
      </c>
      <c r="AM529" s="254" t="s">
        <v>82</v>
      </c>
      <c r="AN529" s="254" t="s">
        <v>82</v>
      </c>
      <c r="AO529" s="254" t="s">
        <v>82</v>
      </c>
    </row>
    <row r="530" spans="1:41" x14ac:dyDescent="0.2">
      <c r="A530" s="249">
        <v>526</v>
      </c>
      <c r="B530" s="195">
        <v>25</v>
      </c>
      <c r="C530" s="195" t="s">
        <v>785</v>
      </c>
      <c r="D530" s="195">
        <v>2</v>
      </c>
      <c r="E530" s="195" t="s">
        <v>478</v>
      </c>
      <c r="F530" s="196">
        <v>44438</v>
      </c>
      <c r="G530" s="250" t="s">
        <v>4</v>
      </c>
      <c r="H530" s="263">
        <v>2136</v>
      </c>
      <c r="I530" s="216" t="s">
        <v>482</v>
      </c>
      <c r="J530" s="264">
        <v>2404</v>
      </c>
      <c r="K530" s="264">
        <v>2458</v>
      </c>
      <c r="L530" s="265">
        <v>2406</v>
      </c>
      <c r="M530" s="249">
        <v>1</v>
      </c>
      <c r="N530" s="200">
        <v>0</v>
      </c>
      <c r="O530" s="269"/>
      <c r="P530" s="263">
        <v>2136</v>
      </c>
      <c r="Q530" s="270">
        <v>6.5</v>
      </c>
      <c r="R530" s="270">
        <v>3.6</v>
      </c>
      <c r="S530" s="270">
        <v>2.9</v>
      </c>
      <c r="T530" s="270">
        <v>0.7</v>
      </c>
      <c r="U530" s="270">
        <v>2.1</v>
      </c>
      <c r="V530" s="270">
        <v>2.1</v>
      </c>
      <c r="W530" s="270">
        <v>0</v>
      </c>
      <c r="Y530" s="263">
        <v>2136</v>
      </c>
      <c r="Z530" s="270">
        <v>0.2</v>
      </c>
      <c r="AA530" s="270">
        <v>3.1</v>
      </c>
      <c r="AB530" s="270">
        <v>2.9</v>
      </c>
      <c r="AC530" s="270">
        <v>0.2</v>
      </c>
      <c r="AD530" s="270">
        <v>2.1</v>
      </c>
      <c r="AE530" s="270">
        <v>2.1</v>
      </c>
      <c r="AF530" s="270">
        <v>0</v>
      </c>
      <c r="AH530" s="263">
        <v>2136</v>
      </c>
      <c r="AI530" s="254">
        <v>-6.3</v>
      </c>
      <c r="AJ530" s="254">
        <v>-0.5</v>
      </c>
      <c r="AK530" s="254" t="s">
        <v>82</v>
      </c>
      <c r="AL530" s="254">
        <v>-0.49999999999999994</v>
      </c>
      <c r="AM530" s="254" t="s">
        <v>82</v>
      </c>
      <c r="AN530" s="254" t="s">
        <v>82</v>
      </c>
      <c r="AO530" s="254" t="s">
        <v>82</v>
      </c>
    </row>
    <row r="531" spans="1:41" x14ac:dyDescent="0.2">
      <c r="A531" s="249">
        <v>527</v>
      </c>
      <c r="B531" s="195">
        <v>25</v>
      </c>
      <c r="C531" s="195" t="s">
        <v>785</v>
      </c>
      <c r="D531" s="195">
        <v>2</v>
      </c>
      <c r="E531" s="195" t="s">
        <v>478</v>
      </c>
      <c r="F531" s="196">
        <v>44490</v>
      </c>
      <c r="G531" s="250" t="s">
        <v>7</v>
      </c>
      <c r="H531" s="263">
        <v>2143</v>
      </c>
      <c r="I531" s="216" t="s">
        <v>330</v>
      </c>
      <c r="J531" s="264">
        <v>1155</v>
      </c>
      <c r="K531" s="264">
        <v>1444</v>
      </c>
      <c r="L531" s="265">
        <v>1251</v>
      </c>
      <c r="M531" s="249">
        <v>1</v>
      </c>
      <c r="N531" s="200">
        <v>0</v>
      </c>
      <c r="O531" s="269"/>
      <c r="P531" s="263">
        <v>2143</v>
      </c>
      <c r="Q531" s="270">
        <v>8.1999999999999993</v>
      </c>
      <c r="R531" s="270">
        <v>4.5999999999999996</v>
      </c>
      <c r="S531" s="270">
        <v>4.4000000000000004</v>
      </c>
      <c r="T531" s="270">
        <v>0.2</v>
      </c>
      <c r="U531" s="270">
        <v>3.1</v>
      </c>
      <c r="V531" s="270">
        <v>3.1</v>
      </c>
      <c r="W531" s="270" t="s">
        <v>84</v>
      </c>
      <c r="Y531" s="263">
        <v>2143</v>
      </c>
      <c r="Z531" s="270">
        <v>0</v>
      </c>
      <c r="AA531" s="270">
        <v>4.4000000000000004</v>
      </c>
      <c r="AB531" s="270">
        <v>4.4000000000000004</v>
      </c>
      <c r="AC531" s="270">
        <v>0</v>
      </c>
      <c r="AD531" s="270">
        <v>3.1</v>
      </c>
      <c r="AE531" s="270">
        <v>3.1</v>
      </c>
      <c r="AF531" s="270" t="s">
        <v>84</v>
      </c>
      <c r="AH531" s="263">
        <v>2143</v>
      </c>
      <c r="AI531" s="254">
        <v>-8.1999999999999993</v>
      </c>
      <c r="AJ531" s="254">
        <v>-0.19999999999999929</v>
      </c>
      <c r="AK531" s="254" t="s">
        <v>82</v>
      </c>
      <c r="AL531" s="254">
        <v>-0.2</v>
      </c>
      <c r="AM531" s="254" t="s">
        <v>82</v>
      </c>
      <c r="AN531" s="254" t="s">
        <v>82</v>
      </c>
      <c r="AO531" s="254" t="s">
        <v>82</v>
      </c>
    </row>
    <row r="532" spans="1:41" x14ac:dyDescent="0.2">
      <c r="A532" s="249">
        <v>528</v>
      </c>
      <c r="B532" s="195">
        <v>25</v>
      </c>
      <c r="C532" s="195" t="s">
        <v>785</v>
      </c>
      <c r="D532" s="195">
        <v>3</v>
      </c>
      <c r="E532" s="195" t="s">
        <v>485</v>
      </c>
      <c r="F532" s="196">
        <v>44302</v>
      </c>
      <c r="G532" s="250" t="s">
        <v>8</v>
      </c>
      <c r="H532" s="263">
        <v>2116</v>
      </c>
      <c r="I532" s="216" t="s">
        <v>788</v>
      </c>
      <c r="J532" s="264">
        <v>2018</v>
      </c>
      <c r="K532" s="264">
        <v>2153</v>
      </c>
      <c r="L532" s="265">
        <v>2108</v>
      </c>
      <c r="M532" s="249">
        <v>1</v>
      </c>
      <c r="N532" s="200">
        <v>0</v>
      </c>
      <c r="P532" s="263">
        <v>2116</v>
      </c>
      <c r="Q532" s="270">
        <v>6.4</v>
      </c>
      <c r="R532" s="270">
        <v>11.2</v>
      </c>
      <c r="S532" s="270">
        <v>10.9</v>
      </c>
      <c r="T532" s="270">
        <v>0.3</v>
      </c>
      <c r="U532" s="270">
        <v>10.1</v>
      </c>
      <c r="V532" s="270">
        <v>10.1</v>
      </c>
      <c r="W532" s="270" t="s">
        <v>84</v>
      </c>
      <c r="Y532" s="263">
        <v>2116</v>
      </c>
      <c r="Z532" s="270">
        <v>0</v>
      </c>
      <c r="AA532" s="270">
        <v>10.9</v>
      </c>
      <c r="AB532" s="270">
        <v>10.9</v>
      </c>
      <c r="AC532" s="270">
        <v>0</v>
      </c>
      <c r="AD532" s="270">
        <v>10.1</v>
      </c>
      <c r="AE532" s="270">
        <v>10.1</v>
      </c>
      <c r="AF532" s="270" t="s">
        <v>84</v>
      </c>
      <c r="AH532" s="263">
        <v>2116</v>
      </c>
      <c r="AI532" s="254">
        <v>-6.4</v>
      </c>
      <c r="AJ532" s="254">
        <v>-0.29999999999999893</v>
      </c>
      <c r="AK532" s="254" t="s">
        <v>82</v>
      </c>
      <c r="AL532" s="254">
        <v>-0.3</v>
      </c>
      <c r="AM532" s="254" t="s">
        <v>82</v>
      </c>
      <c r="AN532" s="254" t="s">
        <v>82</v>
      </c>
      <c r="AO532" s="254" t="s">
        <v>82</v>
      </c>
    </row>
    <row r="533" spans="1:41" x14ac:dyDescent="0.2">
      <c r="A533" s="249">
        <v>529</v>
      </c>
      <c r="B533" s="195">
        <v>25</v>
      </c>
      <c r="C533" s="195" t="s">
        <v>785</v>
      </c>
      <c r="D533" s="195">
        <v>3</v>
      </c>
      <c r="E533" s="195" t="s">
        <v>485</v>
      </c>
      <c r="F533" s="196">
        <v>44319</v>
      </c>
      <c r="G533" s="250" t="s">
        <v>4</v>
      </c>
      <c r="H533" s="263">
        <v>2119</v>
      </c>
      <c r="I533" s="216" t="s">
        <v>347</v>
      </c>
      <c r="J533" s="264">
        <v>2154</v>
      </c>
      <c r="K533" s="264">
        <v>2309</v>
      </c>
      <c r="L533" s="265">
        <v>2247</v>
      </c>
      <c r="M533" s="249">
        <v>1</v>
      </c>
      <c r="N533" s="200">
        <v>0</v>
      </c>
      <c r="P533" s="263">
        <v>2119</v>
      </c>
      <c r="Q533" s="270">
        <v>23.4</v>
      </c>
      <c r="R533" s="270">
        <v>8.1</v>
      </c>
      <c r="S533" s="270">
        <v>6.7</v>
      </c>
      <c r="T533" s="270">
        <v>1.4</v>
      </c>
      <c r="U533" s="270">
        <v>5.2</v>
      </c>
      <c r="V533" s="270">
        <v>5.2</v>
      </c>
      <c r="W533" s="270">
        <v>0</v>
      </c>
      <c r="Y533" s="263">
        <v>2119</v>
      </c>
      <c r="Z533" s="270">
        <v>0.4</v>
      </c>
      <c r="AA533" s="270">
        <v>6.9</v>
      </c>
      <c r="AB533" s="270">
        <v>6.7</v>
      </c>
      <c r="AC533" s="270">
        <v>0.2</v>
      </c>
      <c r="AD533" s="270">
        <v>5.2</v>
      </c>
      <c r="AE533" s="270">
        <v>5.2</v>
      </c>
      <c r="AF533" s="270">
        <v>0</v>
      </c>
      <c r="AH533" s="263">
        <v>2119</v>
      </c>
      <c r="AI533" s="254">
        <v>-23</v>
      </c>
      <c r="AJ533" s="254">
        <v>-1.1999999999999993</v>
      </c>
      <c r="AK533" s="254" t="s">
        <v>82</v>
      </c>
      <c r="AL533" s="254">
        <v>-1.2</v>
      </c>
      <c r="AM533" s="254" t="s">
        <v>82</v>
      </c>
      <c r="AN533" s="254" t="s">
        <v>82</v>
      </c>
      <c r="AO533" s="254" t="s">
        <v>82</v>
      </c>
    </row>
    <row r="534" spans="1:41" x14ac:dyDescent="0.2">
      <c r="A534" s="249">
        <v>530</v>
      </c>
      <c r="B534" s="195">
        <v>25</v>
      </c>
      <c r="C534" s="195" t="s">
        <v>785</v>
      </c>
      <c r="D534" s="195">
        <v>3</v>
      </c>
      <c r="E534" s="195" t="s">
        <v>485</v>
      </c>
      <c r="F534" s="196">
        <v>44480</v>
      </c>
      <c r="G534" s="250" t="s">
        <v>4</v>
      </c>
      <c r="H534" s="263">
        <v>2142</v>
      </c>
      <c r="I534" s="216" t="s">
        <v>488</v>
      </c>
      <c r="J534" s="264">
        <v>1645</v>
      </c>
      <c r="K534" s="264">
        <v>1749</v>
      </c>
      <c r="L534" s="265">
        <v>1721</v>
      </c>
      <c r="M534" s="249">
        <v>1</v>
      </c>
      <c r="N534" s="200">
        <v>0</v>
      </c>
      <c r="P534" s="263">
        <v>2142</v>
      </c>
      <c r="Q534" s="270">
        <v>6.9</v>
      </c>
      <c r="R534" s="270">
        <v>4.4000000000000004</v>
      </c>
      <c r="S534" s="270">
        <v>3.8</v>
      </c>
      <c r="T534" s="270">
        <v>0.6</v>
      </c>
      <c r="U534" s="270">
        <v>5.7</v>
      </c>
      <c r="V534" s="270">
        <v>5.7</v>
      </c>
      <c r="W534" s="270" t="s">
        <v>84</v>
      </c>
      <c r="Y534" s="263">
        <v>2142</v>
      </c>
      <c r="Z534" s="270">
        <v>0</v>
      </c>
      <c r="AA534" s="270">
        <v>3.8</v>
      </c>
      <c r="AB534" s="270">
        <v>3.8</v>
      </c>
      <c r="AC534" s="270">
        <v>0</v>
      </c>
      <c r="AD534" s="270">
        <v>5.7</v>
      </c>
      <c r="AE534" s="270">
        <v>5.7</v>
      </c>
      <c r="AF534" s="270" t="s">
        <v>84</v>
      </c>
      <c r="AH534" s="263">
        <v>2142</v>
      </c>
      <c r="AI534" s="254">
        <v>-6.9</v>
      </c>
      <c r="AJ534" s="254">
        <v>-0.60000000000000053</v>
      </c>
      <c r="AK534" s="254" t="s">
        <v>82</v>
      </c>
      <c r="AL534" s="254">
        <v>-0.6</v>
      </c>
      <c r="AM534" s="254" t="s">
        <v>82</v>
      </c>
      <c r="AN534" s="254" t="s">
        <v>82</v>
      </c>
      <c r="AO534" s="254" t="s">
        <v>82</v>
      </c>
    </row>
    <row r="535" spans="1:41" x14ac:dyDescent="0.2">
      <c r="A535" s="249">
        <v>531</v>
      </c>
      <c r="B535" s="195">
        <v>25</v>
      </c>
      <c r="C535" s="195" t="s">
        <v>785</v>
      </c>
      <c r="D535" s="195">
        <v>3</v>
      </c>
      <c r="E535" s="195" t="s">
        <v>485</v>
      </c>
      <c r="F535" s="196">
        <v>44625</v>
      </c>
      <c r="G535" s="250" t="s">
        <v>9</v>
      </c>
      <c r="H535" s="263">
        <v>2210</v>
      </c>
      <c r="I535" s="216" t="s">
        <v>789</v>
      </c>
      <c r="J535" s="264">
        <v>2305</v>
      </c>
      <c r="K535" s="264">
        <v>2334</v>
      </c>
      <c r="L535" s="265">
        <v>2308</v>
      </c>
      <c r="M535" s="249">
        <v>0</v>
      </c>
      <c r="N535" s="200">
        <v>0</v>
      </c>
      <c r="P535" s="263">
        <v>2210</v>
      </c>
      <c r="Q535" s="270">
        <v>3.6</v>
      </c>
      <c r="R535" s="267"/>
      <c r="S535" s="267"/>
      <c r="T535" s="267"/>
      <c r="U535" s="267"/>
      <c r="V535" s="267"/>
      <c r="W535" s="267"/>
      <c r="Y535" s="263">
        <v>2210</v>
      </c>
      <c r="Z535" s="270">
        <v>0</v>
      </c>
      <c r="AA535" s="267"/>
      <c r="AB535" s="267"/>
      <c r="AC535" s="267"/>
      <c r="AD535" s="267"/>
      <c r="AE535" s="267"/>
      <c r="AF535" s="267"/>
      <c r="AH535" s="263">
        <v>2210</v>
      </c>
      <c r="AI535" s="254">
        <v>-3.6</v>
      </c>
      <c r="AJ535" s="254" t="s">
        <v>82</v>
      </c>
      <c r="AK535" s="254" t="s">
        <v>82</v>
      </c>
      <c r="AL535" s="254" t="s">
        <v>82</v>
      </c>
      <c r="AM535" s="254" t="s">
        <v>82</v>
      </c>
      <c r="AN535" s="254" t="s">
        <v>82</v>
      </c>
      <c r="AO535" s="254" t="s">
        <v>82</v>
      </c>
    </row>
    <row r="536" spans="1:41" x14ac:dyDescent="0.2">
      <c r="A536" s="249">
        <v>532</v>
      </c>
      <c r="B536" s="195">
        <v>25</v>
      </c>
      <c r="C536" s="195" t="s">
        <v>785</v>
      </c>
      <c r="D536" s="195">
        <v>4</v>
      </c>
      <c r="E536" s="195" t="s">
        <v>549</v>
      </c>
      <c r="F536" s="196">
        <v>43920</v>
      </c>
      <c r="G536" s="250" t="s">
        <v>4</v>
      </c>
      <c r="H536" s="263">
        <v>2014</v>
      </c>
      <c r="I536" s="216" t="s">
        <v>790</v>
      </c>
      <c r="J536" s="264">
        <v>1508</v>
      </c>
      <c r="K536" s="264">
        <v>1559</v>
      </c>
      <c r="L536" s="265">
        <v>1533</v>
      </c>
      <c r="M536" s="249">
        <v>0</v>
      </c>
      <c r="N536" s="200">
        <v>0</v>
      </c>
      <c r="O536" s="269"/>
      <c r="P536" s="263">
        <v>2014</v>
      </c>
      <c r="Q536" s="270">
        <v>2.9</v>
      </c>
      <c r="R536" s="267"/>
      <c r="S536" s="267"/>
      <c r="T536" s="267"/>
      <c r="U536" s="267"/>
      <c r="V536" s="267"/>
      <c r="W536" s="267"/>
      <c r="Y536" s="263">
        <v>2014</v>
      </c>
      <c r="Z536" s="270">
        <v>0</v>
      </c>
      <c r="AA536" s="267"/>
      <c r="AB536" s="267"/>
      <c r="AC536" s="267"/>
      <c r="AD536" s="267"/>
      <c r="AE536" s="267"/>
      <c r="AF536" s="267"/>
      <c r="AH536" s="263">
        <v>2014</v>
      </c>
      <c r="AI536" s="254">
        <v>-2.9</v>
      </c>
      <c r="AJ536" s="254" t="s">
        <v>82</v>
      </c>
      <c r="AK536" s="254" t="s">
        <v>82</v>
      </c>
      <c r="AL536" s="254" t="s">
        <v>82</v>
      </c>
      <c r="AM536" s="254" t="s">
        <v>82</v>
      </c>
      <c r="AN536" s="254" t="s">
        <v>82</v>
      </c>
      <c r="AO536" s="254" t="s">
        <v>82</v>
      </c>
    </row>
    <row r="537" spans="1:41" x14ac:dyDescent="0.2">
      <c r="A537" s="249">
        <v>533</v>
      </c>
      <c r="B537" s="195">
        <v>25</v>
      </c>
      <c r="C537" s="195" t="s">
        <v>785</v>
      </c>
      <c r="D537" s="195">
        <v>4</v>
      </c>
      <c r="E537" s="195" t="s">
        <v>549</v>
      </c>
      <c r="F537" s="196">
        <v>43938</v>
      </c>
      <c r="G537" s="250" t="s">
        <v>8</v>
      </c>
      <c r="H537" s="263">
        <v>2016</v>
      </c>
      <c r="I537" s="216" t="s">
        <v>621</v>
      </c>
      <c r="J537" s="264">
        <v>800</v>
      </c>
      <c r="K537" s="264">
        <v>814</v>
      </c>
      <c r="L537" s="265">
        <v>806</v>
      </c>
      <c r="M537" s="249">
        <v>0</v>
      </c>
      <c r="N537" s="200">
        <v>0</v>
      </c>
      <c r="O537" s="269"/>
      <c r="P537" s="263">
        <v>2016</v>
      </c>
      <c r="Q537" s="270">
        <v>8.6</v>
      </c>
      <c r="R537" s="267"/>
      <c r="S537" s="267"/>
      <c r="T537" s="267"/>
      <c r="U537" s="267"/>
      <c r="V537" s="267"/>
      <c r="W537" s="267"/>
      <c r="Y537" s="263">
        <v>2016</v>
      </c>
      <c r="Z537" s="270">
        <v>3.8</v>
      </c>
      <c r="AA537" s="267"/>
      <c r="AB537" s="267"/>
      <c r="AC537" s="267"/>
      <c r="AD537" s="267"/>
      <c r="AE537" s="267"/>
      <c r="AF537" s="267"/>
      <c r="AH537" s="263">
        <v>2016</v>
      </c>
      <c r="AI537" s="254">
        <v>-4.8</v>
      </c>
      <c r="AJ537" s="254" t="s">
        <v>82</v>
      </c>
      <c r="AK537" s="254" t="s">
        <v>82</v>
      </c>
      <c r="AL537" s="254" t="s">
        <v>82</v>
      </c>
      <c r="AM537" s="254" t="s">
        <v>82</v>
      </c>
      <c r="AN537" s="254" t="s">
        <v>82</v>
      </c>
      <c r="AO537" s="254" t="s">
        <v>82</v>
      </c>
    </row>
    <row r="538" spans="1:41" x14ac:dyDescent="0.2">
      <c r="A538" s="249">
        <v>534</v>
      </c>
      <c r="B538" s="195">
        <v>25</v>
      </c>
      <c r="C538" s="195" t="s">
        <v>785</v>
      </c>
      <c r="D538" s="195">
        <v>5</v>
      </c>
      <c r="E538" s="195" t="s">
        <v>553</v>
      </c>
      <c r="F538" s="196">
        <v>43926</v>
      </c>
      <c r="G538" s="250" t="s">
        <v>10</v>
      </c>
      <c r="H538" s="263">
        <v>2014</v>
      </c>
      <c r="I538" s="216" t="s">
        <v>791</v>
      </c>
      <c r="J538" s="264">
        <v>1900</v>
      </c>
      <c r="K538" s="264">
        <v>1924</v>
      </c>
      <c r="L538" s="265">
        <v>1917</v>
      </c>
      <c r="M538" s="249">
        <v>0</v>
      </c>
      <c r="N538" s="200">
        <v>0</v>
      </c>
      <c r="O538" s="269"/>
      <c r="P538" s="263">
        <v>2014</v>
      </c>
      <c r="Q538" s="270">
        <v>5.7</v>
      </c>
      <c r="R538" s="267"/>
      <c r="S538" s="267"/>
      <c r="T538" s="267"/>
      <c r="U538" s="267"/>
      <c r="V538" s="267"/>
      <c r="W538" s="267"/>
      <c r="Y538" s="263">
        <v>2014</v>
      </c>
      <c r="Z538" s="270">
        <v>0</v>
      </c>
      <c r="AA538" s="267"/>
      <c r="AB538" s="267"/>
      <c r="AC538" s="267"/>
      <c r="AD538" s="267"/>
      <c r="AE538" s="267"/>
      <c r="AF538" s="267"/>
      <c r="AH538" s="263">
        <v>2014</v>
      </c>
      <c r="AI538" s="254">
        <v>-5.7</v>
      </c>
      <c r="AJ538" s="254" t="s">
        <v>82</v>
      </c>
      <c r="AK538" s="254" t="s">
        <v>82</v>
      </c>
      <c r="AL538" s="254" t="s">
        <v>82</v>
      </c>
      <c r="AM538" s="254" t="s">
        <v>82</v>
      </c>
      <c r="AN538" s="254" t="s">
        <v>82</v>
      </c>
      <c r="AO538" s="254" t="s">
        <v>82</v>
      </c>
    </row>
    <row r="539" spans="1:41" x14ac:dyDescent="0.2">
      <c r="A539" s="249">
        <v>535</v>
      </c>
      <c r="B539" s="195">
        <v>25</v>
      </c>
      <c r="C539" s="195" t="s">
        <v>785</v>
      </c>
      <c r="D539" s="195">
        <v>5</v>
      </c>
      <c r="E539" s="195" t="s">
        <v>553</v>
      </c>
      <c r="F539" s="196">
        <v>44010</v>
      </c>
      <c r="G539" s="250" t="s">
        <v>10</v>
      </c>
      <c r="H539" s="263">
        <v>2026</v>
      </c>
      <c r="I539" s="216" t="s">
        <v>792</v>
      </c>
      <c r="J539" s="264">
        <v>2100</v>
      </c>
      <c r="K539" s="264">
        <v>2259</v>
      </c>
      <c r="L539" s="265">
        <v>2107</v>
      </c>
      <c r="M539" s="249">
        <v>0</v>
      </c>
      <c r="N539" s="200">
        <v>0</v>
      </c>
      <c r="O539" s="269"/>
      <c r="P539" s="263">
        <v>2026</v>
      </c>
      <c r="Q539" s="270">
        <v>4.2</v>
      </c>
      <c r="R539" s="267"/>
      <c r="S539" s="267"/>
      <c r="T539" s="267"/>
      <c r="U539" s="267"/>
      <c r="V539" s="267"/>
      <c r="W539" s="267"/>
      <c r="Y539" s="263">
        <v>2026</v>
      </c>
      <c r="Z539" s="270">
        <v>0</v>
      </c>
      <c r="AA539" s="267"/>
      <c r="AB539" s="267"/>
      <c r="AC539" s="267"/>
      <c r="AD539" s="267"/>
      <c r="AE539" s="267"/>
      <c r="AF539" s="267"/>
      <c r="AH539" s="263">
        <v>2026</v>
      </c>
      <c r="AI539" s="254">
        <v>-4.2</v>
      </c>
      <c r="AJ539" s="254" t="s">
        <v>82</v>
      </c>
      <c r="AK539" s="254" t="s">
        <v>82</v>
      </c>
      <c r="AL539" s="254" t="s">
        <v>82</v>
      </c>
      <c r="AM539" s="254" t="s">
        <v>82</v>
      </c>
      <c r="AN539" s="254" t="s">
        <v>82</v>
      </c>
      <c r="AO539" s="254" t="s">
        <v>82</v>
      </c>
    </row>
    <row r="540" spans="1:41" x14ac:dyDescent="0.2">
      <c r="A540" s="249">
        <v>536</v>
      </c>
      <c r="B540" s="195">
        <v>25</v>
      </c>
      <c r="C540" s="195" t="s">
        <v>785</v>
      </c>
      <c r="D540" s="195">
        <v>5</v>
      </c>
      <c r="E540" s="195" t="s">
        <v>553</v>
      </c>
      <c r="F540" s="196">
        <v>44162</v>
      </c>
      <c r="G540" s="250" t="s">
        <v>8</v>
      </c>
      <c r="H540" s="263">
        <v>2048</v>
      </c>
      <c r="I540" s="216" t="s">
        <v>596</v>
      </c>
      <c r="J540" s="264">
        <v>1605</v>
      </c>
      <c r="K540" s="264">
        <v>1619</v>
      </c>
      <c r="L540" s="265">
        <v>1617</v>
      </c>
      <c r="M540" s="249">
        <v>0</v>
      </c>
      <c r="N540" s="200">
        <v>0</v>
      </c>
      <c r="O540" s="269"/>
      <c r="P540" s="263">
        <v>2048</v>
      </c>
      <c r="Q540" s="270">
        <v>46.7</v>
      </c>
      <c r="R540" s="267"/>
      <c r="S540" s="267"/>
      <c r="T540" s="267"/>
      <c r="U540" s="267"/>
      <c r="V540" s="267"/>
      <c r="W540" s="267"/>
      <c r="Y540" s="263">
        <v>2048</v>
      </c>
      <c r="Z540" s="270">
        <v>0</v>
      </c>
      <c r="AA540" s="267"/>
      <c r="AB540" s="267"/>
      <c r="AC540" s="267"/>
      <c r="AD540" s="267"/>
      <c r="AE540" s="267"/>
      <c r="AF540" s="267"/>
      <c r="AH540" s="263">
        <v>2048</v>
      </c>
      <c r="AI540" s="254">
        <v>-46.7</v>
      </c>
      <c r="AJ540" s="254" t="s">
        <v>82</v>
      </c>
      <c r="AK540" s="254" t="s">
        <v>82</v>
      </c>
      <c r="AL540" s="254" t="s">
        <v>82</v>
      </c>
      <c r="AM540" s="254" t="s">
        <v>82</v>
      </c>
      <c r="AN540" s="254" t="s">
        <v>82</v>
      </c>
      <c r="AO540" s="254" t="s">
        <v>82</v>
      </c>
    </row>
    <row r="541" spans="1:41" x14ac:dyDescent="0.2">
      <c r="A541" s="249">
        <v>537</v>
      </c>
      <c r="B541" s="195">
        <v>25</v>
      </c>
      <c r="C541" s="195" t="s">
        <v>785</v>
      </c>
      <c r="D541" s="195">
        <v>5</v>
      </c>
      <c r="E541" s="195" t="s">
        <v>553</v>
      </c>
      <c r="F541" s="196">
        <v>44251</v>
      </c>
      <c r="G541" s="250" t="s">
        <v>6</v>
      </c>
      <c r="H541" s="263">
        <v>2109</v>
      </c>
      <c r="I541" s="216" t="s">
        <v>599</v>
      </c>
      <c r="J541" s="264">
        <v>1645</v>
      </c>
      <c r="K541" s="264">
        <v>1659</v>
      </c>
      <c r="L541" s="265">
        <v>1647</v>
      </c>
      <c r="M541" s="249">
        <v>0</v>
      </c>
      <c r="N541" s="200">
        <v>0</v>
      </c>
      <c r="P541" s="263">
        <v>2109</v>
      </c>
      <c r="Q541" s="270">
        <v>40.9</v>
      </c>
      <c r="R541" s="267"/>
      <c r="S541" s="267"/>
      <c r="T541" s="267"/>
      <c r="U541" s="267"/>
      <c r="V541" s="267"/>
      <c r="W541" s="267"/>
      <c r="Y541" s="263">
        <v>2109</v>
      </c>
      <c r="Z541" s="270">
        <v>0</v>
      </c>
      <c r="AA541" s="267"/>
      <c r="AB541" s="267"/>
      <c r="AC541" s="267"/>
      <c r="AD541" s="267"/>
      <c r="AE541" s="267"/>
      <c r="AF541" s="267"/>
      <c r="AH541" s="263">
        <v>2109</v>
      </c>
      <c r="AI541" s="254">
        <v>-40.9</v>
      </c>
      <c r="AJ541" s="254" t="s">
        <v>82</v>
      </c>
      <c r="AK541" s="254" t="s">
        <v>82</v>
      </c>
      <c r="AL541" s="254" t="s">
        <v>82</v>
      </c>
      <c r="AM541" s="254" t="s">
        <v>82</v>
      </c>
      <c r="AN541" s="254" t="s">
        <v>82</v>
      </c>
      <c r="AO541" s="254" t="s">
        <v>82</v>
      </c>
    </row>
    <row r="542" spans="1:41" x14ac:dyDescent="0.2">
      <c r="A542" s="249">
        <v>538</v>
      </c>
      <c r="B542" s="195">
        <v>25</v>
      </c>
      <c r="C542" s="195" t="s">
        <v>785</v>
      </c>
      <c r="D542" s="195">
        <v>5</v>
      </c>
      <c r="E542" s="195" t="s">
        <v>553</v>
      </c>
      <c r="F542" s="196">
        <v>44606</v>
      </c>
      <c r="G542" s="250" t="s">
        <v>4</v>
      </c>
      <c r="H542" s="263">
        <v>2208</v>
      </c>
      <c r="I542" s="216" t="s">
        <v>624</v>
      </c>
      <c r="J542" s="264">
        <v>935</v>
      </c>
      <c r="K542" s="264">
        <v>944</v>
      </c>
      <c r="L542" s="265">
        <v>939</v>
      </c>
      <c r="M542" s="249">
        <v>0</v>
      </c>
      <c r="N542" s="200">
        <v>0</v>
      </c>
      <c r="O542" s="269"/>
      <c r="P542" s="263">
        <v>2208</v>
      </c>
      <c r="Q542" s="270">
        <v>2.1</v>
      </c>
      <c r="R542" s="267"/>
      <c r="S542" s="267"/>
      <c r="T542" s="267"/>
      <c r="U542" s="267"/>
      <c r="V542" s="267"/>
      <c r="W542" s="267"/>
      <c r="Y542" s="263">
        <v>2208</v>
      </c>
      <c r="Z542" s="270">
        <v>0</v>
      </c>
      <c r="AA542" s="267"/>
      <c r="AB542" s="267"/>
      <c r="AC542" s="267"/>
      <c r="AD542" s="267"/>
      <c r="AE542" s="267"/>
      <c r="AF542" s="267"/>
      <c r="AH542" s="263">
        <v>2208</v>
      </c>
      <c r="AI542" s="254">
        <v>-2.1</v>
      </c>
      <c r="AJ542" s="254" t="s">
        <v>82</v>
      </c>
      <c r="AK542" s="254" t="s">
        <v>82</v>
      </c>
      <c r="AL542" s="254" t="s">
        <v>82</v>
      </c>
      <c r="AM542" s="254" t="s">
        <v>82</v>
      </c>
      <c r="AN542" s="254" t="s">
        <v>82</v>
      </c>
      <c r="AO542" s="254" t="s">
        <v>82</v>
      </c>
    </row>
    <row r="543" spans="1:41" x14ac:dyDescent="0.2">
      <c r="A543" s="249">
        <v>539</v>
      </c>
      <c r="B543" s="195">
        <v>26</v>
      </c>
      <c r="C543" s="195" t="s">
        <v>793</v>
      </c>
      <c r="D543" s="195">
        <v>1</v>
      </c>
      <c r="E543" s="195" t="s">
        <v>490</v>
      </c>
      <c r="F543" s="196">
        <v>43927</v>
      </c>
      <c r="G543" s="250" t="s">
        <v>4</v>
      </c>
      <c r="H543" s="263">
        <v>2015</v>
      </c>
      <c r="I543" s="216" t="s">
        <v>376</v>
      </c>
      <c r="J543" s="264">
        <v>1120</v>
      </c>
      <c r="K543" s="264">
        <v>1124</v>
      </c>
      <c r="L543" s="265">
        <v>1121</v>
      </c>
      <c r="M543" s="249">
        <v>0</v>
      </c>
      <c r="N543" s="200">
        <v>0</v>
      </c>
      <c r="O543" s="269"/>
      <c r="P543" s="263">
        <v>2015</v>
      </c>
      <c r="Q543" s="270">
        <v>3.2</v>
      </c>
      <c r="R543" s="267"/>
      <c r="S543" s="267"/>
      <c r="T543" s="267"/>
      <c r="U543" s="267"/>
      <c r="V543" s="267"/>
      <c r="W543" s="267"/>
      <c r="Y543" s="263">
        <v>2015</v>
      </c>
      <c r="Z543" s="270">
        <v>0</v>
      </c>
      <c r="AA543" s="267"/>
      <c r="AB543" s="267"/>
      <c r="AC543" s="267"/>
      <c r="AD543" s="267"/>
      <c r="AE543" s="267"/>
      <c r="AF543" s="267"/>
      <c r="AH543" s="263">
        <v>2015</v>
      </c>
      <c r="AI543" s="254">
        <v>-3.2</v>
      </c>
      <c r="AJ543" s="254" t="s">
        <v>82</v>
      </c>
      <c r="AK543" s="254" t="s">
        <v>82</v>
      </c>
      <c r="AL543" s="254" t="s">
        <v>82</v>
      </c>
      <c r="AM543" s="254" t="s">
        <v>82</v>
      </c>
      <c r="AN543" s="254" t="s">
        <v>82</v>
      </c>
      <c r="AO543" s="254" t="s">
        <v>82</v>
      </c>
    </row>
    <row r="544" spans="1:41" x14ac:dyDescent="0.2">
      <c r="A544" s="249">
        <v>540</v>
      </c>
      <c r="B544" s="195">
        <v>26</v>
      </c>
      <c r="C544" s="195" t="s">
        <v>793</v>
      </c>
      <c r="D544" s="195">
        <v>1</v>
      </c>
      <c r="E544" s="195" t="s">
        <v>490</v>
      </c>
      <c r="F544" s="196">
        <v>43934</v>
      </c>
      <c r="G544" s="250" t="s">
        <v>4</v>
      </c>
      <c r="H544" s="263">
        <v>2016</v>
      </c>
      <c r="I544" s="216" t="s">
        <v>376</v>
      </c>
      <c r="J544" s="264">
        <v>1120</v>
      </c>
      <c r="K544" s="264">
        <v>1124</v>
      </c>
      <c r="L544" s="265">
        <v>1121</v>
      </c>
      <c r="M544" s="249">
        <v>0</v>
      </c>
      <c r="N544" s="200">
        <v>0</v>
      </c>
      <c r="O544" s="269"/>
      <c r="P544" s="263">
        <v>2016</v>
      </c>
      <c r="Q544" s="270">
        <v>2.6</v>
      </c>
      <c r="R544" s="267"/>
      <c r="S544" s="267"/>
      <c r="T544" s="267"/>
      <c r="U544" s="267"/>
      <c r="V544" s="267"/>
      <c r="W544" s="267"/>
      <c r="Y544" s="263">
        <v>2016</v>
      </c>
      <c r="Z544" s="270">
        <v>0</v>
      </c>
      <c r="AA544" s="267"/>
      <c r="AB544" s="267"/>
      <c r="AC544" s="267"/>
      <c r="AD544" s="267"/>
      <c r="AE544" s="267"/>
      <c r="AF544" s="267"/>
      <c r="AH544" s="263">
        <v>2016</v>
      </c>
      <c r="AI544" s="254">
        <v>-2.6</v>
      </c>
      <c r="AJ544" s="254" t="s">
        <v>82</v>
      </c>
      <c r="AK544" s="254" t="s">
        <v>82</v>
      </c>
      <c r="AL544" s="254" t="s">
        <v>82</v>
      </c>
      <c r="AM544" s="254" t="s">
        <v>82</v>
      </c>
      <c r="AN544" s="254" t="s">
        <v>82</v>
      </c>
      <c r="AO544" s="254" t="s">
        <v>82</v>
      </c>
    </row>
    <row r="545" spans="1:41" x14ac:dyDescent="0.2">
      <c r="A545" s="249">
        <v>541</v>
      </c>
      <c r="B545" s="195">
        <v>26</v>
      </c>
      <c r="C545" s="195" t="s">
        <v>793</v>
      </c>
      <c r="D545" s="195">
        <v>1</v>
      </c>
      <c r="E545" s="195" t="s">
        <v>490</v>
      </c>
      <c r="F545" s="196">
        <v>43941</v>
      </c>
      <c r="G545" s="250" t="s">
        <v>4</v>
      </c>
      <c r="H545" s="263">
        <v>2017</v>
      </c>
      <c r="I545" s="216" t="s">
        <v>376</v>
      </c>
      <c r="J545" s="264">
        <v>1120</v>
      </c>
      <c r="K545" s="264">
        <v>1124</v>
      </c>
      <c r="L545" s="265">
        <v>1121</v>
      </c>
      <c r="M545" s="249">
        <v>0</v>
      </c>
      <c r="N545" s="200">
        <v>0</v>
      </c>
      <c r="O545" s="269"/>
      <c r="P545" s="263">
        <v>2017</v>
      </c>
      <c r="Q545" s="270">
        <v>3</v>
      </c>
      <c r="R545" s="267"/>
      <c r="S545" s="267"/>
      <c r="T545" s="267"/>
      <c r="U545" s="267"/>
      <c r="V545" s="267"/>
      <c r="W545" s="267"/>
      <c r="Y545" s="263">
        <v>2017</v>
      </c>
      <c r="Z545" s="270">
        <v>0</v>
      </c>
      <c r="AA545" s="267"/>
      <c r="AB545" s="267"/>
      <c r="AC545" s="267"/>
      <c r="AD545" s="267"/>
      <c r="AE545" s="267"/>
      <c r="AF545" s="267"/>
      <c r="AH545" s="263">
        <v>2017</v>
      </c>
      <c r="AI545" s="254">
        <v>-3</v>
      </c>
      <c r="AJ545" s="254" t="s">
        <v>82</v>
      </c>
      <c r="AK545" s="254" t="s">
        <v>82</v>
      </c>
      <c r="AL545" s="254" t="s">
        <v>82</v>
      </c>
      <c r="AM545" s="254" t="s">
        <v>82</v>
      </c>
      <c r="AN545" s="254" t="s">
        <v>82</v>
      </c>
      <c r="AO545" s="254" t="s">
        <v>82</v>
      </c>
    </row>
    <row r="546" spans="1:41" x14ac:dyDescent="0.2">
      <c r="A546" s="249">
        <v>542</v>
      </c>
      <c r="B546" s="195">
        <v>26</v>
      </c>
      <c r="C546" s="195" t="s">
        <v>793</v>
      </c>
      <c r="D546" s="195">
        <v>1</v>
      </c>
      <c r="E546" s="195" t="s">
        <v>490</v>
      </c>
      <c r="F546" s="196">
        <v>43948</v>
      </c>
      <c r="G546" s="250" t="s">
        <v>4</v>
      </c>
      <c r="H546" s="263">
        <v>2018</v>
      </c>
      <c r="I546" s="216" t="s">
        <v>376</v>
      </c>
      <c r="J546" s="264">
        <v>1120</v>
      </c>
      <c r="K546" s="264">
        <v>1124</v>
      </c>
      <c r="L546" s="265">
        <v>1121</v>
      </c>
      <c r="M546" s="249">
        <v>0</v>
      </c>
      <c r="N546" s="200">
        <v>0</v>
      </c>
      <c r="O546" s="269"/>
      <c r="P546" s="263">
        <v>2018</v>
      </c>
      <c r="Q546" s="270">
        <v>3</v>
      </c>
      <c r="R546" s="267"/>
      <c r="S546" s="267"/>
      <c r="T546" s="267"/>
      <c r="U546" s="267"/>
      <c r="V546" s="267"/>
      <c r="W546" s="267"/>
      <c r="Y546" s="263">
        <v>2018</v>
      </c>
      <c r="Z546" s="270">
        <v>0</v>
      </c>
      <c r="AA546" s="267"/>
      <c r="AB546" s="267"/>
      <c r="AC546" s="267"/>
      <c r="AD546" s="267"/>
      <c r="AE546" s="267"/>
      <c r="AF546" s="267"/>
      <c r="AH546" s="263">
        <v>2018</v>
      </c>
      <c r="AI546" s="254">
        <v>-3</v>
      </c>
      <c r="AJ546" s="254" t="s">
        <v>82</v>
      </c>
      <c r="AK546" s="254" t="s">
        <v>82</v>
      </c>
      <c r="AL546" s="254" t="s">
        <v>82</v>
      </c>
      <c r="AM546" s="254" t="s">
        <v>82</v>
      </c>
      <c r="AN546" s="254" t="s">
        <v>82</v>
      </c>
      <c r="AO546" s="254" t="s">
        <v>82</v>
      </c>
    </row>
    <row r="547" spans="1:41" x14ac:dyDescent="0.2">
      <c r="A547" s="249">
        <v>543</v>
      </c>
      <c r="B547" s="195">
        <v>26</v>
      </c>
      <c r="C547" s="195" t="s">
        <v>793</v>
      </c>
      <c r="D547" s="195">
        <v>1</v>
      </c>
      <c r="E547" s="195" t="s">
        <v>490</v>
      </c>
      <c r="F547" s="196">
        <v>43955</v>
      </c>
      <c r="G547" s="250" t="s">
        <v>4</v>
      </c>
      <c r="H547" s="263">
        <v>2019</v>
      </c>
      <c r="I547" s="216" t="s">
        <v>376</v>
      </c>
      <c r="J547" s="264">
        <v>1120</v>
      </c>
      <c r="K547" s="264">
        <v>1124</v>
      </c>
      <c r="L547" s="265">
        <v>1121</v>
      </c>
      <c r="M547" s="249">
        <v>0</v>
      </c>
      <c r="N547" s="200">
        <v>0</v>
      </c>
      <c r="O547" s="269"/>
      <c r="P547" s="263">
        <v>2019</v>
      </c>
      <c r="Q547" s="270">
        <v>3.4</v>
      </c>
      <c r="R547" s="267"/>
      <c r="S547" s="267"/>
      <c r="T547" s="267"/>
      <c r="U547" s="267"/>
      <c r="V547" s="267"/>
      <c r="W547" s="267"/>
      <c r="Y547" s="263">
        <v>2019</v>
      </c>
      <c r="Z547" s="270">
        <v>0</v>
      </c>
      <c r="AA547" s="267"/>
      <c r="AB547" s="267"/>
      <c r="AC547" s="267"/>
      <c r="AD547" s="267"/>
      <c r="AE547" s="267"/>
      <c r="AF547" s="267"/>
      <c r="AH547" s="263">
        <v>2019</v>
      </c>
      <c r="AI547" s="254">
        <v>-3.4</v>
      </c>
      <c r="AJ547" s="254" t="s">
        <v>82</v>
      </c>
      <c r="AK547" s="254" t="s">
        <v>82</v>
      </c>
      <c r="AL547" s="254" t="s">
        <v>82</v>
      </c>
      <c r="AM547" s="254" t="s">
        <v>82</v>
      </c>
      <c r="AN547" s="254" t="s">
        <v>82</v>
      </c>
      <c r="AO547" s="254" t="s">
        <v>82</v>
      </c>
    </row>
    <row r="548" spans="1:41" x14ac:dyDescent="0.2">
      <c r="A548" s="249">
        <v>544</v>
      </c>
      <c r="B548" s="195">
        <v>26</v>
      </c>
      <c r="C548" s="195" t="s">
        <v>793</v>
      </c>
      <c r="D548" s="195">
        <v>1</v>
      </c>
      <c r="E548" s="195" t="s">
        <v>490</v>
      </c>
      <c r="F548" s="196">
        <v>43962</v>
      </c>
      <c r="G548" s="250" t="s">
        <v>4</v>
      </c>
      <c r="H548" s="263">
        <v>2020</v>
      </c>
      <c r="I548" s="216" t="s">
        <v>376</v>
      </c>
      <c r="J548" s="264">
        <v>1120</v>
      </c>
      <c r="K548" s="264">
        <v>1124</v>
      </c>
      <c r="L548" s="265">
        <v>1121</v>
      </c>
      <c r="M548" s="249">
        <v>0</v>
      </c>
      <c r="N548" s="200">
        <v>0</v>
      </c>
      <c r="O548" s="269"/>
      <c r="P548" s="263">
        <v>2020</v>
      </c>
      <c r="Q548" s="270">
        <v>3.8</v>
      </c>
      <c r="R548" s="267"/>
      <c r="S548" s="267"/>
      <c r="T548" s="267"/>
      <c r="U548" s="267"/>
      <c r="V548" s="267"/>
      <c r="W548" s="267"/>
      <c r="Y548" s="263">
        <v>2020</v>
      </c>
      <c r="Z548" s="270">
        <v>0</v>
      </c>
      <c r="AA548" s="267"/>
      <c r="AB548" s="267"/>
      <c r="AC548" s="267"/>
      <c r="AD548" s="267"/>
      <c r="AE548" s="267"/>
      <c r="AF548" s="267"/>
      <c r="AH548" s="263">
        <v>2020</v>
      </c>
      <c r="AI548" s="254">
        <v>-3.8</v>
      </c>
      <c r="AJ548" s="254" t="s">
        <v>82</v>
      </c>
      <c r="AK548" s="254" t="s">
        <v>82</v>
      </c>
      <c r="AL548" s="254" t="s">
        <v>82</v>
      </c>
      <c r="AM548" s="254" t="s">
        <v>82</v>
      </c>
      <c r="AN548" s="254" t="s">
        <v>82</v>
      </c>
      <c r="AO548" s="254" t="s">
        <v>82</v>
      </c>
    </row>
    <row r="549" spans="1:41" x14ac:dyDescent="0.2">
      <c r="A549" s="249">
        <v>545</v>
      </c>
      <c r="B549" s="195">
        <v>26</v>
      </c>
      <c r="C549" s="195" t="s">
        <v>793</v>
      </c>
      <c r="D549" s="195">
        <v>1</v>
      </c>
      <c r="E549" s="195" t="s">
        <v>490</v>
      </c>
      <c r="F549" s="196">
        <v>43969</v>
      </c>
      <c r="G549" s="250" t="s">
        <v>4</v>
      </c>
      <c r="H549" s="263">
        <v>2021</v>
      </c>
      <c r="I549" s="216" t="s">
        <v>376</v>
      </c>
      <c r="J549" s="264">
        <v>1120</v>
      </c>
      <c r="K549" s="264">
        <v>1124</v>
      </c>
      <c r="L549" s="265">
        <v>1121</v>
      </c>
      <c r="M549" s="249">
        <v>0</v>
      </c>
      <c r="N549" s="200">
        <v>0</v>
      </c>
      <c r="O549" s="269"/>
      <c r="P549" s="263">
        <v>2021</v>
      </c>
      <c r="Q549" s="270">
        <v>3</v>
      </c>
      <c r="R549" s="267"/>
      <c r="S549" s="267"/>
      <c r="T549" s="267"/>
      <c r="U549" s="267"/>
      <c r="V549" s="267"/>
      <c r="W549" s="267"/>
      <c r="Y549" s="263">
        <v>2021</v>
      </c>
      <c r="Z549" s="270">
        <v>0</v>
      </c>
      <c r="AA549" s="267"/>
      <c r="AB549" s="267"/>
      <c r="AC549" s="267"/>
      <c r="AD549" s="267"/>
      <c r="AE549" s="267"/>
      <c r="AF549" s="267"/>
      <c r="AH549" s="263">
        <v>2021</v>
      </c>
      <c r="AI549" s="254">
        <v>-3</v>
      </c>
      <c r="AJ549" s="254" t="s">
        <v>82</v>
      </c>
      <c r="AK549" s="254" t="s">
        <v>82</v>
      </c>
      <c r="AL549" s="254" t="s">
        <v>82</v>
      </c>
      <c r="AM549" s="254" t="s">
        <v>82</v>
      </c>
      <c r="AN549" s="254" t="s">
        <v>82</v>
      </c>
      <c r="AO549" s="254" t="s">
        <v>82</v>
      </c>
    </row>
    <row r="550" spans="1:41" x14ac:dyDescent="0.2">
      <c r="A550" s="249">
        <v>546</v>
      </c>
      <c r="B550" s="195">
        <v>26</v>
      </c>
      <c r="C550" s="195" t="s">
        <v>793</v>
      </c>
      <c r="D550" s="195">
        <v>1</v>
      </c>
      <c r="E550" s="195" t="s">
        <v>490</v>
      </c>
      <c r="F550" s="196">
        <v>43976</v>
      </c>
      <c r="G550" s="250" t="s">
        <v>4</v>
      </c>
      <c r="H550" s="263">
        <v>2022</v>
      </c>
      <c r="I550" s="216" t="s">
        <v>376</v>
      </c>
      <c r="J550" s="264">
        <v>1120</v>
      </c>
      <c r="K550" s="264">
        <v>1124</v>
      </c>
      <c r="L550" s="265">
        <v>1121</v>
      </c>
      <c r="M550" s="249">
        <v>0</v>
      </c>
      <c r="N550" s="200">
        <v>0</v>
      </c>
      <c r="O550" s="269"/>
      <c r="P550" s="263">
        <v>2022</v>
      </c>
      <c r="Q550" s="270">
        <v>2.2000000000000002</v>
      </c>
      <c r="R550" s="267"/>
      <c r="S550" s="267"/>
      <c r="T550" s="267"/>
      <c r="U550" s="267"/>
      <c r="V550" s="267"/>
      <c r="W550" s="267"/>
      <c r="Y550" s="263">
        <v>2022</v>
      </c>
      <c r="Z550" s="270">
        <v>0</v>
      </c>
      <c r="AA550" s="267"/>
      <c r="AB550" s="267"/>
      <c r="AC550" s="267"/>
      <c r="AD550" s="267"/>
      <c r="AE550" s="267"/>
      <c r="AF550" s="267"/>
      <c r="AH550" s="263">
        <v>2022</v>
      </c>
      <c r="AI550" s="254">
        <v>-2.2000000000000002</v>
      </c>
      <c r="AJ550" s="254" t="s">
        <v>82</v>
      </c>
      <c r="AK550" s="254" t="s">
        <v>82</v>
      </c>
      <c r="AL550" s="254" t="s">
        <v>82</v>
      </c>
      <c r="AM550" s="254" t="s">
        <v>82</v>
      </c>
      <c r="AN550" s="254" t="s">
        <v>82</v>
      </c>
      <c r="AO550" s="254" t="s">
        <v>82</v>
      </c>
    </row>
    <row r="551" spans="1:41" x14ac:dyDescent="0.2">
      <c r="A551" s="249">
        <v>547</v>
      </c>
      <c r="B551" s="195">
        <v>26</v>
      </c>
      <c r="C551" s="195" t="s">
        <v>793</v>
      </c>
      <c r="D551" s="195">
        <v>1</v>
      </c>
      <c r="E551" s="195" t="s">
        <v>490</v>
      </c>
      <c r="F551" s="196">
        <v>43990</v>
      </c>
      <c r="G551" s="250" t="s">
        <v>4</v>
      </c>
      <c r="H551" s="263">
        <v>2024</v>
      </c>
      <c r="I551" s="216" t="s">
        <v>376</v>
      </c>
      <c r="J551" s="264">
        <v>1120</v>
      </c>
      <c r="K551" s="264">
        <v>1124</v>
      </c>
      <c r="L551" s="265">
        <v>1121</v>
      </c>
      <c r="M551" s="249">
        <v>0</v>
      </c>
      <c r="N551" s="200">
        <v>0</v>
      </c>
      <c r="O551" s="269"/>
      <c r="P551" s="263">
        <v>2024</v>
      </c>
      <c r="Q551" s="270">
        <v>3.2</v>
      </c>
      <c r="R551" s="267"/>
      <c r="S551" s="267"/>
      <c r="T551" s="267"/>
      <c r="U551" s="267"/>
      <c r="V551" s="267"/>
      <c r="W551" s="267"/>
      <c r="Y551" s="263">
        <v>2024</v>
      </c>
      <c r="Z551" s="270">
        <v>0</v>
      </c>
      <c r="AA551" s="267"/>
      <c r="AB551" s="267"/>
      <c r="AC551" s="267"/>
      <c r="AD551" s="267"/>
      <c r="AE551" s="267"/>
      <c r="AF551" s="267"/>
      <c r="AH551" s="263">
        <v>2024</v>
      </c>
      <c r="AI551" s="254">
        <v>-3.2</v>
      </c>
      <c r="AJ551" s="254" t="s">
        <v>82</v>
      </c>
      <c r="AK551" s="254" t="s">
        <v>82</v>
      </c>
      <c r="AL551" s="254" t="s">
        <v>82</v>
      </c>
      <c r="AM551" s="254" t="s">
        <v>82</v>
      </c>
      <c r="AN551" s="254" t="s">
        <v>82</v>
      </c>
      <c r="AO551" s="254" t="s">
        <v>82</v>
      </c>
    </row>
    <row r="552" spans="1:41" x14ac:dyDescent="0.2">
      <c r="A552" s="249">
        <v>548</v>
      </c>
      <c r="B552" s="195">
        <v>26</v>
      </c>
      <c r="C552" s="195" t="s">
        <v>793</v>
      </c>
      <c r="D552" s="195">
        <v>1</v>
      </c>
      <c r="E552" s="195" t="s">
        <v>490</v>
      </c>
      <c r="F552" s="196">
        <v>43997</v>
      </c>
      <c r="G552" s="250" t="s">
        <v>4</v>
      </c>
      <c r="H552" s="263">
        <v>2025</v>
      </c>
      <c r="I552" s="216" t="s">
        <v>376</v>
      </c>
      <c r="J552" s="264">
        <v>1120</v>
      </c>
      <c r="K552" s="264">
        <v>1124</v>
      </c>
      <c r="L552" s="265">
        <v>1121</v>
      </c>
      <c r="M552" s="249">
        <v>0</v>
      </c>
      <c r="N552" s="200">
        <v>0</v>
      </c>
      <c r="O552" s="269"/>
      <c r="P552" s="263">
        <v>2025</v>
      </c>
      <c r="Q552" s="270">
        <v>2.4</v>
      </c>
      <c r="R552" s="267"/>
      <c r="S552" s="267"/>
      <c r="T552" s="267"/>
      <c r="U552" s="267"/>
      <c r="V552" s="267"/>
      <c r="W552" s="267"/>
      <c r="Y552" s="263">
        <v>2025</v>
      </c>
      <c r="Z552" s="270">
        <v>0</v>
      </c>
      <c r="AA552" s="267"/>
      <c r="AB552" s="267"/>
      <c r="AC552" s="267"/>
      <c r="AD552" s="267"/>
      <c r="AE552" s="267"/>
      <c r="AF552" s="267"/>
      <c r="AH552" s="263">
        <v>2025</v>
      </c>
      <c r="AI552" s="254">
        <v>-2.4</v>
      </c>
      <c r="AJ552" s="254" t="s">
        <v>82</v>
      </c>
      <c r="AK552" s="254" t="s">
        <v>82</v>
      </c>
      <c r="AL552" s="254" t="s">
        <v>82</v>
      </c>
      <c r="AM552" s="254" t="s">
        <v>82</v>
      </c>
      <c r="AN552" s="254" t="s">
        <v>82</v>
      </c>
      <c r="AO552" s="254" t="s">
        <v>82</v>
      </c>
    </row>
    <row r="553" spans="1:41" x14ac:dyDescent="0.2">
      <c r="A553" s="249">
        <v>549</v>
      </c>
      <c r="B553" s="195">
        <v>26</v>
      </c>
      <c r="C553" s="195" t="s">
        <v>793</v>
      </c>
      <c r="D553" s="195">
        <v>1</v>
      </c>
      <c r="E553" s="195" t="s">
        <v>490</v>
      </c>
      <c r="F553" s="196">
        <v>44004</v>
      </c>
      <c r="G553" s="250" t="s">
        <v>4</v>
      </c>
      <c r="H553" s="263">
        <v>2026</v>
      </c>
      <c r="I553" s="216" t="s">
        <v>376</v>
      </c>
      <c r="J553" s="264">
        <v>1120</v>
      </c>
      <c r="K553" s="264">
        <v>1124</v>
      </c>
      <c r="L553" s="265">
        <v>1121</v>
      </c>
      <c r="M553" s="249">
        <v>0</v>
      </c>
      <c r="N553" s="200">
        <v>0</v>
      </c>
      <c r="O553" s="269"/>
      <c r="P553" s="263">
        <v>2026</v>
      </c>
      <c r="Q553" s="270">
        <v>2.6</v>
      </c>
      <c r="R553" s="267"/>
      <c r="S553" s="267"/>
      <c r="T553" s="267"/>
      <c r="U553" s="267"/>
      <c r="V553" s="267"/>
      <c r="W553" s="267"/>
      <c r="Y553" s="263">
        <v>2026</v>
      </c>
      <c r="Z553" s="270">
        <v>0</v>
      </c>
      <c r="AA553" s="267"/>
      <c r="AB553" s="267"/>
      <c r="AC553" s="267"/>
      <c r="AD553" s="267"/>
      <c r="AE553" s="267"/>
      <c r="AF553" s="267"/>
      <c r="AH553" s="263">
        <v>2026</v>
      </c>
      <c r="AI553" s="254">
        <v>-2.6</v>
      </c>
      <c r="AJ553" s="254" t="s">
        <v>82</v>
      </c>
      <c r="AK553" s="254" t="s">
        <v>82</v>
      </c>
      <c r="AL553" s="254" t="s">
        <v>82</v>
      </c>
      <c r="AM553" s="254" t="s">
        <v>82</v>
      </c>
      <c r="AN553" s="254" t="s">
        <v>82</v>
      </c>
      <c r="AO553" s="254" t="s">
        <v>82</v>
      </c>
    </row>
    <row r="554" spans="1:41" x14ac:dyDescent="0.2">
      <c r="A554" s="249">
        <v>550</v>
      </c>
      <c r="B554" s="195">
        <v>26</v>
      </c>
      <c r="C554" s="195" t="s">
        <v>793</v>
      </c>
      <c r="D554" s="195">
        <v>1</v>
      </c>
      <c r="E554" s="195" t="s">
        <v>490</v>
      </c>
      <c r="F554" s="196">
        <v>44011</v>
      </c>
      <c r="G554" s="250" t="s">
        <v>4</v>
      </c>
      <c r="H554" s="263">
        <v>2027</v>
      </c>
      <c r="I554" s="216" t="s">
        <v>376</v>
      </c>
      <c r="J554" s="264">
        <v>1120</v>
      </c>
      <c r="K554" s="264">
        <v>1124</v>
      </c>
      <c r="L554" s="265">
        <v>1121</v>
      </c>
      <c r="M554" s="249">
        <v>0</v>
      </c>
      <c r="N554" s="200">
        <v>0</v>
      </c>
      <c r="O554" s="269"/>
      <c r="P554" s="263">
        <v>2027</v>
      </c>
      <c r="Q554" s="270">
        <v>3.2</v>
      </c>
      <c r="R554" s="267"/>
      <c r="S554" s="267"/>
      <c r="T554" s="267"/>
      <c r="U554" s="267"/>
      <c r="V554" s="267"/>
      <c r="W554" s="267"/>
      <c r="Y554" s="263">
        <v>2027</v>
      </c>
      <c r="Z554" s="270">
        <v>0</v>
      </c>
      <c r="AA554" s="267"/>
      <c r="AB554" s="267"/>
      <c r="AC554" s="267"/>
      <c r="AD554" s="267"/>
      <c r="AE554" s="267"/>
      <c r="AF554" s="267"/>
      <c r="AH554" s="263">
        <v>2027</v>
      </c>
      <c r="AI554" s="254">
        <v>-3.2</v>
      </c>
      <c r="AJ554" s="254" t="s">
        <v>82</v>
      </c>
      <c r="AK554" s="254" t="s">
        <v>82</v>
      </c>
      <c r="AL554" s="254" t="s">
        <v>82</v>
      </c>
      <c r="AM554" s="254" t="s">
        <v>82</v>
      </c>
      <c r="AN554" s="254" t="s">
        <v>82</v>
      </c>
      <c r="AO554" s="254" t="s">
        <v>82</v>
      </c>
    </row>
    <row r="555" spans="1:41" x14ac:dyDescent="0.2">
      <c r="A555" s="249">
        <v>551</v>
      </c>
      <c r="B555" s="195">
        <v>26</v>
      </c>
      <c r="C555" s="195" t="s">
        <v>793</v>
      </c>
      <c r="D555" s="195">
        <v>1</v>
      </c>
      <c r="E555" s="195" t="s">
        <v>490</v>
      </c>
      <c r="F555" s="196">
        <v>44018</v>
      </c>
      <c r="G555" s="250" t="s">
        <v>4</v>
      </c>
      <c r="H555" s="263">
        <v>2028</v>
      </c>
      <c r="I555" s="216" t="s">
        <v>376</v>
      </c>
      <c r="J555" s="264">
        <v>1120</v>
      </c>
      <c r="K555" s="264">
        <v>1124</v>
      </c>
      <c r="L555" s="265">
        <v>1121</v>
      </c>
      <c r="M555" s="249">
        <v>0</v>
      </c>
      <c r="N555" s="200">
        <v>0</v>
      </c>
      <c r="O555" s="269"/>
      <c r="P555" s="263">
        <v>2028</v>
      </c>
      <c r="Q555" s="270">
        <v>2.6</v>
      </c>
      <c r="R555" s="267"/>
      <c r="S555" s="267"/>
      <c r="T555" s="267"/>
      <c r="U555" s="267"/>
      <c r="V555" s="267"/>
      <c r="W555" s="267"/>
      <c r="Y555" s="263">
        <v>2028</v>
      </c>
      <c r="Z555" s="270">
        <v>0</v>
      </c>
      <c r="AA555" s="267"/>
      <c r="AB555" s="267"/>
      <c r="AC555" s="267"/>
      <c r="AD555" s="267"/>
      <c r="AE555" s="267"/>
      <c r="AF555" s="267"/>
      <c r="AH555" s="263">
        <v>2028</v>
      </c>
      <c r="AI555" s="254">
        <v>-2.6</v>
      </c>
      <c r="AJ555" s="254" t="s">
        <v>82</v>
      </c>
      <c r="AK555" s="254" t="s">
        <v>82</v>
      </c>
      <c r="AL555" s="254" t="s">
        <v>82</v>
      </c>
      <c r="AM555" s="254" t="s">
        <v>82</v>
      </c>
      <c r="AN555" s="254" t="s">
        <v>82</v>
      </c>
      <c r="AO555" s="254" t="s">
        <v>82</v>
      </c>
    </row>
    <row r="556" spans="1:41" x14ac:dyDescent="0.2">
      <c r="A556" s="249">
        <v>552</v>
      </c>
      <c r="B556" s="195">
        <v>26</v>
      </c>
      <c r="C556" s="195" t="s">
        <v>793</v>
      </c>
      <c r="D556" s="195">
        <v>1</v>
      </c>
      <c r="E556" s="195" t="s">
        <v>490</v>
      </c>
      <c r="F556" s="196">
        <v>44025</v>
      </c>
      <c r="G556" s="250" t="s">
        <v>4</v>
      </c>
      <c r="H556" s="263">
        <v>2029</v>
      </c>
      <c r="I556" s="216" t="s">
        <v>376</v>
      </c>
      <c r="J556" s="264">
        <v>1120</v>
      </c>
      <c r="K556" s="264">
        <v>1124</v>
      </c>
      <c r="L556" s="265">
        <v>1121</v>
      </c>
      <c r="M556" s="249">
        <v>0</v>
      </c>
      <c r="N556" s="200">
        <v>0</v>
      </c>
      <c r="O556" s="269"/>
      <c r="P556" s="263">
        <v>2029</v>
      </c>
      <c r="Q556" s="270">
        <v>4</v>
      </c>
      <c r="R556" s="267"/>
      <c r="S556" s="267"/>
      <c r="T556" s="267"/>
      <c r="U556" s="267"/>
      <c r="V556" s="267"/>
      <c r="W556" s="267"/>
      <c r="Y556" s="263">
        <v>2029</v>
      </c>
      <c r="Z556" s="270">
        <v>0</v>
      </c>
      <c r="AA556" s="267"/>
      <c r="AB556" s="267"/>
      <c r="AC556" s="267"/>
      <c r="AD556" s="267"/>
      <c r="AE556" s="267"/>
      <c r="AF556" s="267"/>
      <c r="AH556" s="263">
        <v>2029</v>
      </c>
      <c r="AI556" s="254">
        <v>-4</v>
      </c>
      <c r="AJ556" s="254" t="s">
        <v>82</v>
      </c>
      <c r="AK556" s="254" t="s">
        <v>82</v>
      </c>
      <c r="AL556" s="254" t="s">
        <v>82</v>
      </c>
      <c r="AM556" s="254" t="s">
        <v>82</v>
      </c>
      <c r="AN556" s="254" t="s">
        <v>82</v>
      </c>
      <c r="AO556" s="254" t="s">
        <v>82</v>
      </c>
    </row>
    <row r="557" spans="1:41" x14ac:dyDescent="0.2">
      <c r="A557" s="249">
        <v>553</v>
      </c>
      <c r="B557" s="195">
        <v>26</v>
      </c>
      <c r="C557" s="195" t="s">
        <v>793</v>
      </c>
      <c r="D557" s="195">
        <v>1</v>
      </c>
      <c r="E557" s="195" t="s">
        <v>490</v>
      </c>
      <c r="F557" s="196">
        <v>44112</v>
      </c>
      <c r="G557" s="250" t="s">
        <v>7</v>
      </c>
      <c r="H557" s="263">
        <v>2041</v>
      </c>
      <c r="I557" s="216" t="s">
        <v>170</v>
      </c>
      <c r="J557" s="264">
        <v>1650</v>
      </c>
      <c r="K557" s="264">
        <v>1747</v>
      </c>
      <c r="L557" s="265">
        <v>1719</v>
      </c>
      <c r="M557" s="249">
        <v>1</v>
      </c>
      <c r="N557" s="200">
        <v>0</v>
      </c>
      <c r="O557" s="269"/>
      <c r="P557" s="263">
        <v>2041</v>
      </c>
      <c r="Q557" s="270">
        <v>22.5</v>
      </c>
      <c r="R557" s="270">
        <v>6.2</v>
      </c>
      <c r="S557" s="270">
        <v>4.5999999999999996</v>
      </c>
      <c r="T557" s="270">
        <v>1.6</v>
      </c>
      <c r="U557" s="270">
        <v>6.2</v>
      </c>
      <c r="V557" s="270">
        <v>6.2</v>
      </c>
      <c r="W557" s="270" t="s">
        <v>84</v>
      </c>
      <c r="Y557" s="263">
        <v>2041</v>
      </c>
      <c r="Z557" s="270">
        <v>0</v>
      </c>
      <c r="AA557" s="270">
        <v>4.5999999999999996</v>
      </c>
      <c r="AB557" s="270">
        <v>4.5999999999999996</v>
      </c>
      <c r="AC557" s="270">
        <v>0</v>
      </c>
      <c r="AD557" s="270">
        <v>6.2</v>
      </c>
      <c r="AE557" s="270">
        <v>6.2</v>
      </c>
      <c r="AF557" s="270" t="s">
        <v>84</v>
      </c>
      <c r="AH557" s="263">
        <v>2041</v>
      </c>
      <c r="AI557" s="254">
        <v>-22.5</v>
      </c>
      <c r="AJ557" s="254">
        <v>-1.6000000000000005</v>
      </c>
      <c r="AK557" s="254" t="s">
        <v>82</v>
      </c>
      <c r="AL557" s="254">
        <v>-1.6</v>
      </c>
      <c r="AM557" s="254" t="s">
        <v>82</v>
      </c>
      <c r="AN557" s="254" t="s">
        <v>82</v>
      </c>
      <c r="AO557" s="254" t="s">
        <v>82</v>
      </c>
    </row>
    <row r="558" spans="1:41" x14ac:dyDescent="0.2">
      <c r="A558" s="249">
        <v>554</v>
      </c>
      <c r="B558" s="195">
        <v>26</v>
      </c>
      <c r="C558" s="195" t="s">
        <v>793</v>
      </c>
      <c r="D558" s="195">
        <v>1</v>
      </c>
      <c r="E558" s="195" t="s">
        <v>490</v>
      </c>
      <c r="F558" s="196">
        <v>44234</v>
      </c>
      <c r="G558" s="250" t="s">
        <v>10</v>
      </c>
      <c r="H558" s="263">
        <v>2106</v>
      </c>
      <c r="I558" s="216" t="s">
        <v>794</v>
      </c>
      <c r="J558" s="264">
        <v>1605</v>
      </c>
      <c r="K558" s="264">
        <v>1719</v>
      </c>
      <c r="L558" s="265">
        <v>1657</v>
      </c>
      <c r="M558" s="249">
        <v>1</v>
      </c>
      <c r="N558" s="200">
        <v>0</v>
      </c>
      <c r="O558" s="269"/>
      <c r="P558" s="263">
        <v>2106</v>
      </c>
      <c r="Q558" s="270">
        <v>2.4</v>
      </c>
      <c r="R558" s="270">
        <v>2.6</v>
      </c>
      <c r="S558" s="270">
        <v>2.4</v>
      </c>
      <c r="T558" s="270">
        <v>0.2</v>
      </c>
      <c r="U558" s="270">
        <v>2.6</v>
      </c>
      <c r="V558" s="270">
        <v>2.6</v>
      </c>
      <c r="W558" s="270">
        <v>0</v>
      </c>
      <c r="Y558" s="263">
        <v>2106</v>
      </c>
      <c r="Z558" s="270">
        <v>0</v>
      </c>
      <c r="AA558" s="270">
        <v>2.4</v>
      </c>
      <c r="AB558" s="270">
        <v>2.4</v>
      </c>
      <c r="AC558" s="270">
        <v>0</v>
      </c>
      <c r="AD558" s="270">
        <v>2.6</v>
      </c>
      <c r="AE558" s="270">
        <v>2.6</v>
      </c>
      <c r="AF558" s="270">
        <v>0</v>
      </c>
      <c r="AH558" s="263">
        <v>2106</v>
      </c>
      <c r="AI558" s="254">
        <v>-2.4</v>
      </c>
      <c r="AJ558" s="254">
        <v>-0.20000000000000018</v>
      </c>
      <c r="AK558" s="254" t="s">
        <v>82</v>
      </c>
      <c r="AL558" s="254">
        <v>-0.2</v>
      </c>
      <c r="AM558" s="254" t="s">
        <v>82</v>
      </c>
      <c r="AN558" s="254" t="s">
        <v>82</v>
      </c>
      <c r="AO558" s="254" t="s">
        <v>82</v>
      </c>
    </row>
    <row r="559" spans="1:41" x14ac:dyDescent="0.2">
      <c r="A559" s="249">
        <v>555</v>
      </c>
      <c r="B559" s="195">
        <v>26</v>
      </c>
      <c r="C559" s="195" t="s">
        <v>793</v>
      </c>
      <c r="D559" s="195">
        <v>1</v>
      </c>
      <c r="E559" s="195" t="s">
        <v>490</v>
      </c>
      <c r="F559" s="196">
        <v>44259</v>
      </c>
      <c r="G559" s="250" t="s">
        <v>7</v>
      </c>
      <c r="H559" s="263">
        <v>2110</v>
      </c>
      <c r="I559" s="216" t="s">
        <v>378</v>
      </c>
      <c r="J559" s="264">
        <v>950</v>
      </c>
      <c r="K559" s="264">
        <v>1119</v>
      </c>
      <c r="L559" s="265">
        <v>1017</v>
      </c>
      <c r="M559" s="249">
        <v>1</v>
      </c>
      <c r="N559" s="200">
        <v>0</v>
      </c>
      <c r="O559" s="269"/>
      <c r="P559" s="263">
        <v>2110</v>
      </c>
      <c r="Q559" s="270">
        <v>6</v>
      </c>
      <c r="R559" s="270">
        <v>7.3</v>
      </c>
      <c r="S559" s="270">
        <v>7</v>
      </c>
      <c r="T559" s="270">
        <v>0.3</v>
      </c>
      <c r="U559" s="270">
        <v>5.8</v>
      </c>
      <c r="V559" s="270">
        <v>5.8</v>
      </c>
      <c r="W559" s="270">
        <v>0</v>
      </c>
      <c r="Y559" s="263">
        <v>2110</v>
      </c>
      <c r="Z559" s="270">
        <v>0</v>
      </c>
      <c r="AA559" s="270">
        <v>7</v>
      </c>
      <c r="AB559" s="270">
        <v>7</v>
      </c>
      <c r="AC559" s="270">
        <v>0</v>
      </c>
      <c r="AD559" s="270">
        <v>5.8</v>
      </c>
      <c r="AE559" s="270">
        <v>5.8</v>
      </c>
      <c r="AF559" s="270">
        <v>0</v>
      </c>
      <c r="AH559" s="263">
        <v>2110</v>
      </c>
      <c r="AI559" s="254">
        <v>-6</v>
      </c>
      <c r="AJ559" s="254">
        <v>-0.29999999999999982</v>
      </c>
      <c r="AK559" s="254" t="s">
        <v>82</v>
      </c>
      <c r="AL559" s="254">
        <v>-0.3</v>
      </c>
      <c r="AM559" s="254" t="s">
        <v>82</v>
      </c>
      <c r="AN559" s="254" t="s">
        <v>82</v>
      </c>
      <c r="AO559" s="254" t="s">
        <v>82</v>
      </c>
    </row>
    <row r="560" spans="1:41" x14ac:dyDescent="0.2">
      <c r="A560" s="249">
        <v>556</v>
      </c>
      <c r="B560" s="195">
        <v>26</v>
      </c>
      <c r="C560" s="195" t="s">
        <v>793</v>
      </c>
      <c r="D560" s="195">
        <v>1</v>
      </c>
      <c r="E560" s="195" t="s">
        <v>490</v>
      </c>
      <c r="F560" s="196">
        <v>44272</v>
      </c>
      <c r="G560" s="250" t="s">
        <v>6</v>
      </c>
      <c r="H560" s="263">
        <v>2112</v>
      </c>
      <c r="I560" s="216" t="s">
        <v>170</v>
      </c>
      <c r="J560" s="264">
        <v>1650</v>
      </c>
      <c r="K560" s="264">
        <v>1747</v>
      </c>
      <c r="L560" s="265">
        <v>1747</v>
      </c>
      <c r="M560" s="249">
        <v>0</v>
      </c>
      <c r="N560" s="200">
        <v>1</v>
      </c>
      <c r="O560" s="269"/>
      <c r="P560" s="263">
        <v>2112</v>
      </c>
      <c r="Q560" s="270">
        <v>9.3000000000000007</v>
      </c>
      <c r="R560" s="267"/>
      <c r="S560" s="267"/>
      <c r="T560" s="267"/>
      <c r="U560" s="267"/>
      <c r="V560" s="267"/>
      <c r="W560" s="267"/>
      <c r="Y560" s="263">
        <v>2112</v>
      </c>
      <c r="Z560" s="270">
        <v>0</v>
      </c>
      <c r="AA560" s="267"/>
      <c r="AB560" s="267"/>
      <c r="AC560" s="267"/>
      <c r="AD560" s="267"/>
      <c r="AE560" s="267"/>
      <c r="AF560" s="267"/>
      <c r="AH560" s="263">
        <v>2112</v>
      </c>
      <c r="AI560" s="254">
        <v>-9.3000000000000007</v>
      </c>
      <c r="AJ560" s="254" t="s">
        <v>82</v>
      </c>
      <c r="AK560" s="254" t="s">
        <v>82</v>
      </c>
      <c r="AL560" s="254" t="s">
        <v>82</v>
      </c>
      <c r="AM560" s="254" t="s">
        <v>82</v>
      </c>
      <c r="AN560" s="254" t="s">
        <v>82</v>
      </c>
      <c r="AO560" s="254" t="s">
        <v>82</v>
      </c>
    </row>
    <row r="561" spans="1:41" x14ac:dyDescent="0.2">
      <c r="A561" s="249">
        <v>557</v>
      </c>
      <c r="B561" s="195">
        <v>26</v>
      </c>
      <c r="C561" s="195" t="s">
        <v>793</v>
      </c>
      <c r="D561" s="195">
        <v>1</v>
      </c>
      <c r="E561" s="195" t="s">
        <v>490</v>
      </c>
      <c r="F561" s="196">
        <v>44497</v>
      </c>
      <c r="G561" s="250" t="s">
        <v>7</v>
      </c>
      <c r="H561" s="263">
        <v>2144</v>
      </c>
      <c r="I561" s="216" t="s">
        <v>125</v>
      </c>
      <c r="J561" s="264">
        <v>610</v>
      </c>
      <c r="K561" s="264">
        <v>759</v>
      </c>
      <c r="L561" s="265">
        <v>733</v>
      </c>
      <c r="M561" s="249">
        <v>1</v>
      </c>
      <c r="N561" s="200">
        <v>0</v>
      </c>
      <c r="O561" s="269"/>
      <c r="P561" s="263">
        <v>2144</v>
      </c>
      <c r="Q561" s="270">
        <v>7</v>
      </c>
      <c r="R561" s="270">
        <v>11.7</v>
      </c>
      <c r="S561" s="270">
        <v>11.4</v>
      </c>
      <c r="T561" s="270">
        <v>0.3</v>
      </c>
      <c r="U561" s="270">
        <v>13.1</v>
      </c>
      <c r="V561" s="270">
        <v>13.1</v>
      </c>
      <c r="W561" s="270" t="s">
        <v>84</v>
      </c>
      <c r="Y561" s="263">
        <v>2144</v>
      </c>
      <c r="Z561" s="270">
        <v>0</v>
      </c>
      <c r="AA561" s="270">
        <v>11.4</v>
      </c>
      <c r="AB561" s="270">
        <v>11.4</v>
      </c>
      <c r="AC561" s="270">
        <v>0</v>
      </c>
      <c r="AD561" s="270">
        <v>13.1</v>
      </c>
      <c r="AE561" s="270">
        <v>13.1</v>
      </c>
      <c r="AF561" s="270" t="s">
        <v>84</v>
      </c>
      <c r="AH561" s="263">
        <v>2144</v>
      </c>
      <c r="AI561" s="254">
        <v>-7</v>
      </c>
      <c r="AJ561" s="254">
        <v>-0.29999999999999893</v>
      </c>
      <c r="AK561" s="254" t="s">
        <v>82</v>
      </c>
      <c r="AL561" s="254">
        <v>-0.3</v>
      </c>
      <c r="AM561" s="254" t="s">
        <v>82</v>
      </c>
      <c r="AN561" s="254" t="s">
        <v>82</v>
      </c>
      <c r="AO561" s="254" t="s">
        <v>82</v>
      </c>
    </row>
    <row r="562" spans="1:41" x14ac:dyDescent="0.2">
      <c r="A562" s="249">
        <v>558</v>
      </c>
      <c r="B562" s="195">
        <v>26</v>
      </c>
      <c r="C562" s="195" t="s">
        <v>793</v>
      </c>
      <c r="D562" s="195">
        <v>1</v>
      </c>
      <c r="E562" s="195" t="s">
        <v>490</v>
      </c>
      <c r="F562" s="196">
        <v>44569</v>
      </c>
      <c r="G562" s="250" t="s">
        <v>9</v>
      </c>
      <c r="H562" s="263">
        <v>2202</v>
      </c>
      <c r="I562" s="216" t="s">
        <v>281</v>
      </c>
      <c r="J562" s="264">
        <v>1900</v>
      </c>
      <c r="K562" s="264">
        <v>1959</v>
      </c>
      <c r="L562" s="265">
        <v>1924</v>
      </c>
      <c r="M562" s="249">
        <v>1</v>
      </c>
      <c r="N562" s="200">
        <v>0</v>
      </c>
      <c r="O562" s="269"/>
      <c r="P562" s="263">
        <v>2202</v>
      </c>
      <c r="Q562" s="270">
        <v>6.5</v>
      </c>
      <c r="R562" s="270">
        <v>8.8000000000000007</v>
      </c>
      <c r="S562" s="270">
        <v>7.6</v>
      </c>
      <c r="T562" s="270">
        <v>1.2</v>
      </c>
      <c r="U562" s="270">
        <v>7.9</v>
      </c>
      <c r="V562" s="270">
        <v>7.9</v>
      </c>
      <c r="W562" s="270" t="s">
        <v>84</v>
      </c>
      <c r="Y562" s="263">
        <v>2202</v>
      </c>
      <c r="Z562" s="270">
        <v>0.4</v>
      </c>
      <c r="AA562" s="270">
        <v>8.3000000000000007</v>
      </c>
      <c r="AB562" s="270">
        <v>7.6</v>
      </c>
      <c r="AC562" s="270">
        <v>0.7</v>
      </c>
      <c r="AD562" s="270">
        <v>7.9</v>
      </c>
      <c r="AE562" s="270">
        <v>7.9</v>
      </c>
      <c r="AF562" s="270" t="s">
        <v>84</v>
      </c>
      <c r="AH562" s="263">
        <v>2202</v>
      </c>
      <c r="AI562" s="254">
        <v>-6.1</v>
      </c>
      <c r="AJ562" s="254">
        <v>-0.5</v>
      </c>
      <c r="AK562" s="254" t="s">
        <v>82</v>
      </c>
      <c r="AL562" s="254">
        <v>-0.5</v>
      </c>
      <c r="AM562" s="254" t="s">
        <v>82</v>
      </c>
      <c r="AN562" s="254" t="s">
        <v>82</v>
      </c>
      <c r="AO562" s="254" t="s">
        <v>82</v>
      </c>
    </row>
    <row r="563" spans="1:41" x14ac:dyDescent="0.2">
      <c r="A563" s="249">
        <v>559</v>
      </c>
      <c r="B563" s="195">
        <v>26</v>
      </c>
      <c r="C563" s="195" t="s">
        <v>793</v>
      </c>
      <c r="D563" s="195">
        <v>3</v>
      </c>
      <c r="E563" s="195" t="s">
        <v>795</v>
      </c>
      <c r="F563" s="196">
        <v>44315</v>
      </c>
      <c r="G563" s="250" t="s">
        <v>7</v>
      </c>
      <c r="H563" s="263">
        <v>2118</v>
      </c>
      <c r="I563" s="216" t="s">
        <v>347</v>
      </c>
      <c r="J563" s="264">
        <v>2154</v>
      </c>
      <c r="K563" s="264">
        <v>2309</v>
      </c>
      <c r="L563" s="265">
        <v>2217</v>
      </c>
      <c r="M563" s="249">
        <v>0</v>
      </c>
      <c r="N563" s="200">
        <v>0</v>
      </c>
      <c r="P563" s="263">
        <v>2118</v>
      </c>
      <c r="Q563" s="270">
        <v>4.8</v>
      </c>
      <c r="R563" s="267"/>
      <c r="S563" s="267"/>
      <c r="T563" s="267"/>
      <c r="U563" s="267"/>
      <c r="V563" s="267"/>
      <c r="W563" s="267"/>
      <c r="Y563" s="263">
        <v>2118</v>
      </c>
      <c r="Z563" s="270">
        <v>0.2</v>
      </c>
      <c r="AA563" s="267"/>
      <c r="AB563" s="267"/>
      <c r="AC563" s="267"/>
      <c r="AD563" s="267"/>
      <c r="AE563" s="267"/>
      <c r="AF563" s="267"/>
      <c r="AH563" s="263">
        <v>2118</v>
      </c>
      <c r="AI563" s="254">
        <v>-4.5999999999999996</v>
      </c>
      <c r="AJ563" s="254" t="s">
        <v>82</v>
      </c>
      <c r="AK563" s="254" t="s">
        <v>82</v>
      </c>
      <c r="AL563" s="254" t="s">
        <v>82</v>
      </c>
      <c r="AM563" s="254" t="s">
        <v>82</v>
      </c>
      <c r="AN563" s="254" t="s">
        <v>82</v>
      </c>
      <c r="AO563" s="254" t="s">
        <v>82</v>
      </c>
    </row>
    <row r="564" spans="1:41" x14ac:dyDescent="0.2">
      <c r="A564" s="249">
        <v>560</v>
      </c>
      <c r="B564" s="195">
        <v>26</v>
      </c>
      <c r="C564" s="195" t="s">
        <v>793</v>
      </c>
      <c r="D564" s="195">
        <v>4</v>
      </c>
      <c r="E564" s="195" t="s">
        <v>549</v>
      </c>
      <c r="F564" s="196">
        <v>43925</v>
      </c>
      <c r="G564" s="250" t="s">
        <v>9</v>
      </c>
      <c r="H564" s="263">
        <v>2014</v>
      </c>
      <c r="I564" s="216" t="s">
        <v>593</v>
      </c>
      <c r="J564" s="264">
        <v>1900</v>
      </c>
      <c r="K564" s="264">
        <v>1929</v>
      </c>
      <c r="L564" s="265">
        <v>1917</v>
      </c>
      <c r="M564" s="249">
        <v>0</v>
      </c>
      <c r="N564" s="200">
        <v>0</v>
      </c>
      <c r="O564" s="269"/>
      <c r="P564" s="263">
        <v>2014</v>
      </c>
      <c r="Q564" s="270">
        <v>7.6</v>
      </c>
      <c r="R564" s="267"/>
      <c r="S564" s="267"/>
      <c r="T564" s="267"/>
      <c r="U564" s="267"/>
      <c r="V564" s="267"/>
      <c r="W564" s="267"/>
      <c r="Y564" s="263">
        <v>2014</v>
      </c>
      <c r="Z564" s="270">
        <v>0</v>
      </c>
      <c r="AA564" s="267"/>
      <c r="AB564" s="267"/>
      <c r="AC564" s="267"/>
      <c r="AD564" s="267"/>
      <c r="AE564" s="267"/>
      <c r="AF564" s="267"/>
      <c r="AH564" s="263">
        <v>2014</v>
      </c>
      <c r="AI564" s="254">
        <v>-7.6</v>
      </c>
      <c r="AJ564" s="254" t="s">
        <v>82</v>
      </c>
      <c r="AK564" s="254" t="s">
        <v>82</v>
      </c>
      <c r="AL564" s="254" t="s">
        <v>82</v>
      </c>
      <c r="AM564" s="254" t="s">
        <v>82</v>
      </c>
      <c r="AN564" s="254" t="s">
        <v>82</v>
      </c>
      <c r="AO564" s="254" t="s">
        <v>82</v>
      </c>
    </row>
    <row r="565" spans="1:41" x14ac:dyDescent="0.2">
      <c r="A565" s="249">
        <v>561</v>
      </c>
      <c r="B565" s="195">
        <v>26</v>
      </c>
      <c r="C565" s="195" t="s">
        <v>793</v>
      </c>
      <c r="D565" s="195">
        <v>4</v>
      </c>
      <c r="E565" s="195" t="s">
        <v>549</v>
      </c>
      <c r="F565" s="196">
        <v>43938</v>
      </c>
      <c r="G565" s="250" t="s">
        <v>8</v>
      </c>
      <c r="H565" s="263">
        <v>2016</v>
      </c>
      <c r="I565" s="216" t="s">
        <v>621</v>
      </c>
      <c r="J565" s="264">
        <v>800</v>
      </c>
      <c r="K565" s="264">
        <v>814</v>
      </c>
      <c r="L565" s="265">
        <v>806</v>
      </c>
      <c r="M565" s="249">
        <v>0</v>
      </c>
      <c r="N565" s="200">
        <v>0</v>
      </c>
      <c r="O565" s="269"/>
      <c r="P565" s="263">
        <v>2016</v>
      </c>
      <c r="Q565" s="270">
        <v>8.8000000000000007</v>
      </c>
      <c r="R565" s="267"/>
      <c r="S565" s="267"/>
      <c r="T565" s="267"/>
      <c r="U565" s="267"/>
      <c r="V565" s="267"/>
      <c r="W565" s="267"/>
      <c r="Y565" s="263">
        <v>2016</v>
      </c>
      <c r="Z565" s="270">
        <v>6.8</v>
      </c>
      <c r="AA565" s="267"/>
      <c r="AB565" s="267"/>
      <c r="AC565" s="267"/>
      <c r="AD565" s="267"/>
      <c r="AE565" s="267"/>
      <c r="AF565" s="267"/>
      <c r="AH565" s="263">
        <v>2016</v>
      </c>
      <c r="AI565" s="254">
        <v>-2.0000000000000009</v>
      </c>
      <c r="AJ565" s="254" t="s">
        <v>82</v>
      </c>
      <c r="AK565" s="254" t="s">
        <v>82</v>
      </c>
      <c r="AL565" s="254" t="s">
        <v>82</v>
      </c>
      <c r="AM565" s="254" t="s">
        <v>82</v>
      </c>
      <c r="AN565" s="254" t="s">
        <v>82</v>
      </c>
      <c r="AO565" s="254" t="s">
        <v>82</v>
      </c>
    </row>
    <row r="566" spans="1:41" x14ac:dyDescent="0.2">
      <c r="A566" s="249">
        <v>562</v>
      </c>
      <c r="B566" s="195">
        <v>26</v>
      </c>
      <c r="C566" s="195" t="s">
        <v>793</v>
      </c>
      <c r="D566" s="195">
        <v>4</v>
      </c>
      <c r="E566" s="195" t="s">
        <v>549</v>
      </c>
      <c r="F566" s="196">
        <v>44171</v>
      </c>
      <c r="G566" s="250" t="s">
        <v>10</v>
      </c>
      <c r="H566" s="263">
        <v>2049</v>
      </c>
      <c r="I566" s="216" t="s">
        <v>796</v>
      </c>
      <c r="J566" s="264">
        <v>1305</v>
      </c>
      <c r="K566" s="264">
        <v>1349</v>
      </c>
      <c r="L566" s="265">
        <v>1307</v>
      </c>
      <c r="M566" s="249">
        <v>0</v>
      </c>
      <c r="N566" s="200">
        <v>0</v>
      </c>
      <c r="O566" s="269"/>
      <c r="P566" s="263">
        <v>2049</v>
      </c>
      <c r="Q566" s="270">
        <v>2.4</v>
      </c>
      <c r="R566" s="267"/>
      <c r="S566" s="267"/>
      <c r="T566" s="267"/>
      <c r="U566" s="267"/>
      <c r="V566" s="267"/>
      <c r="W566" s="267"/>
      <c r="Y566" s="263">
        <v>2049</v>
      </c>
      <c r="Z566" s="270">
        <v>0</v>
      </c>
      <c r="AA566" s="267"/>
      <c r="AB566" s="267"/>
      <c r="AC566" s="267"/>
      <c r="AD566" s="267"/>
      <c r="AE566" s="267"/>
      <c r="AF566" s="267"/>
      <c r="AH566" s="263">
        <v>2049</v>
      </c>
      <c r="AI566" s="254">
        <v>-2.4</v>
      </c>
      <c r="AJ566" s="254" t="s">
        <v>82</v>
      </c>
      <c r="AK566" s="254" t="s">
        <v>82</v>
      </c>
      <c r="AL566" s="254" t="s">
        <v>82</v>
      </c>
      <c r="AM566" s="254" t="s">
        <v>82</v>
      </c>
      <c r="AN566" s="254" t="s">
        <v>82</v>
      </c>
      <c r="AO566" s="254" t="s">
        <v>82</v>
      </c>
    </row>
    <row r="567" spans="1:41" x14ac:dyDescent="0.2">
      <c r="A567" s="249">
        <v>563</v>
      </c>
      <c r="B567" s="195">
        <v>26</v>
      </c>
      <c r="C567" s="195" t="s">
        <v>793</v>
      </c>
      <c r="D567" s="195">
        <v>4</v>
      </c>
      <c r="E567" s="195" t="s">
        <v>549</v>
      </c>
      <c r="F567" s="196">
        <v>44178</v>
      </c>
      <c r="G567" s="250" t="s">
        <v>10</v>
      </c>
      <c r="H567" s="263">
        <v>2050</v>
      </c>
      <c r="I567" s="216" t="s">
        <v>797</v>
      </c>
      <c r="J567" s="264">
        <v>515</v>
      </c>
      <c r="K567" s="264">
        <v>544</v>
      </c>
      <c r="L567" s="265">
        <v>516</v>
      </c>
      <c r="M567" s="249">
        <v>0</v>
      </c>
      <c r="N567" s="200">
        <v>0</v>
      </c>
      <c r="O567" s="269"/>
      <c r="P567" s="263">
        <v>2050</v>
      </c>
      <c r="Q567" s="270">
        <v>3.8</v>
      </c>
      <c r="R567" s="267"/>
      <c r="S567" s="267"/>
      <c r="T567" s="267"/>
      <c r="U567" s="267"/>
      <c r="V567" s="267"/>
      <c r="W567" s="267"/>
      <c r="Y567" s="263">
        <v>2050</v>
      </c>
      <c r="Z567" s="270">
        <v>0</v>
      </c>
      <c r="AA567" s="267"/>
      <c r="AB567" s="267"/>
      <c r="AC567" s="267"/>
      <c r="AD567" s="267"/>
      <c r="AE567" s="267"/>
      <c r="AF567" s="267"/>
      <c r="AH567" s="263">
        <v>2050</v>
      </c>
      <c r="AI567" s="254">
        <v>-3.8</v>
      </c>
      <c r="AJ567" s="254" t="s">
        <v>82</v>
      </c>
      <c r="AK567" s="254" t="s">
        <v>82</v>
      </c>
      <c r="AL567" s="254" t="s">
        <v>82</v>
      </c>
      <c r="AM567" s="254" t="s">
        <v>82</v>
      </c>
      <c r="AN567" s="254" t="s">
        <v>82</v>
      </c>
      <c r="AO567" s="254" t="s">
        <v>82</v>
      </c>
    </row>
    <row r="568" spans="1:41" x14ac:dyDescent="0.2">
      <c r="A568" s="249">
        <v>564</v>
      </c>
      <c r="B568" s="195">
        <v>26</v>
      </c>
      <c r="C568" s="195" t="s">
        <v>793</v>
      </c>
      <c r="D568" s="195">
        <v>4</v>
      </c>
      <c r="E568" s="195" t="s">
        <v>549</v>
      </c>
      <c r="F568" s="196">
        <v>44178</v>
      </c>
      <c r="G568" s="250" t="s">
        <v>10</v>
      </c>
      <c r="H568" s="263">
        <v>2050</v>
      </c>
      <c r="I568" s="216" t="s">
        <v>593</v>
      </c>
      <c r="J568" s="264">
        <v>1900</v>
      </c>
      <c r="K568" s="264">
        <v>1929</v>
      </c>
      <c r="L568" s="265">
        <v>1917</v>
      </c>
      <c r="M568" s="249">
        <v>0</v>
      </c>
      <c r="N568" s="200">
        <v>0</v>
      </c>
      <c r="O568" s="269"/>
      <c r="P568" s="263">
        <v>2050</v>
      </c>
      <c r="Q568" s="270">
        <v>8.4</v>
      </c>
      <c r="R568" s="267"/>
      <c r="S568" s="267"/>
      <c r="T568" s="267"/>
      <c r="U568" s="267"/>
      <c r="V568" s="267"/>
      <c r="W568" s="267"/>
      <c r="Y568" s="263">
        <v>2050</v>
      </c>
      <c r="Z568" s="270">
        <v>0</v>
      </c>
      <c r="AA568" s="267"/>
      <c r="AB568" s="267"/>
      <c r="AC568" s="267"/>
      <c r="AD568" s="267"/>
      <c r="AE568" s="267"/>
      <c r="AF568" s="267"/>
      <c r="AH568" s="263">
        <v>2050</v>
      </c>
      <c r="AI568" s="254">
        <v>-8.4</v>
      </c>
      <c r="AJ568" s="254" t="s">
        <v>82</v>
      </c>
      <c r="AK568" s="254" t="s">
        <v>82</v>
      </c>
      <c r="AL568" s="254" t="s">
        <v>82</v>
      </c>
      <c r="AM568" s="254" t="s">
        <v>82</v>
      </c>
      <c r="AN568" s="254" t="s">
        <v>82</v>
      </c>
      <c r="AO568" s="254" t="s">
        <v>82</v>
      </c>
    </row>
    <row r="569" spans="1:41" x14ac:dyDescent="0.2">
      <c r="A569" s="249">
        <v>565</v>
      </c>
      <c r="B569" s="195">
        <v>26</v>
      </c>
      <c r="C569" s="195" t="s">
        <v>793</v>
      </c>
      <c r="D569" s="195">
        <v>5</v>
      </c>
      <c r="E569" s="195" t="s">
        <v>553</v>
      </c>
      <c r="F569" s="196">
        <v>43966</v>
      </c>
      <c r="G569" s="250" t="s">
        <v>8</v>
      </c>
      <c r="H569" s="263">
        <v>2020</v>
      </c>
      <c r="I569" s="216" t="s">
        <v>798</v>
      </c>
      <c r="J569" s="264">
        <v>1420</v>
      </c>
      <c r="K569" s="264">
        <v>1439</v>
      </c>
      <c r="L569" s="265">
        <v>1424</v>
      </c>
      <c r="M569" s="249">
        <v>0</v>
      </c>
      <c r="N569" s="200">
        <v>0</v>
      </c>
      <c r="O569" s="269"/>
      <c r="P569" s="263">
        <v>2020</v>
      </c>
      <c r="Q569" s="270">
        <v>6.6</v>
      </c>
      <c r="R569" s="267"/>
      <c r="S569" s="267"/>
      <c r="T569" s="267"/>
      <c r="U569" s="267"/>
      <c r="V569" s="267"/>
      <c r="W569" s="267"/>
      <c r="Y569" s="263">
        <v>2020</v>
      </c>
      <c r="Z569" s="270">
        <v>0</v>
      </c>
      <c r="AA569" s="267"/>
      <c r="AB569" s="267"/>
      <c r="AC569" s="267"/>
      <c r="AD569" s="267"/>
      <c r="AE569" s="267"/>
      <c r="AF569" s="267"/>
      <c r="AH569" s="263">
        <v>2020</v>
      </c>
      <c r="AI569" s="254">
        <v>-6.6</v>
      </c>
      <c r="AJ569" s="254" t="s">
        <v>82</v>
      </c>
      <c r="AK569" s="254" t="s">
        <v>82</v>
      </c>
      <c r="AL569" s="254" t="s">
        <v>82</v>
      </c>
      <c r="AM569" s="254" t="s">
        <v>82</v>
      </c>
      <c r="AN569" s="254" t="s">
        <v>82</v>
      </c>
      <c r="AO569" s="254" t="s">
        <v>82</v>
      </c>
    </row>
    <row r="570" spans="1:41" x14ac:dyDescent="0.2">
      <c r="A570" s="249">
        <v>566</v>
      </c>
      <c r="B570" s="195">
        <v>26</v>
      </c>
      <c r="C570" s="195" t="s">
        <v>793</v>
      </c>
      <c r="D570" s="195">
        <v>5</v>
      </c>
      <c r="E570" s="195" t="s">
        <v>553</v>
      </c>
      <c r="F570" s="196">
        <v>44192</v>
      </c>
      <c r="G570" s="250" t="s">
        <v>10</v>
      </c>
      <c r="H570" s="263">
        <v>2052</v>
      </c>
      <c r="I570" s="216" t="s">
        <v>799</v>
      </c>
      <c r="J570" s="264">
        <v>2445</v>
      </c>
      <c r="K570" s="264">
        <v>2546</v>
      </c>
      <c r="L570" s="265">
        <v>2447</v>
      </c>
      <c r="M570" s="249">
        <v>0</v>
      </c>
      <c r="N570" s="200">
        <v>0</v>
      </c>
      <c r="P570" s="263">
        <v>2052</v>
      </c>
      <c r="Q570" s="270">
        <v>6.6</v>
      </c>
      <c r="R570" s="267"/>
      <c r="S570" s="267"/>
      <c r="T570" s="267"/>
      <c r="U570" s="267"/>
      <c r="V570" s="267"/>
      <c r="W570" s="267"/>
      <c r="Y570" s="263">
        <v>2052</v>
      </c>
      <c r="Z570" s="270">
        <v>0</v>
      </c>
      <c r="AA570" s="267"/>
      <c r="AB570" s="267"/>
      <c r="AC570" s="267"/>
      <c r="AD570" s="267"/>
      <c r="AE570" s="267"/>
      <c r="AF570" s="267"/>
      <c r="AH570" s="263">
        <v>2052</v>
      </c>
      <c r="AI570" s="254">
        <v>-6.6</v>
      </c>
      <c r="AJ570" s="254" t="s">
        <v>82</v>
      </c>
      <c r="AK570" s="254" t="s">
        <v>82</v>
      </c>
      <c r="AL570" s="254" t="s">
        <v>82</v>
      </c>
      <c r="AM570" s="254" t="s">
        <v>82</v>
      </c>
      <c r="AN570" s="254" t="s">
        <v>82</v>
      </c>
      <c r="AO570" s="254" t="s">
        <v>82</v>
      </c>
    </row>
    <row r="571" spans="1:41" x14ac:dyDescent="0.2">
      <c r="A571" s="249">
        <v>567</v>
      </c>
      <c r="B571" s="195">
        <v>26</v>
      </c>
      <c r="C571" s="195" t="s">
        <v>793</v>
      </c>
      <c r="D571" s="195">
        <v>5</v>
      </c>
      <c r="E571" s="195" t="s">
        <v>553</v>
      </c>
      <c r="F571" s="196">
        <v>44597</v>
      </c>
      <c r="G571" s="250" t="s">
        <v>9</v>
      </c>
      <c r="H571" s="263">
        <v>2206</v>
      </c>
      <c r="I571" s="216" t="s">
        <v>569</v>
      </c>
      <c r="J571" s="264">
        <v>1140</v>
      </c>
      <c r="K571" s="264">
        <v>1159</v>
      </c>
      <c r="L571" s="265">
        <v>1144</v>
      </c>
      <c r="M571" s="249">
        <v>0</v>
      </c>
      <c r="N571" s="200">
        <v>0</v>
      </c>
      <c r="O571" s="269"/>
      <c r="P571" s="263">
        <v>2206</v>
      </c>
      <c r="Q571" s="270">
        <v>7.5</v>
      </c>
      <c r="R571" s="267"/>
      <c r="S571" s="267"/>
      <c r="T571" s="267"/>
      <c r="U571" s="267"/>
      <c r="V571" s="267"/>
      <c r="W571" s="267"/>
      <c r="Y571" s="263">
        <v>2206</v>
      </c>
      <c r="Z571" s="270">
        <v>0</v>
      </c>
      <c r="AA571" s="267"/>
      <c r="AB571" s="267"/>
      <c r="AC571" s="267"/>
      <c r="AD571" s="267"/>
      <c r="AE571" s="267"/>
      <c r="AF571" s="267"/>
      <c r="AH571" s="263">
        <v>2206</v>
      </c>
      <c r="AI571" s="254">
        <v>-7.5</v>
      </c>
      <c r="AJ571" s="254" t="s">
        <v>82</v>
      </c>
      <c r="AK571" s="254" t="s">
        <v>82</v>
      </c>
      <c r="AL571" s="254" t="s">
        <v>82</v>
      </c>
      <c r="AM571" s="254" t="s">
        <v>82</v>
      </c>
      <c r="AN571" s="254" t="s">
        <v>82</v>
      </c>
      <c r="AO571" s="254" t="s">
        <v>82</v>
      </c>
    </row>
    <row r="572" spans="1:41" x14ac:dyDescent="0.2">
      <c r="A572" s="249">
        <v>568</v>
      </c>
      <c r="B572" s="195">
        <v>27</v>
      </c>
      <c r="C572" s="195" t="s">
        <v>800</v>
      </c>
      <c r="D572" s="195">
        <v>1</v>
      </c>
      <c r="E572" s="195" t="s">
        <v>496</v>
      </c>
      <c r="F572" s="196">
        <v>44130</v>
      </c>
      <c r="G572" s="250" t="s">
        <v>4</v>
      </c>
      <c r="H572" s="263">
        <v>2044</v>
      </c>
      <c r="I572" s="216" t="s">
        <v>497</v>
      </c>
      <c r="J572" s="264">
        <v>1815</v>
      </c>
      <c r="K572" s="264">
        <v>1854</v>
      </c>
      <c r="L572" s="265">
        <v>1839</v>
      </c>
      <c r="M572" s="249">
        <v>1</v>
      </c>
      <c r="N572" s="200">
        <v>0</v>
      </c>
      <c r="O572" s="269"/>
      <c r="P572" s="263">
        <v>2044</v>
      </c>
      <c r="Q572" s="270">
        <v>18.8</v>
      </c>
      <c r="R572" s="270">
        <v>10.199999999999999</v>
      </c>
      <c r="S572" s="270">
        <v>8.3000000000000007</v>
      </c>
      <c r="T572" s="270">
        <v>1.9</v>
      </c>
      <c r="U572" s="270">
        <v>8.6999999999999993</v>
      </c>
      <c r="V572" s="270">
        <v>8.6999999999999993</v>
      </c>
      <c r="W572" s="270">
        <v>0</v>
      </c>
      <c r="Y572" s="263">
        <v>2044</v>
      </c>
      <c r="Z572" s="270">
        <v>0</v>
      </c>
      <c r="AA572" s="270">
        <v>8.3000000000000007</v>
      </c>
      <c r="AB572" s="270">
        <v>8.3000000000000007</v>
      </c>
      <c r="AC572" s="270">
        <v>0</v>
      </c>
      <c r="AD572" s="270">
        <v>8.6999999999999993</v>
      </c>
      <c r="AE572" s="270">
        <v>8.6999999999999993</v>
      </c>
      <c r="AF572" s="270">
        <v>0</v>
      </c>
      <c r="AH572" s="263">
        <v>2044</v>
      </c>
      <c r="AI572" s="254">
        <v>-18.8</v>
      </c>
      <c r="AJ572" s="254">
        <v>-1.8999999999999986</v>
      </c>
      <c r="AK572" s="254" t="s">
        <v>82</v>
      </c>
      <c r="AL572" s="254">
        <v>-1.9</v>
      </c>
      <c r="AM572" s="254" t="s">
        <v>82</v>
      </c>
      <c r="AN572" s="254" t="s">
        <v>82</v>
      </c>
      <c r="AO572" s="254" t="s">
        <v>82</v>
      </c>
    </row>
    <row r="573" spans="1:41" x14ac:dyDescent="0.2">
      <c r="A573" s="249">
        <v>569</v>
      </c>
      <c r="B573" s="195">
        <v>27</v>
      </c>
      <c r="C573" s="195" t="s">
        <v>800</v>
      </c>
      <c r="D573" s="195">
        <v>2</v>
      </c>
      <c r="E573" s="195" t="s">
        <v>498</v>
      </c>
      <c r="F573" s="196">
        <v>44193</v>
      </c>
      <c r="G573" s="250" t="s">
        <v>4</v>
      </c>
      <c r="H573" s="271">
        <v>2101</v>
      </c>
      <c r="I573" s="216" t="s">
        <v>801</v>
      </c>
      <c r="J573" s="264">
        <v>1635</v>
      </c>
      <c r="K573" s="264">
        <v>1824</v>
      </c>
      <c r="L573" s="265">
        <v>1747</v>
      </c>
      <c r="M573" s="249">
        <v>0</v>
      </c>
      <c r="N573" s="200">
        <v>0</v>
      </c>
      <c r="O573" s="269"/>
      <c r="P573" s="263">
        <v>2101</v>
      </c>
      <c r="Q573" s="270">
        <v>138.30000000000001</v>
      </c>
      <c r="R573" s="267"/>
      <c r="S573" s="267"/>
      <c r="T573" s="267"/>
      <c r="U573" s="267"/>
      <c r="V573" s="267"/>
      <c r="W573" s="267"/>
      <c r="Y573" s="263">
        <v>2101</v>
      </c>
      <c r="Z573" s="270">
        <v>1.1000000000000001</v>
      </c>
      <c r="AA573" s="267"/>
      <c r="AB573" s="267"/>
      <c r="AC573" s="267"/>
      <c r="AD573" s="267"/>
      <c r="AE573" s="267"/>
      <c r="AF573" s="267"/>
      <c r="AH573" s="263">
        <v>2101</v>
      </c>
      <c r="AI573" s="254">
        <v>-137.20000000000002</v>
      </c>
      <c r="AJ573" s="254" t="s">
        <v>82</v>
      </c>
      <c r="AK573" s="254" t="s">
        <v>82</v>
      </c>
      <c r="AL573" s="254" t="s">
        <v>82</v>
      </c>
      <c r="AM573" s="254" t="s">
        <v>82</v>
      </c>
      <c r="AN573" s="254" t="s">
        <v>82</v>
      </c>
      <c r="AO573" s="254" t="s">
        <v>82</v>
      </c>
    </row>
    <row r="574" spans="1:41" x14ac:dyDescent="0.2">
      <c r="A574" s="249">
        <v>570</v>
      </c>
      <c r="B574" s="195">
        <v>27</v>
      </c>
      <c r="C574" s="195" t="s">
        <v>800</v>
      </c>
      <c r="D574" s="195">
        <v>2</v>
      </c>
      <c r="E574" s="195" t="s">
        <v>498</v>
      </c>
      <c r="F574" s="196">
        <v>44323</v>
      </c>
      <c r="G574" s="250" t="s">
        <v>8</v>
      </c>
      <c r="H574" s="263">
        <v>2119</v>
      </c>
      <c r="I574" s="216" t="s">
        <v>590</v>
      </c>
      <c r="J574" s="264">
        <v>2330</v>
      </c>
      <c r="K574" s="264">
        <v>2414</v>
      </c>
      <c r="L574" s="265">
        <v>2337</v>
      </c>
      <c r="M574" s="249">
        <v>0</v>
      </c>
      <c r="N574" s="200">
        <v>0</v>
      </c>
      <c r="O574" s="269"/>
      <c r="P574" s="263">
        <v>2119</v>
      </c>
      <c r="Q574" s="270">
        <v>6.8</v>
      </c>
      <c r="R574" s="267"/>
      <c r="S574" s="267"/>
      <c r="T574" s="267"/>
      <c r="U574" s="267"/>
      <c r="V574" s="267"/>
      <c r="W574" s="267"/>
      <c r="Y574" s="263">
        <v>2119</v>
      </c>
      <c r="Z574" s="270">
        <v>0</v>
      </c>
      <c r="AA574" s="267"/>
      <c r="AB574" s="267"/>
      <c r="AC574" s="267"/>
      <c r="AD574" s="267"/>
      <c r="AE574" s="267"/>
      <c r="AF574" s="267"/>
      <c r="AH574" s="263">
        <v>2119</v>
      </c>
      <c r="AI574" s="254">
        <v>-6.8</v>
      </c>
      <c r="AJ574" s="254" t="s">
        <v>82</v>
      </c>
      <c r="AK574" s="254" t="s">
        <v>82</v>
      </c>
      <c r="AL574" s="254" t="s">
        <v>82</v>
      </c>
      <c r="AM574" s="254" t="s">
        <v>82</v>
      </c>
      <c r="AN574" s="254" t="s">
        <v>82</v>
      </c>
      <c r="AO574" s="254" t="s">
        <v>82</v>
      </c>
    </row>
    <row r="575" spans="1:41" x14ac:dyDescent="0.2">
      <c r="A575" s="249">
        <v>571</v>
      </c>
      <c r="B575" s="195">
        <v>27</v>
      </c>
      <c r="C575" s="195" t="s">
        <v>800</v>
      </c>
      <c r="D575" s="195">
        <v>2</v>
      </c>
      <c r="E575" s="195" t="s">
        <v>498</v>
      </c>
      <c r="F575" s="196">
        <v>44558</v>
      </c>
      <c r="G575" s="250" t="s">
        <v>5</v>
      </c>
      <c r="H575" s="271">
        <v>2201</v>
      </c>
      <c r="I575" s="216" t="s">
        <v>499</v>
      </c>
      <c r="J575" s="264">
        <v>1119</v>
      </c>
      <c r="K575" s="264">
        <v>1129</v>
      </c>
      <c r="L575" s="265">
        <v>1129</v>
      </c>
      <c r="M575" s="249">
        <v>1</v>
      </c>
      <c r="N575" s="200">
        <v>1</v>
      </c>
      <c r="O575" s="269"/>
      <c r="P575" s="263">
        <v>2201</v>
      </c>
      <c r="Q575" s="270">
        <v>3.1</v>
      </c>
      <c r="R575" s="270">
        <v>1</v>
      </c>
      <c r="S575" s="270">
        <v>0.4</v>
      </c>
      <c r="T575" s="270">
        <v>0.6</v>
      </c>
      <c r="U575" s="270">
        <v>3.5</v>
      </c>
      <c r="V575" s="270">
        <v>0.4</v>
      </c>
      <c r="W575" s="270">
        <v>3.1</v>
      </c>
      <c r="Y575" s="263">
        <v>2201</v>
      </c>
      <c r="Z575" s="270">
        <v>0</v>
      </c>
      <c r="AA575" s="270">
        <v>0.4</v>
      </c>
      <c r="AB575" s="270">
        <v>0.4</v>
      </c>
      <c r="AC575" s="270">
        <v>0</v>
      </c>
      <c r="AD575" s="270">
        <v>0.4</v>
      </c>
      <c r="AE575" s="270">
        <v>0.4</v>
      </c>
      <c r="AF575" s="270">
        <v>0</v>
      </c>
      <c r="AH575" s="263">
        <v>2201</v>
      </c>
      <c r="AI575" s="254">
        <v>-3.1</v>
      </c>
      <c r="AJ575" s="254">
        <v>-0.6</v>
      </c>
      <c r="AK575" s="254" t="s">
        <v>82</v>
      </c>
      <c r="AL575" s="254">
        <v>-0.6</v>
      </c>
      <c r="AM575" s="254">
        <v>-3.1</v>
      </c>
      <c r="AN575" s="254" t="s">
        <v>82</v>
      </c>
      <c r="AO575" s="254">
        <v>-3.1</v>
      </c>
    </row>
    <row r="576" spans="1:41" x14ac:dyDescent="0.2">
      <c r="A576" s="249">
        <v>572</v>
      </c>
      <c r="B576" s="195">
        <v>27</v>
      </c>
      <c r="C576" s="195" t="s">
        <v>800</v>
      </c>
      <c r="D576" s="195">
        <v>3</v>
      </c>
      <c r="E576" s="195" t="s">
        <v>500</v>
      </c>
      <c r="F576" s="196">
        <v>44107</v>
      </c>
      <c r="G576" s="250" t="s">
        <v>9</v>
      </c>
      <c r="H576" s="263">
        <v>2040</v>
      </c>
      <c r="I576" s="216" t="s">
        <v>429</v>
      </c>
      <c r="J576" s="264">
        <v>2435</v>
      </c>
      <c r="K576" s="264">
        <v>2514</v>
      </c>
      <c r="L576" s="265">
        <v>2507</v>
      </c>
      <c r="M576" s="249">
        <v>1</v>
      </c>
      <c r="N576" s="200">
        <v>0</v>
      </c>
      <c r="O576" s="269"/>
      <c r="P576" s="263">
        <v>2040</v>
      </c>
      <c r="Q576" s="270">
        <v>7.3</v>
      </c>
      <c r="R576" s="270">
        <v>1.9</v>
      </c>
      <c r="S576" s="270">
        <v>1.3</v>
      </c>
      <c r="T576" s="270">
        <v>0.6</v>
      </c>
      <c r="U576" s="270">
        <v>1.7</v>
      </c>
      <c r="V576" s="270">
        <v>1.7</v>
      </c>
      <c r="W576" s="270" t="s">
        <v>84</v>
      </c>
      <c r="Y576" s="263">
        <v>2040</v>
      </c>
      <c r="Z576" s="270">
        <v>0</v>
      </c>
      <c r="AA576" s="270">
        <v>1.3</v>
      </c>
      <c r="AB576" s="270">
        <v>1.3</v>
      </c>
      <c r="AC576" s="270">
        <v>0</v>
      </c>
      <c r="AD576" s="270">
        <v>1.7</v>
      </c>
      <c r="AE576" s="270">
        <v>1.7</v>
      </c>
      <c r="AF576" s="270" t="s">
        <v>84</v>
      </c>
      <c r="AH576" s="263">
        <v>2040</v>
      </c>
      <c r="AI576" s="254">
        <v>-7.3</v>
      </c>
      <c r="AJ576" s="254">
        <v>-0.59999999999999987</v>
      </c>
      <c r="AK576" s="254" t="s">
        <v>82</v>
      </c>
      <c r="AL576" s="254">
        <v>-0.6</v>
      </c>
      <c r="AM576" s="254" t="s">
        <v>82</v>
      </c>
      <c r="AN576" s="254" t="s">
        <v>82</v>
      </c>
      <c r="AO576" s="254" t="s">
        <v>82</v>
      </c>
    </row>
    <row r="577" spans="1:41" x14ac:dyDescent="0.2">
      <c r="A577" s="249">
        <v>573</v>
      </c>
      <c r="B577" s="195">
        <v>27</v>
      </c>
      <c r="C577" s="195" t="s">
        <v>800</v>
      </c>
      <c r="D577" s="195">
        <v>3</v>
      </c>
      <c r="E577" s="195" t="s">
        <v>500</v>
      </c>
      <c r="F577" s="196">
        <v>44305</v>
      </c>
      <c r="G577" s="250" t="s">
        <v>4</v>
      </c>
      <c r="H577" s="263">
        <v>2117</v>
      </c>
      <c r="I577" s="216" t="s">
        <v>217</v>
      </c>
      <c r="J577" s="264">
        <v>800</v>
      </c>
      <c r="K577" s="264">
        <v>949</v>
      </c>
      <c r="L577" s="265">
        <v>809</v>
      </c>
      <c r="M577" s="249">
        <v>0</v>
      </c>
      <c r="N577" s="200">
        <v>0</v>
      </c>
      <c r="O577" s="269"/>
      <c r="P577" s="263">
        <v>2117</v>
      </c>
      <c r="Q577" s="270">
        <v>3.6</v>
      </c>
      <c r="R577" s="267"/>
      <c r="S577" s="267"/>
      <c r="T577" s="267"/>
      <c r="U577" s="267"/>
      <c r="V577" s="267"/>
      <c r="W577" s="267"/>
      <c r="Y577" s="263">
        <v>2117</v>
      </c>
      <c r="Z577" s="270">
        <v>0</v>
      </c>
      <c r="AA577" s="267"/>
      <c r="AB577" s="267"/>
      <c r="AC577" s="267"/>
      <c r="AD577" s="267"/>
      <c r="AE577" s="267"/>
      <c r="AF577" s="267"/>
      <c r="AH577" s="263">
        <v>2117</v>
      </c>
      <c r="AI577" s="254">
        <v>-3.6</v>
      </c>
      <c r="AJ577" s="254" t="s">
        <v>82</v>
      </c>
      <c r="AK577" s="254" t="s">
        <v>82</v>
      </c>
      <c r="AL577" s="254" t="s">
        <v>82</v>
      </c>
      <c r="AM577" s="254" t="s">
        <v>82</v>
      </c>
      <c r="AN577" s="254" t="s">
        <v>82</v>
      </c>
      <c r="AO577" s="254" t="s">
        <v>82</v>
      </c>
    </row>
    <row r="578" spans="1:41" x14ac:dyDescent="0.2">
      <c r="A578" s="249">
        <v>574</v>
      </c>
      <c r="B578" s="195">
        <v>27</v>
      </c>
      <c r="C578" s="195" t="s">
        <v>800</v>
      </c>
      <c r="D578" s="195">
        <v>3</v>
      </c>
      <c r="E578" s="195" t="s">
        <v>500</v>
      </c>
      <c r="F578" s="196">
        <v>44643</v>
      </c>
      <c r="G578" s="250" t="s">
        <v>6</v>
      </c>
      <c r="H578" s="263">
        <v>2213</v>
      </c>
      <c r="I578" s="216" t="s">
        <v>802</v>
      </c>
      <c r="J578" s="264">
        <v>2200</v>
      </c>
      <c r="K578" s="264">
        <v>2403</v>
      </c>
      <c r="L578" s="265">
        <v>2242</v>
      </c>
      <c r="M578" s="249">
        <v>1</v>
      </c>
      <c r="N578" s="200">
        <v>0</v>
      </c>
      <c r="P578" s="263">
        <v>2213</v>
      </c>
      <c r="Q578" s="270">
        <v>15.3</v>
      </c>
      <c r="R578" s="270">
        <v>5.7</v>
      </c>
      <c r="S578" s="270">
        <v>5.0999999999999996</v>
      </c>
      <c r="T578" s="270">
        <v>0.6</v>
      </c>
      <c r="U578" s="270">
        <v>4.3</v>
      </c>
      <c r="V578" s="270">
        <v>4.3</v>
      </c>
      <c r="W578" s="270">
        <v>0</v>
      </c>
      <c r="Y578" s="263">
        <v>2213</v>
      </c>
      <c r="Z578" s="270">
        <v>0</v>
      </c>
      <c r="AA578" s="270">
        <v>5.2</v>
      </c>
      <c r="AB578" s="270">
        <v>5.0999999999999996</v>
      </c>
      <c r="AC578" s="270">
        <v>0.1</v>
      </c>
      <c r="AD578" s="270">
        <v>4.3</v>
      </c>
      <c r="AE578" s="270">
        <v>4.3</v>
      </c>
      <c r="AF578" s="270">
        <v>0</v>
      </c>
      <c r="AH578" s="263">
        <v>2213</v>
      </c>
      <c r="AI578" s="254">
        <v>-15.3</v>
      </c>
      <c r="AJ578" s="254">
        <v>-0.5</v>
      </c>
      <c r="AK578" s="254" t="s">
        <v>82</v>
      </c>
      <c r="AL578" s="254">
        <v>-0.5</v>
      </c>
      <c r="AM578" s="254" t="s">
        <v>82</v>
      </c>
      <c r="AN578" s="254" t="s">
        <v>82</v>
      </c>
      <c r="AO578" s="254" t="s">
        <v>82</v>
      </c>
    </row>
    <row r="579" spans="1:41" x14ac:dyDescent="0.2">
      <c r="A579" s="249">
        <v>575</v>
      </c>
      <c r="B579" s="195">
        <v>27</v>
      </c>
      <c r="C579" s="195" t="s">
        <v>800</v>
      </c>
      <c r="D579" s="195">
        <v>4</v>
      </c>
      <c r="E579" s="195" t="s">
        <v>549</v>
      </c>
      <c r="F579" s="196">
        <v>44113</v>
      </c>
      <c r="G579" s="250" t="s">
        <v>8</v>
      </c>
      <c r="H579" s="263">
        <v>2041</v>
      </c>
      <c r="I579" s="216" t="s">
        <v>621</v>
      </c>
      <c r="J579" s="264">
        <v>800</v>
      </c>
      <c r="K579" s="264">
        <v>814</v>
      </c>
      <c r="L579" s="265">
        <v>807</v>
      </c>
      <c r="M579" s="249">
        <v>0</v>
      </c>
      <c r="N579" s="200">
        <v>0</v>
      </c>
      <c r="O579" s="269"/>
      <c r="P579" s="263">
        <v>2041</v>
      </c>
      <c r="Q579" s="270">
        <v>34</v>
      </c>
      <c r="R579" s="267"/>
      <c r="S579" s="267"/>
      <c r="T579" s="267"/>
      <c r="U579" s="267"/>
      <c r="V579" s="267"/>
      <c r="W579" s="267"/>
      <c r="Y579" s="263">
        <v>2041</v>
      </c>
      <c r="Z579" s="270">
        <v>4.2</v>
      </c>
      <c r="AA579" s="267"/>
      <c r="AB579" s="267"/>
      <c r="AC579" s="267"/>
      <c r="AD579" s="267"/>
      <c r="AE579" s="267"/>
      <c r="AF579" s="267"/>
      <c r="AH579" s="263">
        <v>2041</v>
      </c>
      <c r="AI579" s="254">
        <v>-29.8</v>
      </c>
      <c r="AJ579" s="254" t="s">
        <v>82</v>
      </c>
      <c r="AK579" s="254" t="s">
        <v>82</v>
      </c>
      <c r="AL579" s="254" t="s">
        <v>82</v>
      </c>
      <c r="AM579" s="254" t="s">
        <v>82</v>
      </c>
      <c r="AN579" s="254" t="s">
        <v>82</v>
      </c>
      <c r="AO579" s="254" t="s">
        <v>82</v>
      </c>
    </row>
    <row r="580" spans="1:41" x14ac:dyDescent="0.2">
      <c r="A580" s="249">
        <v>576</v>
      </c>
      <c r="B580" s="195">
        <v>27</v>
      </c>
      <c r="C580" s="195" t="s">
        <v>800</v>
      </c>
      <c r="D580" s="195">
        <v>4</v>
      </c>
      <c r="E580" s="195" t="s">
        <v>549</v>
      </c>
      <c r="F580" s="196">
        <v>44219</v>
      </c>
      <c r="G580" s="250" t="s">
        <v>9</v>
      </c>
      <c r="H580" s="263">
        <v>2104</v>
      </c>
      <c r="I580" s="216" t="s">
        <v>803</v>
      </c>
      <c r="J580" s="264">
        <v>2454</v>
      </c>
      <c r="K580" s="264">
        <v>2542</v>
      </c>
      <c r="L580" s="265">
        <v>2517</v>
      </c>
      <c r="M580" s="249">
        <v>0</v>
      </c>
      <c r="N580" s="200">
        <v>0</v>
      </c>
      <c r="P580" s="263">
        <v>2104</v>
      </c>
      <c r="Q580" s="270">
        <v>5.5</v>
      </c>
      <c r="R580" s="267"/>
      <c r="S580" s="267"/>
      <c r="T580" s="267"/>
      <c r="U580" s="267"/>
      <c r="V580" s="267"/>
      <c r="W580" s="267"/>
      <c r="Y580" s="263">
        <v>2104</v>
      </c>
      <c r="Z580" s="270">
        <v>0</v>
      </c>
      <c r="AA580" s="267"/>
      <c r="AB580" s="267"/>
      <c r="AC580" s="267"/>
      <c r="AD580" s="267"/>
      <c r="AE580" s="267"/>
      <c r="AF580" s="267"/>
      <c r="AH580" s="263">
        <v>2104</v>
      </c>
      <c r="AI580" s="254">
        <v>-5.5</v>
      </c>
      <c r="AJ580" s="254" t="s">
        <v>82</v>
      </c>
      <c r="AK580" s="254" t="s">
        <v>82</v>
      </c>
      <c r="AL580" s="254" t="s">
        <v>82</v>
      </c>
      <c r="AM580" s="254" t="s">
        <v>82</v>
      </c>
      <c r="AN580" s="254" t="s">
        <v>82</v>
      </c>
      <c r="AO580" s="254" t="s">
        <v>82</v>
      </c>
    </row>
    <row r="581" spans="1:41" x14ac:dyDescent="0.2">
      <c r="A581" s="249">
        <v>577</v>
      </c>
      <c r="B581" s="195">
        <v>27</v>
      </c>
      <c r="C581" s="195" t="s">
        <v>800</v>
      </c>
      <c r="D581" s="195">
        <v>4</v>
      </c>
      <c r="E581" s="195" t="s">
        <v>549</v>
      </c>
      <c r="F581" s="196">
        <v>44337</v>
      </c>
      <c r="G581" s="250" t="s">
        <v>8</v>
      </c>
      <c r="H581" s="263">
        <v>2121</v>
      </c>
      <c r="I581" s="216" t="s">
        <v>804</v>
      </c>
      <c r="J581" s="264">
        <v>2425</v>
      </c>
      <c r="K581" s="264">
        <v>2454</v>
      </c>
      <c r="L581" s="265">
        <v>2437</v>
      </c>
      <c r="M581" s="249">
        <v>0</v>
      </c>
      <c r="N581" s="200">
        <v>0</v>
      </c>
      <c r="P581" s="263">
        <v>2121</v>
      </c>
      <c r="Q581" s="270">
        <v>12.8</v>
      </c>
      <c r="R581" s="267"/>
      <c r="S581" s="267"/>
      <c r="T581" s="267"/>
      <c r="U581" s="267"/>
      <c r="V581" s="267"/>
      <c r="W581" s="267"/>
      <c r="Y581" s="263">
        <v>2121</v>
      </c>
      <c r="Z581" s="270">
        <v>0</v>
      </c>
      <c r="AA581" s="267"/>
      <c r="AB581" s="267"/>
      <c r="AC581" s="267"/>
      <c r="AD581" s="267"/>
      <c r="AE581" s="267"/>
      <c r="AF581" s="267"/>
      <c r="AH581" s="263">
        <v>2121</v>
      </c>
      <c r="AI581" s="254">
        <v>-12.8</v>
      </c>
      <c r="AJ581" s="254" t="s">
        <v>82</v>
      </c>
      <c r="AK581" s="254" t="s">
        <v>82</v>
      </c>
      <c r="AL581" s="254" t="s">
        <v>82</v>
      </c>
      <c r="AM581" s="254" t="s">
        <v>82</v>
      </c>
      <c r="AN581" s="254" t="s">
        <v>82</v>
      </c>
      <c r="AO581" s="254" t="s">
        <v>82</v>
      </c>
    </row>
    <row r="582" spans="1:41" x14ac:dyDescent="0.2">
      <c r="A582" s="249">
        <v>578</v>
      </c>
      <c r="B582" s="195">
        <v>27</v>
      </c>
      <c r="C582" s="195" t="s">
        <v>800</v>
      </c>
      <c r="D582" s="195">
        <v>5</v>
      </c>
      <c r="E582" s="195" t="s">
        <v>553</v>
      </c>
      <c r="F582" s="196">
        <v>44144</v>
      </c>
      <c r="G582" s="250" t="s">
        <v>4</v>
      </c>
      <c r="H582" s="263">
        <v>2046</v>
      </c>
      <c r="I582" s="216" t="s">
        <v>555</v>
      </c>
      <c r="J582" s="264">
        <v>2045</v>
      </c>
      <c r="K582" s="264">
        <v>2059</v>
      </c>
      <c r="L582" s="265">
        <v>2049</v>
      </c>
      <c r="M582" s="249">
        <v>0</v>
      </c>
      <c r="N582" s="200">
        <v>0</v>
      </c>
      <c r="O582" s="269"/>
      <c r="P582" s="263">
        <v>2046</v>
      </c>
      <c r="Q582" s="270">
        <v>5.5</v>
      </c>
      <c r="R582" s="267"/>
      <c r="S582" s="267"/>
      <c r="T582" s="267"/>
      <c r="U582" s="267"/>
      <c r="V582" s="267"/>
      <c r="W582" s="267"/>
      <c r="Y582" s="263">
        <v>2046</v>
      </c>
      <c r="Z582" s="270">
        <v>1.3</v>
      </c>
      <c r="AA582" s="267"/>
      <c r="AB582" s="267"/>
      <c r="AC582" s="267"/>
      <c r="AD582" s="267"/>
      <c r="AE582" s="267"/>
      <c r="AF582" s="267"/>
      <c r="AH582" s="263">
        <v>2046</v>
      </c>
      <c r="AI582" s="254">
        <v>-4.2</v>
      </c>
      <c r="AJ582" s="254" t="s">
        <v>82</v>
      </c>
      <c r="AK582" s="254" t="s">
        <v>82</v>
      </c>
      <c r="AL582" s="254" t="s">
        <v>82</v>
      </c>
      <c r="AM582" s="254" t="s">
        <v>82</v>
      </c>
      <c r="AN582" s="254" t="s">
        <v>82</v>
      </c>
      <c r="AO582" s="254" t="s">
        <v>82</v>
      </c>
    </row>
    <row r="583" spans="1:41" x14ac:dyDescent="0.2">
      <c r="A583" s="249">
        <v>579</v>
      </c>
      <c r="B583" s="195">
        <v>27</v>
      </c>
      <c r="C583" s="195" t="s">
        <v>800</v>
      </c>
      <c r="D583" s="195">
        <v>5</v>
      </c>
      <c r="E583" s="195" t="s">
        <v>553</v>
      </c>
      <c r="F583" s="196">
        <v>44162</v>
      </c>
      <c r="G583" s="250" t="s">
        <v>8</v>
      </c>
      <c r="H583" s="263">
        <v>2048</v>
      </c>
      <c r="I583" s="216" t="s">
        <v>596</v>
      </c>
      <c r="J583" s="264">
        <v>1605</v>
      </c>
      <c r="K583" s="264">
        <v>1619</v>
      </c>
      <c r="L583" s="265">
        <v>1617</v>
      </c>
      <c r="M583" s="249">
        <v>0</v>
      </c>
      <c r="N583" s="200">
        <v>0</v>
      </c>
      <c r="O583" s="269"/>
      <c r="P583" s="263">
        <v>2048</v>
      </c>
      <c r="Q583" s="270">
        <v>32.299999999999997</v>
      </c>
      <c r="R583" s="267"/>
      <c r="S583" s="267"/>
      <c r="T583" s="267"/>
      <c r="U583" s="267"/>
      <c r="V583" s="267"/>
      <c r="W583" s="267"/>
      <c r="Y583" s="263">
        <v>2048</v>
      </c>
      <c r="Z583" s="270">
        <v>0</v>
      </c>
      <c r="AA583" s="267"/>
      <c r="AB583" s="267"/>
      <c r="AC583" s="267"/>
      <c r="AD583" s="267"/>
      <c r="AE583" s="267"/>
      <c r="AF583" s="267"/>
      <c r="AH583" s="263">
        <v>2048</v>
      </c>
      <c r="AI583" s="254">
        <v>-32.299999999999997</v>
      </c>
      <c r="AJ583" s="254" t="s">
        <v>82</v>
      </c>
      <c r="AK583" s="254" t="s">
        <v>82</v>
      </c>
      <c r="AL583" s="254" t="s">
        <v>82</v>
      </c>
      <c r="AM583" s="254" t="s">
        <v>82</v>
      </c>
      <c r="AN583" s="254" t="s">
        <v>82</v>
      </c>
      <c r="AO583" s="254" t="s">
        <v>82</v>
      </c>
    </row>
    <row r="584" spans="1:41" x14ac:dyDescent="0.2">
      <c r="A584" s="249">
        <v>580</v>
      </c>
      <c r="B584" s="195">
        <v>27</v>
      </c>
      <c r="C584" s="195" t="s">
        <v>800</v>
      </c>
      <c r="D584" s="195">
        <v>5</v>
      </c>
      <c r="E584" s="195" t="s">
        <v>553</v>
      </c>
      <c r="F584" s="196">
        <v>44325</v>
      </c>
      <c r="G584" s="250" t="s">
        <v>10</v>
      </c>
      <c r="H584" s="263">
        <v>2119</v>
      </c>
      <c r="I584" s="216" t="s">
        <v>711</v>
      </c>
      <c r="J584" s="264">
        <v>500</v>
      </c>
      <c r="K584" s="264">
        <v>559</v>
      </c>
      <c r="L584" s="265">
        <v>546</v>
      </c>
      <c r="M584" s="249">
        <v>0</v>
      </c>
      <c r="N584" s="200">
        <v>0</v>
      </c>
      <c r="O584" s="269"/>
      <c r="P584" s="263">
        <v>2119</v>
      </c>
      <c r="Q584" s="270">
        <v>6</v>
      </c>
      <c r="R584" s="267"/>
      <c r="S584" s="267"/>
      <c r="T584" s="267"/>
      <c r="U584" s="267"/>
      <c r="V584" s="267"/>
      <c r="W584" s="267"/>
      <c r="Y584" s="263">
        <v>2119</v>
      </c>
      <c r="Z584" s="270">
        <v>0</v>
      </c>
      <c r="AA584" s="267"/>
      <c r="AB584" s="267"/>
      <c r="AC584" s="267"/>
      <c r="AD584" s="267"/>
      <c r="AE584" s="267"/>
      <c r="AF584" s="267"/>
      <c r="AH584" s="263">
        <v>2119</v>
      </c>
      <c r="AI584" s="254">
        <v>-6</v>
      </c>
      <c r="AJ584" s="254" t="s">
        <v>82</v>
      </c>
      <c r="AK584" s="254" t="s">
        <v>82</v>
      </c>
      <c r="AL584" s="254" t="s">
        <v>82</v>
      </c>
      <c r="AM584" s="254" t="s">
        <v>82</v>
      </c>
      <c r="AN584" s="254" t="s">
        <v>82</v>
      </c>
      <c r="AO584" s="254" t="s">
        <v>82</v>
      </c>
    </row>
    <row r="585" spans="1:41" x14ac:dyDescent="0.2">
      <c r="A585" s="249">
        <v>581</v>
      </c>
      <c r="B585" s="195">
        <v>28</v>
      </c>
      <c r="C585" s="195" t="s">
        <v>805</v>
      </c>
      <c r="D585" s="195">
        <v>1</v>
      </c>
      <c r="E585" s="195" t="s">
        <v>806</v>
      </c>
      <c r="F585" s="196">
        <v>44559</v>
      </c>
      <c r="G585" s="250" t="s">
        <v>6</v>
      </c>
      <c r="H585" s="271">
        <v>2201</v>
      </c>
      <c r="I585" s="216" t="s">
        <v>807</v>
      </c>
      <c r="J585" s="264">
        <v>2100</v>
      </c>
      <c r="K585" s="264">
        <v>2326</v>
      </c>
      <c r="L585" s="265">
        <v>2125</v>
      </c>
      <c r="M585" s="249">
        <v>0</v>
      </c>
      <c r="N585" s="200">
        <v>0</v>
      </c>
      <c r="O585" s="269"/>
      <c r="P585" s="263">
        <v>2201</v>
      </c>
      <c r="Q585" s="270">
        <v>14.9</v>
      </c>
      <c r="R585" s="267"/>
      <c r="S585" s="267"/>
      <c r="T585" s="267"/>
      <c r="U585" s="267"/>
      <c r="V585" s="267"/>
      <c r="W585" s="267"/>
      <c r="Y585" s="263">
        <v>2201</v>
      </c>
      <c r="Z585" s="270">
        <v>6.9</v>
      </c>
      <c r="AA585" s="267"/>
      <c r="AB585" s="267"/>
      <c r="AC585" s="267"/>
      <c r="AD585" s="267"/>
      <c r="AE585" s="267"/>
      <c r="AF585" s="267"/>
      <c r="AH585" s="263">
        <v>2201</v>
      </c>
      <c r="AI585" s="254">
        <v>-8</v>
      </c>
      <c r="AJ585" s="254" t="s">
        <v>82</v>
      </c>
      <c r="AK585" s="254" t="s">
        <v>82</v>
      </c>
      <c r="AL585" s="254" t="s">
        <v>82</v>
      </c>
      <c r="AM585" s="254" t="s">
        <v>82</v>
      </c>
      <c r="AN585" s="254" t="s">
        <v>82</v>
      </c>
      <c r="AO585" s="254" t="s">
        <v>82</v>
      </c>
    </row>
    <row r="586" spans="1:41" x14ac:dyDescent="0.2">
      <c r="A586" s="249">
        <v>582</v>
      </c>
      <c r="B586" s="195">
        <v>28</v>
      </c>
      <c r="C586" s="195" t="s">
        <v>805</v>
      </c>
      <c r="D586" s="195">
        <v>2</v>
      </c>
      <c r="E586" s="195" t="s">
        <v>808</v>
      </c>
      <c r="F586" s="196">
        <v>44522</v>
      </c>
      <c r="G586" s="250" t="s">
        <v>4</v>
      </c>
      <c r="H586" s="263">
        <v>2148</v>
      </c>
      <c r="I586" s="216" t="s">
        <v>330</v>
      </c>
      <c r="J586" s="264">
        <v>1200</v>
      </c>
      <c r="K586" s="264">
        <v>1444</v>
      </c>
      <c r="L586" s="265">
        <v>1334</v>
      </c>
      <c r="M586" s="249">
        <v>1</v>
      </c>
      <c r="N586" s="200">
        <v>0</v>
      </c>
      <c r="O586" s="269"/>
      <c r="P586" s="263">
        <v>2148</v>
      </c>
      <c r="Q586" s="270">
        <v>2.7</v>
      </c>
      <c r="R586" s="270">
        <v>5.9</v>
      </c>
      <c r="S586" s="270">
        <v>5.8</v>
      </c>
      <c r="T586" s="270">
        <v>0.1</v>
      </c>
      <c r="U586" s="270">
        <v>4.2</v>
      </c>
      <c r="V586" s="270">
        <v>4.2</v>
      </c>
      <c r="W586" s="270" t="s">
        <v>84</v>
      </c>
      <c r="Y586" s="263">
        <v>2148</v>
      </c>
      <c r="Z586" s="270">
        <v>0</v>
      </c>
      <c r="AA586" s="270">
        <v>5.8</v>
      </c>
      <c r="AB586" s="270">
        <v>5.8</v>
      </c>
      <c r="AC586" s="270">
        <v>0</v>
      </c>
      <c r="AD586" s="270">
        <v>4.2</v>
      </c>
      <c r="AE586" s="270">
        <v>4.2</v>
      </c>
      <c r="AF586" s="270" t="s">
        <v>84</v>
      </c>
      <c r="AH586" s="263">
        <v>2148</v>
      </c>
      <c r="AI586" s="254">
        <v>-2.7</v>
      </c>
      <c r="AJ586" s="254">
        <v>-0.10000000000000053</v>
      </c>
      <c r="AK586" s="254" t="s">
        <v>82</v>
      </c>
      <c r="AL586" s="254">
        <v>-0.1</v>
      </c>
      <c r="AM586" s="254" t="s">
        <v>82</v>
      </c>
      <c r="AN586" s="254" t="s">
        <v>82</v>
      </c>
      <c r="AO586" s="254" t="s">
        <v>82</v>
      </c>
    </row>
    <row r="587" spans="1:41" x14ac:dyDescent="0.2">
      <c r="A587" s="249">
        <v>583</v>
      </c>
      <c r="B587" s="195">
        <v>28</v>
      </c>
      <c r="C587" s="195" t="s">
        <v>805</v>
      </c>
      <c r="D587" s="195">
        <v>2</v>
      </c>
      <c r="E587" s="195" t="s">
        <v>808</v>
      </c>
      <c r="F587" s="196">
        <v>44543</v>
      </c>
      <c r="G587" s="250" t="s">
        <v>4</v>
      </c>
      <c r="H587" s="263">
        <v>2151</v>
      </c>
      <c r="I587" s="216" t="s">
        <v>217</v>
      </c>
      <c r="J587" s="264">
        <v>800</v>
      </c>
      <c r="K587" s="264">
        <v>949</v>
      </c>
      <c r="L587" s="265">
        <v>811</v>
      </c>
      <c r="M587" s="249">
        <v>1</v>
      </c>
      <c r="N587" s="200">
        <v>0</v>
      </c>
      <c r="O587" s="269"/>
      <c r="P587" s="263">
        <v>2151</v>
      </c>
      <c r="Q587" s="270">
        <v>7.4</v>
      </c>
      <c r="R587" s="270">
        <v>7.6</v>
      </c>
      <c r="S587" s="270">
        <v>7.2</v>
      </c>
      <c r="T587" s="270">
        <v>0.4</v>
      </c>
      <c r="U587" s="270">
        <v>3.8</v>
      </c>
      <c r="V587" s="270">
        <v>3.8</v>
      </c>
      <c r="W587" s="270">
        <v>0</v>
      </c>
      <c r="Y587" s="263">
        <v>2151</v>
      </c>
      <c r="Z587" s="270">
        <v>0.2</v>
      </c>
      <c r="AA587" s="270">
        <v>7.2</v>
      </c>
      <c r="AB587" s="270">
        <v>7.2</v>
      </c>
      <c r="AC587" s="270">
        <v>0</v>
      </c>
      <c r="AD587" s="270">
        <v>3.8</v>
      </c>
      <c r="AE587" s="270">
        <v>3.8</v>
      </c>
      <c r="AF587" s="270">
        <v>0</v>
      </c>
      <c r="AH587" s="263">
        <v>2151</v>
      </c>
      <c r="AI587" s="254">
        <v>-7.2</v>
      </c>
      <c r="AJ587" s="254">
        <v>-0.39999999999999947</v>
      </c>
      <c r="AK587" s="254" t="s">
        <v>82</v>
      </c>
      <c r="AL587" s="254">
        <v>-0.4</v>
      </c>
      <c r="AM587" s="254" t="s">
        <v>82</v>
      </c>
      <c r="AN587" s="254" t="s">
        <v>82</v>
      </c>
      <c r="AO587" s="254" t="s">
        <v>82</v>
      </c>
    </row>
    <row r="588" spans="1:41" x14ac:dyDescent="0.2">
      <c r="A588" s="249">
        <v>584</v>
      </c>
      <c r="B588" s="195">
        <v>28</v>
      </c>
      <c r="C588" s="195" t="s">
        <v>805</v>
      </c>
      <c r="D588" s="195">
        <v>2</v>
      </c>
      <c r="E588" s="195" t="s">
        <v>808</v>
      </c>
      <c r="F588" s="196">
        <v>44551</v>
      </c>
      <c r="G588" s="250" t="s">
        <v>5</v>
      </c>
      <c r="H588" s="263">
        <v>2152</v>
      </c>
      <c r="I588" s="216" t="s">
        <v>809</v>
      </c>
      <c r="J588" s="264">
        <v>2554</v>
      </c>
      <c r="K588" s="264">
        <v>2653</v>
      </c>
      <c r="L588" s="265">
        <v>2628</v>
      </c>
      <c r="M588" s="249">
        <v>1</v>
      </c>
      <c r="N588" s="200">
        <v>0</v>
      </c>
      <c r="O588" s="269"/>
      <c r="P588" s="263">
        <v>2152</v>
      </c>
      <c r="Q588" s="270">
        <v>5.0999999999999996</v>
      </c>
      <c r="R588" s="270">
        <v>1.5</v>
      </c>
      <c r="S588" s="270">
        <v>0.2</v>
      </c>
      <c r="T588" s="270">
        <v>1.3</v>
      </c>
      <c r="U588" s="270">
        <v>0.2</v>
      </c>
      <c r="V588" s="270">
        <v>0.2</v>
      </c>
      <c r="W588" s="270" t="s">
        <v>84</v>
      </c>
      <c r="Y588" s="263">
        <v>2152</v>
      </c>
      <c r="Z588" s="270">
        <v>0</v>
      </c>
      <c r="AA588" s="270">
        <v>0.2</v>
      </c>
      <c r="AB588" s="270">
        <v>0.2</v>
      </c>
      <c r="AC588" s="270">
        <v>0</v>
      </c>
      <c r="AD588" s="270">
        <v>0.2</v>
      </c>
      <c r="AE588" s="270">
        <v>0.2</v>
      </c>
      <c r="AF588" s="270" t="s">
        <v>84</v>
      </c>
      <c r="AH588" s="263">
        <v>2152</v>
      </c>
      <c r="AI588" s="254">
        <v>-5.0999999999999996</v>
      </c>
      <c r="AJ588" s="254">
        <v>-1.3</v>
      </c>
      <c r="AK588" s="254" t="s">
        <v>82</v>
      </c>
      <c r="AL588" s="254">
        <v>-1.3</v>
      </c>
      <c r="AM588" s="254" t="s">
        <v>82</v>
      </c>
      <c r="AN588" s="254" t="s">
        <v>82</v>
      </c>
      <c r="AO588" s="254" t="s">
        <v>82</v>
      </c>
    </row>
    <row r="589" spans="1:41" x14ac:dyDescent="0.2">
      <c r="A589" s="249">
        <v>585</v>
      </c>
      <c r="B589" s="195">
        <v>29</v>
      </c>
      <c r="C589" s="195" t="s">
        <v>810</v>
      </c>
      <c r="D589" s="195">
        <v>1</v>
      </c>
      <c r="E589" s="195" t="s">
        <v>510</v>
      </c>
      <c r="F589" s="196">
        <v>44491</v>
      </c>
      <c r="G589" s="250" t="s">
        <v>8</v>
      </c>
      <c r="H589" s="263">
        <v>2143</v>
      </c>
      <c r="I589" s="216" t="s">
        <v>269</v>
      </c>
      <c r="J589" s="264">
        <v>1550</v>
      </c>
      <c r="K589" s="264">
        <v>1814</v>
      </c>
      <c r="L589" s="265">
        <v>1618</v>
      </c>
      <c r="M589" s="249">
        <v>1</v>
      </c>
      <c r="N589" s="200">
        <v>0</v>
      </c>
      <c r="O589" s="269"/>
      <c r="P589" s="263">
        <v>2143</v>
      </c>
      <c r="Q589" s="270">
        <v>3.4</v>
      </c>
      <c r="R589" s="270">
        <v>6.4</v>
      </c>
      <c r="S589" s="270">
        <v>6.2</v>
      </c>
      <c r="T589" s="270">
        <v>0.2</v>
      </c>
      <c r="U589" s="270">
        <v>8.9</v>
      </c>
      <c r="V589" s="270">
        <v>8.9</v>
      </c>
      <c r="W589" s="270" t="s">
        <v>84</v>
      </c>
      <c r="Y589" s="263">
        <v>2143</v>
      </c>
      <c r="Z589" s="270">
        <v>0</v>
      </c>
      <c r="AA589" s="270">
        <v>6.3</v>
      </c>
      <c r="AB589" s="270">
        <v>6.2</v>
      </c>
      <c r="AC589" s="270">
        <v>0.1</v>
      </c>
      <c r="AD589" s="270">
        <v>8.9</v>
      </c>
      <c r="AE589" s="270">
        <v>8.9</v>
      </c>
      <c r="AF589" s="270" t="s">
        <v>84</v>
      </c>
      <c r="AH589" s="263">
        <v>2143</v>
      </c>
      <c r="AI589" s="254">
        <v>-3.4</v>
      </c>
      <c r="AJ589" s="254">
        <v>-0.10000000000000053</v>
      </c>
      <c r="AK589" s="254" t="s">
        <v>82</v>
      </c>
      <c r="AL589" s="254">
        <v>-0.1</v>
      </c>
      <c r="AM589" s="254" t="s">
        <v>82</v>
      </c>
      <c r="AN589" s="254" t="s">
        <v>82</v>
      </c>
      <c r="AO589" s="254" t="s">
        <v>82</v>
      </c>
    </row>
    <row r="590" spans="1:41" x14ac:dyDescent="0.2">
      <c r="A590" s="249">
        <v>586</v>
      </c>
      <c r="B590" s="195">
        <v>29</v>
      </c>
      <c r="C590" s="195" t="s">
        <v>810</v>
      </c>
      <c r="D590" s="195">
        <v>1</v>
      </c>
      <c r="E590" s="195" t="s">
        <v>510</v>
      </c>
      <c r="F590" s="196">
        <v>44545</v>
      </c>
      <c r="G590" s="250" t="s">
        <v>6</v>
      </c>
      <c r="H590" s="263">
        <v>2151</v>
      </c>
      <c r="I590" s="216" t="s">
        <v>811</v>
      </c>
      <c r="J590" s="264">
        <v>955</v>
      </c>
      <c r="K590" s="264">
        <v>1049</v>
      </c>
      <c r="L590" s="265">
        <v>1030</v>
      </c>
      <c r="M590" s="249">
        <v>1</v>
      </c>
      <c r="N590" s="200">
        <v>0</v>
      </c>
      <c r="O590" s="269"/>
      <c r="P590" s="263">
        <v>2151</v>
      </c>
      <c r="Q590" s="270">
        <v>26.7</v>
      </c>
      <c r="R590" s="270">
        <v>3</v>
      </c>
      <c r="S590" s="270">
        <v>1.3</v>
      </c>
      <c r="T590" s="270">
        <v>1.7</v>
      </c>
      <c r="U590" s="270">
        <v>1</v>
      </c>
      <c r="V590" s="270">
        <v>1</v>
      </c>
      <c r="W590" s="270">
        <v>0</v>
      </c>
      <c r="Y590" s="263">
        <v>2151</v>
      </c>
      <c r="Z590" s="270">
        <v>0</v>
      </c>
      <c r="AA590" s="270">
        <v>1.3</v>
      </c>
      <c r="AB590" s="270">
        <v>1.3</v>
      </c>
      <c r="AC590" s="270">
        <v>0</v>
      </c>
      <c r="AD590" s="270">
        <v>1</v>
      </c>
      <c r="AE590" s="270">
        <v>1</v>
      </c>
      <c r="AF590" s="270">
        <v>0</v>
      </c>
      <c r="AH590" s="263">
        <v>2151</v>
      </c>
      <c r="AI590" s="254">
        <v>-26.7</v>
      </c>
      <c r="AJ590" s="254">
        <v>-1.7</v>
      </c>
      <c r="AK590" s="254" t="s">
        <v>82</v>
      </c>
      <c r="AL590" s="254">
        <v>-1.7</v>
      </c>
      <c r="AM590" s="254" t="s">
        <v>82</v>
      </c>
      <c r="AN590" s="254" t="s">
        <v>82</v>
      </c>
      <c r="AO590" s="254" t="s">
        <v>82</v>
      </c>
    </row>
    <row r="591" spans="1:41" x14ac:dyDescent="0.2">
      <c r="A591" s="249">
        <v>587</v>
      </c>
      <c r="B591" s="195">
        <v>29</v>
      </c>
      <c r="C591" s="195" t="s">
        <v>810</v>
      </c>
      <c r="D591" s="195">
        <v>3</v>
      </c>
      <c r="E591" s="195" t="s">
        <v>549</v>
      </c>
      <c r="F591" s="196">
        <v>44532</v>
      </c>
      <c r="G591" s="250" t="s">
        <v>7</v>
      </c>
      <c r="H591" s="263">
        <v>2149</v>
      </c>
      <c r="I591" s="216" t="s">
        <v>812</v>
      </c>
      <c r="J591" s="264">
        <v>1810</v>
      </c>
      <c r="K591" s="264">
        <v>1859</v>
      </c>
      <c r="L591" s="265">
        <v>1814</v>
      </c>
      <c r="M591" s="249">
        <v>0</v>
      </c>
      <c r="N591" s="200">
        <v>0</v>
      </c>
      <c r="P591" s="263">
        <v>2149</v>
      </c>
      <c r="Q591" s="270">
        <v>22.1</v>
      </c>
      <c r="R591" s="267"/>
      <c r="S591" s="267"/>
      <c r="T591" s="267"/>
      <c r="U591" s="267"/>
      <c r="V591" s="267"/>
      <c r="W591" s="267"/>
      <c r="Y591" s="263">
        <v>2149</v>
      </c>
      <c r="Z591" s="270">
        <v>0</v>
      </c>
      <c r="AA591" s="267"/>
      <c r="AB591" s="267"/>
      <c r="AC591" s="267"/>
      <c r="AD591" s="267"/>
      <c r="AE591" s="267"/>
      <c r="AF591" s="267"/>
      <c r="AH591" s="263">
        <v>2149</v>
      </c>
      <c r="AI591" s="254">
        <v>-22.1</v>
      </c>
      <c r="AJ591" s="254" t="s">
        <v>82</v>
      </c>
      <c r="AK591" s="254" t="s">
        <v>82</v>
      </c>
      <c r="AL591" s="254" t="s">
        <v>82</v>
      </c>
      <c r="AM591" s="254" t="s">
        <v>82</v>
      </c>
      <c r="AN591" s="254" t="s">
        <v>82</v>
      </c>
      <c r="AO591" s="254" t="s">
        <v>82</v>
      </c>
    </row>
    <row r="592" spans="1:41" x14ac:dyDescent="0.2">
      <c r="A592" s="249">
        <v>588</v>
      </c>
      <c r="B592" s="195">
        <v>30</v>
      </c>
      <c r="C592" s="195" t="s">
        <v>813</v>
      </c>
      <c r="D592" s="195">
        <v>1</v>
      </c>
      <c r="E592" s="195" t="s">
        <v>516</v>
      </c>
      <c r="F592" s="196">
        <v>44599</v>
      </c>
      <c r="G592" s="250" t="s">
        <v>4</v>
      </c>
      <c r="H592" s="263">
        <v>2207</v>
      </c>
      <c r="I592" s="216" t="s">
        <v>283</v>
      </c>
      <c r="J592" s="264">
        <v>1155</v>
      </c>
      <c r="K592" s="264">
        <v>1354</v>
      </c>
      <c r="L592" s="265">
        <v>1313</v>
      </c>
      <c r="M592" s="249">
        <v>1</v>
      </c>
      <c r="N592" s="200">
        <v>0</v>
      </c>
      <c r="O592" s="269"/>
      <c r="P592" s="263">
        <v>2207</v>
      </c>
      <c r="Q592" s="270">
        <v>10.4</v>
      </c>
      <c r="R592" s="270">
        <v>5</v>
      </c>
      <c r="S592" s="270">
        <v>4.5999999999999996</v>
      </c>
      <c r="T592" s="270">
        <v>0.4</v>
      </c>
      <c r="U592" s="270">
        <v>3.3</v>
      </c>
      <c r="V592" s="270">
        <v>3.3</v>
      </c>
      <c r="W592" s="270">
        <v>0</v>
      </c>
      <c r="Y592" s="263">
        <v>2207</v>
      </c>
      <c r="Z592" s="270">
        <v>0</v>
      </c>
      <c r="AA592" s="270">
        <v>4.5999999999999996</v>
      </c>
      <c r="AB592" s="270">
        <v>4.5999999999999996</v>
      </c>
      <c r="AC592" s="270">
        <v>0</v>
      </c>
      <c r="AD592" s="270">
        <v>3.3</v>
      </c>
      <c r="AE592" s="270">
        <v>3.3</v>
      </c>
      <c r="AF592" s="270">
        <v>0</v>
      </c>
      <c r="AH592" s="263">
        <v>2207</v>
      </c>
      <c r="AI592" s="254">
        <v>-10.4</v>
      </c>
      <c r="AJ592" s="254">
        <v>-0.40000000000000036</v>
      </c>
      <c r="AK592" s="254" t="s">
        <v>82</v>
      </c>
      <c r="AL592" s="254">
        <v>-0.4</v>
      </c>
      <c r="AM592" s="254" t="s">
        <v>82</v>
      </c>
      <c r="AN592" s="254" t="s">
        <v>82</v>
      </c>
      <c r="AO592" s="254" t="s">
        <v>82</v>
      </c>
    </row>
    <row r="593" spans="1:41" x14ac:dyDescent="0.2">
      <c r="A593" s="249">
        <v>589</v>
      </c>
      <c r="B593" s="195">
        <v>30</v>
      </c>
      <c r="C593" s="195" t="s">
        <v>813</v>
      </c>
      <c r="D593" s="195">
        <v>2</v>
      </c>
      <c r="E593" s="195" t="s">
        <v>517</v>
      </c>
      <c r="F593" s="196">
        <v>44536</v>
      </c>
      <c r="G593" s="250" t="s">
        <v>4</v>
      </c>
      <c r="H593" s="263">
        <v>2150</v>
      </c>
      <c r="I593" s="216" t="s">
        <v>217</v>
      </c>
      <c r="J593" s="264">
        <v>800</v>
      </c>
      <c r="K593" s="264">
        <v>949</v>
      </c>
      <c r="L593" s="265">
        <v>939</v>
      </c>
      <c r="M593" s="249">
        <v>1</v>
      </c>
      <c r="N593" s="200">
        <v>0</v>
      </c>
      <c r="O593" s="269"/>
      <c r="P593" s="263">
        <v>2150</v>
      </c>
      <c r="Q593" s="270">
        <v>17.2</v>
      </c>
      <c r="R593" s="270">
        <v>6.5</v>
      </c>
      <c r="S593" s="270">
        <v>5.7</v>
      </c>
      <c r="T593" s="270">
        <v>0.8</v>
      </c>
      <c r="U593" s="270">
        <v>3.9</v>
      </c>
      <c r="V593" s="270">
        <v>3.9</v>
      </c>
      <c r="W593" s="270">
        <v>0</v>
      </c>
      <c r="Y593" s="263">
        <v>2150</v>
      </c>
      <c r="Z593" s="270">
        <v>0</v>
      </c>
      <c r="AA593" s="270">
        <v>5.7</v>
      </c>
      <c r="AB593" s="270">
        <v>5.7</v>
      </c>
      <c r="AC593" s="270">
        <v>0</v>
      </c>
      <c r="AD593" s="270">
        <v>3.9</v>
      </c>
      <c r="AE593" s="270">
        <v>3.9</v>
      </c>
      <c r="AF593" s="270">
        <v>0</v>
      </c>
      <c r="AH593" s="263">
        <v>2150</v>
      </c>
      <c r="AI593" s="254">
        <v>-17.2</v>
      </c>
      <c r="AJ593" s="254">
        <v>-0.79999999999999982</v>
      </c>
      <c r="AK593" s="254" t="s">
        <v>82</v>
      </c>
      <c r="AL593" s="254">
        <v>-0.8</v>
      </c>
      <c r="AM593" s="254" t="s">
        <v>82</v>
      </c>
      <c r="AN593" s="254" t="s">
        <v>82</v>
      </c>
      <c r="AO593" s="254" t="s">
        <v>82</v>
      </c>
    </row>
    <row r="594" spans="1:41" x14ac:dyDescent="0.2">
      <c r="A594" s="249">
        <v>590</v>
      </c>
      <c r="B594" s="195">
        <v>30</v>
      </c>
      <c r="C594" s="195" t="s">
        <v>813</v>
      </c>
      <c r="D594" s="195">
        <v>3</v>
      </c>
      <c r="E594" s="195" t="s">
        <v>549</v>
      </c>
      <c r="F594" s="196">
        <v>44474</v>
      </c>
      <c r="G594" s="250" t="s">
        <v>5</v>
      </c>
      <c r="H594" s="263">
        <v>2141</v>
      </c>
      <c r="I594" s="216" t="s">
        <v>684</v>
      </c>
      <c r="J594" s="264">
        <v>500</v>
      </c>
      <c r="K594" s="264">
        <v>559</v>
      </c>
      <c r="L594" s="265">
        <v>542</v>
      </c>
      <c r="M594" s="249">
        <v>0</v>
      </c>
      <c r="N594" s="200">
        <v>0</v>
      </c>
      <c r="O594" s="269"/>
      <c r="P594" s="263">
        <v>2141</v>
      </c>
      <c r="Q594" s="270">
        <v>20.100000000000001</v>
      </c>
      <c r="R594" s="267"/>
      <c r="S594" s="267"/>
      <c r="T594" s="267"/>
      <c r="U594" s="267"/>
      <c r="V594" s="267"/>
      <c r="W594" s="267"/>
      <c r="Y594" s="263">
        <v>2141</v>
      </c>
      <c r="Z594" s="270">
        <v>0.2</v>
      </c>
      <c r="AA594" s="267"/>
      <c r="AB594" s="267"/>
      <c r="AC594" s="267"/>
      <c r="AD594" s="267"/>
      <c r="AE594" s="267"/>
      <c r="AF594" s="267"/>
      <c r="AH594" s="263">
        <v>2141</v>
      </c>
      <c r="AI594" s="254">
        <v>-19.900000000000002</v>
      </c>
      <c r="AJ594" s="254" t="s">
        <v>82</v>
      </c>
      <c r="AK594" s="254" t="s">
        <v>82</v>
      </c>
      <c r="AL594" s="254" t="s">
        <v>82</v>
      </c>
      <c r="AM594" s="254" t="s">
        <v>82</v>
      </c>
      <c r="AN594" s="254" t="s">
        <v>82</v>
      </c>
      <c r="AO594" s="254" t="s">
        <v>82</v>
      </c>
    </row>
    <row r="595" spans="1:41" x14ac:dyDescent="0.2">
      <c r="A595" s="249">
        <v>591</v>
      </c>
      <c r="B595" s="195">
        <v>30</v>
      </c>
      <c r="C595" s="195" t="s">
        <v>813</v>
      </c>
      <c r="D595" s="195">
        <v>3</v>
      </c>
      <c r="E595" s="195" t="s">
        <v>549</v>
      </c>
      <c r="F595" s="196">
        <v>44502</v>
      </c>
      <c r="G595" s="250" t="s">
        <v>5</v>
      </c>
      <c r="H595" s="263">
        <v>2145</v>
      </c>
      <c r="I595" s="216" t="s">
        <v>577</v>
      </c>
      <c r="J595" s="264">
        <v>2315</v>
      </c>
      <c r="K595" s="264">
        <v>2319</v>
      </c>
      <c r="L595" s="265">
        <v>2319</v>
      </c>
      <c r="M595" s="249">
        <v>0</v>
      </c>
      <c r="N595" s="200">
        <v>1</v>
      </c>
      <c r="P595" s="263">
        <v>2145</v>
      </c>
      <c r="Q595" s="270">
        <v>5</v>
      </c>
      <c r="R595" s="267"/>
      <c r="S595" s="267"/>
      <c r="T595" s="267"/>
      <c r="U595" s="267"/>
      <c r="V595" s="267"/>
      <c r="W595" s="267"/>
      <c r="Y595" s="263">
        <v>2145</v>
      </c>
      <c r="Z595" s="270">
        <v>0</v>
      </c>
      <c r="AA595" s="267"/>
      <c r="AB595" s="267"/>
      <c r="AC595" s="267"/>
      <c r="AD595" s="267"/>
      <c r="AE595" s="267"/>
      <c r="AF595" s="267"/>
      <c r="AH595" s="263">
        <v>2145</v>
      </c>
      <c r="AI595" s="254">
        <v>-5</v>
      </c>
      <c r="AJ595" s="254" t="s">
        <v>82</v>
      </c>
      <c r="AK595" s="254" t="s">
        <v>82</v>
      </c>
      <c r="AL595" s="254" t="s">
        <v>82</v>
      </c>
      <c r="AM595" s="254" t="s">
        <v>82</v>
      </c>
      <c r="AN595" s="254" t="s">
        <v>82</v>
      </c>
      <c r="AO595" s="254" t="s">
        <v>82</v>
      </c>
    </row>
    <row r="596" spans="1:41" x14ac:dyDescent="0.2">
      <c r="A596" s="249">
        <v>592</v>
      </c>
      <c r="B596" s="195">
        <v>30</v>
      </c>
      <c r="C596" s="195" t="s">
        <v>813</v>
      </c>
      <c r="D596" s="195">
        <v>3</v>
      </c>
      <c r="E596" s="195" t="s">
        <v>549</v>
      </c>
      <c r="F596" s="196">
        <v>44517</v>
      </c>
      <c r="G596" s="250" t="s">
        <v>6</v>
      </c>
      <c r="H596" s="263">
        <v>2147</v>
      </c>
      <c r="I596" s="216" t="s">
        <v>577</v>
      </c>
      <c r="J596" s="264">
        <v>2315</v>
      </c>
      <c r="K596" s="264">
        <v>2319</v>
      </c>
      <c r="L596" s="265">
        <v>2319</v>
      </c>
      <c r="M596" s="249">
        <v>0</v>
      </c>
      <c r="N596" s="200">
        <v>1</v>
      </c>
      <c r="P596" s="263">
        <v>2147</v>
      </c>
      <c r="Q596" s="270">
        <v>7.6</v>
      </c>
      <c r="R596" s="267"/>
      <c r="S596" s="267"/>
      <c r="T596" s="267"/>
      <c r="U596" s="267"/>
      <c r="V596" s="267"/>
      <c r="W596" s="267"/>
      <c r="Y596" s="263">
        <v>2147</v>
      </c>
      <c r="Z596" s="270">
        <v>0</v>
      </c>
      <c r="AA596" s="267"/>
      <c r="AB596" s="267"/>
      <c r="AC596" s="267"/>
      <c r="AD596" s="267"/>
      <c r="AE596" s="267"/>
      <c r="AF596" s="267"/>
      <c r="AH596" s="263">
        <v>2147</v>
      </c>
      <c r="AI596" s="254">
        <v>-7.6</v>
      </c>
      <c r="AJ596" s="254" t="s">
        <v>82</v>
      </c>
      <c r="AK596" s="254" t="s">
        <v>82</v>
      </c>
      <c r="AL596" s="254" t="s">
        <v>82</v>
      </c>
      <c r="AM596" s="254" t="s">
        <v>82</v>
      </c>
      <c r="AN596" s="254" t="s">
        <v>82</v>
      </c>
      <c r="AO596" s="254" t="s">
        <v>82</v>
      </c>
    </row>
    <row r="597" spans="1:41" x14ac:dyDescent="0.2">
      <c r="A597" s="249">
        <v>593</v>
      </c>
      <c r="B597" s="195">
        <v>30</v>
      </c>
      <c r="C597" s="195" t="s">
        <v>813</v>
      </c>
      <c r="D597" s="195">
        <v>4</v>
      </c>
      <c r="E597" s="195" t="s">
        <v>553</v>
      </c>
      <c r="F597" s="196">
        <v>44485</v>
      </c>
      <c r="G597" s="250" t="s">
        <v>9</v>
      </c>
      <c r="H597" s="263">
        <v>2142</v>
      </c>
      <c r="I597" s="216" t="s">
        <v>814</v>
      </c>
      <c r="J597" s="264">
        <v>1500</v>
      </c>
      <c r="K597" s="264">
        <v>1544</v>
      </c>
      <c r="L597" s="265">
        <v>1526</v>
      </c>
      <c r="M597" s="249">
        <v>0</v>
      </c>
      <c r="N597" s="200">
        <v>0</v>
      </c>
      <c r="P597" s="263">
        <v>2142</v>
      </c>
      <c r="Q597" s="270">
        <v>18.3</v>
      </c>
      <c r="R597" s="267"/>
      <c r="S597" s="267"/>
      <c r="T597" s="267"/>
      <c r="U597" s="267"/>
      <c r="V597" s="267"/>
      <c r="W597" s="267"/>
      <c r="Y597" s="263">
        <v>2142</v>
      </c>
      <c r="Z597" s="270">
        <v>0</v>
      </c>
      <c r="AA597" s="267"/>
      <c r="AB597" s="267"/>
      <c r="AC597" s="267"/>
      <c r="AD597" s="267"/>
      <c r="AE597" s="267"/>
      <c r="AF597" s="267"/>
      <c r="AH597" s="263">
        <v>2142</v>
      </c>
      <c r="AI597" s="254">
        <v>-18.3</v>
      </c>
      <c r="AJ597" s="254" t="s">
        <v>82</v>
      </c>
      <c r="AK597" s="254" t="s">
        <v>82</v>
      </c>
      <c r="AL597" s="254" t="s">
        <v>82</v>
      </c>
      <c r="AM597" s="254" t="s">
        <v>82</v>
      </c>
      <c r="AN597" s="254" t="s">
        <v>82</v>
      </c>
      <c r="AO597" s="254" t="s">
        <v>82</v>
      </c>
    </row>
    <row r="598" spans="1:41" x14ac:dyDescent="0.2">
      <c r="A598" s="249">
        <v>594</v>
      </c>
      <c r="B598" s="195">
        <v>31</v>
      </c>
      <c r="C598" s="195" t="s">
        <v>815</v>
      </c>
      <c r="D598" s="195">
        <v>1</v>
      </c>
      <c r="E598" s="195" t="s">
        <v>520</v>
      </c>
      <c r="F598" s="196">
        <v>44543</v>
      </c>
      <c r="G598" s="250" t="s">
        <v>4</v>
      </c>
      <c r="H598" s="263">
        <v>2151</v>
      </c>
      <c r="I598" s="216" t="s">
        <v>330</v>
      </c>
      <c r="J598" s="264">
        <v>1155</v>
      </c>
      <c r="K598" s="264">
        <v>1444</v>
      </c>
      <c r="L598" s="265">
        <v>1304</v>
      </c>
      <c r="M598" s="249">
        <v>0</v>
      </c>
      <c r="N598" s="200">
        <v>0</v>
      </c>
      <c r="O598" s="269"/>
      <c r="P598" s="263">
        <v>2151</v>
      </c>
      <c r="Q598" s="270">
        <v>2.8</v>
      </c>
      <c r="R598" s="267"/>
      <c r="S598" s="267"/>
      <c r="T598" s="267"/>
      <c r="U598" s="267"/>
      <c r="V598" s="267"/>
      <c r="W598" s="267"/>
      <c r="Y598" s="263">
        <v>2151</v>
      </c>
      <c r="Z598" s="270">
        <v>0.2</v>
      </c>
      <c r="AA598" s="267"/>
      <c r="AB598" s="267"/>
      <c r="AC598" s="267"/>
      <c r="AD598" s="267"/>
      <c r="AE598" s="267"/>
      <c r="AF598" s="267"/>
      <c r="AH598" s="263">
        <v>2151</v>
      </c>
      <c r="AI598" s="254">
        <v>-2.5999999999999996</v>
      </c>
      <c r="AJ598" s="254" t="s">
        <v>82</v>
      </c>
      <c r="AK598" s="254" t="s">
        <v>82</v>
      </c>
      <c r="AL598" s="254" t="s">
        <v>82</v>
      </c>
      <c r="AM598" s="254" t="s">
        <v>82</v>
      </c>
      <c r="AN598" s="254" t="s">
        <v>82</v>
      </c>
      <c r="AO598" s="254" t="s">
        <v>82</v>
      </c>
    </row>
    <row r="599" spans="1:41" x14ac:dyDescent="0.2">
      <c r="A599" s="249">
        <v>595</v>
      </c>
      <c r="B599" s="195">
        <v>31</v>
      </c>
      <c r="C599" s="195" t="s">
        <v>815</v>
      </c>
      <c r="D599" s="195">
        <v>1</v>
      </c>
      <c r="E599" s="195" t="s">
        <v>520</v>
      </c>
      <c r="F599" s="196">
        <v>44621</v>
      </c>
      <c r="G599" s="250" t="s">
        <v>5</v>
      </c>
      <c r="H599" s="263">
        <v>2210</v>
      </c>
      <c r="I599" s="216" t="s">
        <v>330</v>
      </c>
      <c r="J599" s="264">
        <v>1155</v>
      </c>
      <c r="K599" s="264">
        <v>1444</v>
      </c>
      <c r="L599" s="265">
        <v>1206</v>
      </c>
      <c r="M599" s="249">
        <v>0</v>
      </c>
      <c r="N599" s="200">
        <v>0</v>
      </c>
      <c r="O599" s="269"/>
      <c r="P599" s="263">
        <v>2210</v>
      </c>
      <c r="Q599" s="270">
        <v>1.2</v>
      </c>
      <c r="R599" s="267"/>
      <c r="S599" s="267"/>
      <c r="T599" s="267"/>
      <c r="U599" s="267"/>
      <c r="V599" s="267"/>
      <c r="W599" s="267"/>
      <c r="Y599" s="263">
        <v>2210</v>
      </c>
      <c r="Z599" s="270">
        <v>0</v>
      </c>
      <c r="AA599" s="267"/>
      <c r="AB599" s="267"/>
      <c r="AC599" s="267"/>
      <c r="AD599" s="267"/>
      <c r="AE599" s="267"/>
      <c r="AF599" s="267"/>
      <c r="AH599" s="263">
        <v>2210</v>
      </c>
      <c r="AI599" s="254">
        <v>-1.2</v>
      </c>
      <c r="AJ599" s="254" t="s">
        <v>82</v>
      </c>
      <c r="AK599" s="254" t="s">
        <v>82</v>
      </c>
      <c r="AL599" s="254" t="s">
        <v>82</v>
      </c>
      <c r="AM599" s="254" t="s">
        <v>82</v>
      </c>
      <c r="AN599" s="254" t="s">
        <v>82</v>
      </c>
      <c r="AO599" s="254" t="s">
        <v>82</v>
      </c>
    </row>
    <row r="600" spans="1:41" x14ac:dyDescent="0.2">
      <c r="A600" s="249">
        <v>596</v>
      </c>
      <c r="B600" s="195">
        <v>31</v>
      </c>
      <c r="C600" s="195" t="s">
        <v>815</v>
      </c>
      <c r="D600" s="195">
        <v>1</v>
      </c>
      <c r="E600" s="195" t="s">
        <v>520</v>
      </c>
      <c r="F600" s="196">
        <v>44642</v>
      </c>
      <c r="G600" s="250" t="s">
        <v>5</v>
      </c>
      <c r="H600" s="263">
        <v>2213</v>
      </c>
      <c r="I600" s="216" t="s">
        <v>330</v>
      </c>
      <c r="J600" s="264">
        <v>1155</v>
      </c>
      <c r="K600" s="264">
        <v>1444</v>
      </c>
      <c r="L600" s="265">
        <v>1303</v>
      </c>
      <c r="M600" s="249">
        <v>1</v>
      </c>
      <c r="N600" s="200">
        <v>0</v>
      </c>
      <c r="O600" s="269"/>
      <c r="P600" s="263">
        <v>2213</v>
      </c>
      <c r="Q600" s="270">
        <v>3.1</v>
      </c>
      <c r="R600" s="270">
        <v>2.2999999999999998</v>
      </c>
      <c r="S600" s="270">
        <v>2.2000000000000002</v>
      </c>
      <c r="T600" s="270">
        <v>0.1</v>
      </c>
      <c r="U600" s="270">
        <v>2.2999999999999998</v>
      </c>
      <c r="V600" s="270">
        <v>2.2999999999999998</v>
      </c>
      <c r="W600" s="270" t="s">
        <v>84</v>
      </c>
      <c r="Y600" s="263">
        <v>2213</v>
      </c>
      <c r="Z600" s="270">
        <v>0</v>
      </c>
      <c r="AA600" s="270">
        <v>2.2000000000000002</v>
      </c>
      <c r="AB600" s="270">
        <v>2.2000000000000002</v>
      </c>
      <c r="AC600" s="270">
        <v>0</v>
      </c>
      <c r="AD600" s="270">
        <v>2.2999999999999998</v>
      </c>
      <c r="AE600" s="270">
        <v>2.2999999999999998</v>
      </c>
      <c r="AF600" s="270" t="s">
        <v>84</v>
      </c>
      <c r="AH600" s="263">
        <v>2213</v>
      </c>
      <c r="AI600" s="254">
        <v>-3.1</v>
      </c>
      <c r="AJ600" s="254">
        <v>-9.9999999999999645E-2</v>
      </c>
      <c r="AK600" s="254" t="s">
        <v>82</v>
      </c>
      <c r="AL600" s="254">
        <v>-0.1</v>
      </c>
      <c r="AM600" s="254" t="s">
        <v>82</v>
      </c>
      <c r="AN600" s="254" t="s">
        <v>82</v>
      </c>
      <c r="AO600" s="254" t="s">
        <v>82</v>
      </c>
    </row>
    <row r="601" spans="1:41" x14ac:dyDescent="0.2">
      <c r="A601" s="249">
        <v>597</v>
      </c>
      <c r="B601" s="195">
        <v>31</v>
      </c>
      <c r="C601" s="195" t="s">
        <v>815</v>
      </c>
      <c r="D601" s="195">
        <v>2</v>
      </c>
      <c r="E601" s="195" t="s">
        <v>549</v>
      </c>
      <c r="F601" s="196">
        <v>44515</v>
      </c>
      <c r="G601" s="250" t="s">
        <v>4</v>
      </c>
      <c r="H601" s="263">
        <v>2147</v>
      </c>
      <c r="I601" s="216" t="s">
        <v>686</v>
      </c>
      <c r="J601" s="264">
        <v>2534</v>
      </c>
      <c r="K601" s="264">
        <v>2613</v>
      </c>
      <c r="L601" s="265">
        <v>2551</v>
      </c>
      <c r="M601" s="249">
        <v>0</v>
      </c>
      <c r="N601" s="200">
        <v>0</v>
      </c>
      <c r="O601" s="269"/>
      <c r="P601" s="263">
        <v>2147</v>
      </c>
      <c r="Q601" s="270">
        <v>3.1</v>
      </c>
      <c r="R601" s="267"/>
      <c r="S601" s="267"/>
      <c r="T601" s="267"/>
      <c r="U601" s="267"/>
      <c r="V601" s="267"/>
      <c r="W601" s="267"/>
      <c r="Y601" s="263">
        <v>2147</v>
      </c>
      <c r="Z601" s="270">
        <v>0.2</v>
      </c>
      <c r="AA601" s="267"/>
      <c r="AB601" s="267"/>
      <c r="AC601" s="267"/>
      <c r="AD601" s="267"/>
      <c r="AE601" s="267"/>
      <c r="AF601" s="267"/>
      <c r="AH601" s="263">
        <v>2147</v>
      </c>
      <c r="AI601" s="254">
        <v>-2.9</v>
      </c>
      <c r="AJ601" s="254" t="s">
        <v>82</v>
      </c>
      <c r="AK601" s="254" t="s">
        <v>82</v>
      </c>
      <c r="AL601" s="254" t="s">
        <v>82</v>
      </c>
      <c r="AM601" s="254" t="s">
        <v>82</v>
      </c>
      <c r="AN601" s="254" t="s">
        <v>82</v>
      </c>
      <c r="AO601" s="254" t="s">
        <v>82</v>
      </c>
    </row>
  </sheetData>
  <autoFilter ref="A4:AO601" xr:uid="{9BB5F929-3EBA-4B4A-8805-125F566E3768}">
    <sortState xmlns:xlrd2="http://schemas.microsoft.com/office/spreadsheetml/2017/richdata2" ref="A5:AO601">
      <sortCondition ref="A4:A601"/>
    </sortState>
  </autoFilter>
  <mergeCells count="6">
    <mergeCell ref="P2:W2"/>
    <mergeCell ref="Y2:AF2"/>
    <mergeCell ref="AH2:AO2"/>
    <mergeCell ref="R3:W3"/>
    <mergeCell ref="AA3:AF3"/>
    <mergeCell ref="AJ3:AO3"/>
  </mergeCells>
  <phoneticPr fontId="3"/>
  <pageMargins bottom="0.75" footer="0.3" header="0.3" left="0.7" right="0.7" top="0.75"/>
  <pageSetup orientation="portrait" paperSize="9" r:id="rId1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8D52-EB6C-4689-A316-C45057E33981}">
  <sheetPr>
    <tabColor theme="7" tint="0.59999389629810485"/>
  </sheetPr>
  <dimension ref="A1:AK852"/>
  <sheetViews>
    <sheetView workbookViewId="0" zoomScale="70" zoomScaleNormal="70">
      <pane activePane="bottomRight" state="frozen" topLeftCell="P5" xSplit="9" ySplit="4"/>
      <selection activeCell="A11" sqref="A11"/>
      <selection activeCell="A11" pane="topRight" sqref="A11"/>
      <selection activeCell="A11" pane="bottomLeft" sqref="A11"/>
      <selection pane="bottomRight"/>
    </sheetView>
  </sheetViews>
  <sheetFormatPr defaultColWidth="8.90625" defaultRowHeight="13" x14ac:dyDescent="0.2"/>
  <cols>
    <col min="1" max="1" customWidth="true" style="169" width="10.26953125" collapsed="false"/>
    <col min="2" max="2" customWidth="true" style="168" width="9.36328125" collapsed="false"/>
    <col min="3" max="3" bestFit="true" customWidth="true" style="168" width="12.1796875" collapsed="false"/>
    <col min="4" max="4" customWidth="true" style="169" width="10.26953125" collapsed="false"/>
    <col min="5" max="5" customWidth="true" style="169" width="12.7265625" collapsed="false"/>
    <col min="6" max="6" bestFit="true" customWidth="true" style="168" width="12.7265625" collapsed="false"/>
    <col min="7" max="7" bestFit="true" customWidth="true" style="169" width="11.453125" collapsed="false"/>
    <col min="8" max="8" customWidth="true" style="172" width="9.1796875" collapsed="false"/>
    <col min="9" max="9" customWidth="true" style="169" width="46.54296875" collapsed="false"/>
    <col min="10" max="11" bestFit="true" customWidth="true" style="169" width="11.54296875" collapsed="false"/>
    <col min="12" max="12" customWidth="true" style="169" width="10.26953125" collapsed="false"/>
    <col min="13" max="13" customWidth="true" style="169" width="3.453125" collapsed="false"/>
    <col min="14" max="20" customWidth="true" style="169" width="10.26953125" collapsed="false"/>
    <col min="21" max="21" customWidth="true" style="169" width="3.90625" collapsed="false"/>
    <col min="22" max="23" bestFit="true" customWidth="true" style="169" width="10.26953125" collapsed="false"/>
    <col min="24" max="28" customWidth="true" style="169" width="10.26953125" collapsed="false"/>
    <col min="29" max="29" customWidth="true" style="169" width="3.90625" collapsed="false"/>
    <col min="30" max="31" bestFit="true" customWidth="true" style="169" width="10.26953125" collapsed="false"/>
    <col min="32" max="36" customWidth="true" style="169" width="10.26953125" collapsed="false"/>
    <col min="37" max="16384" style="169" width="8.90625" collapsed="false"/>
  </cols>
  <sheetData>
    <row ht="16.5" r="1" spans="1:36" x14ac:dyDescent="0.2">
      <c r="A1" s="167" t="s">
        <v>51</v>
      </c>
      <c r="C1" s="169"/>
      <c r="F1" s="170"/>
      <c r="G1" s="170"/>
      <c r="H1" s="170"/>
      <c r="I1" s="170"/>
      <c r="J1" s="171"/>
      <c r="K1" s="171"/>
      <c r="L1" s="171"/>
    </row>
    <row r="2" spans="1:36" x14ac:dyDescent="0.2">
      <c r="B2" s="169"/>
      <c r="I2" s="169" t="s">
        <v>52</v>
      </c>
    </row>
    <row customHeight="1" ht="18.75" r="3" spans="1:36" x14ac:dyDescent="0.2">
      <c r="B3" s="169"/>
      <c r="C3" s="169"/>
      <c r="I3" s="169" t="s">
        <v>53</v>
      </c>
      <c r="N3" s="173" t="s">
        <v>54</v>
      </c>
      <c r="O3" s="173"/>
      <c r="P3" s="173"/>
      <c r="Q3" s="173"/>
      <c r="R3" s="173"/>
      <c r="S3" s="173"/>
      <c r="T3" s="173"/>
      <c r="U3" s="174"/>
      <c r="V3" s="175" t="s">
        <v>55</v>
      </c>
      <c r="W3" s="175"/>
      <c r="X3" s="175"/>
      <c r="Y3" s="175"/>
      <c r="Z3" s="175"/>
      <c r="AA3" s="175"/>
      <c r="AB3" s="175"/>
      <c r="AC3" s="174"/>
      <c r="AD3" s="176" t="s">
        <v>56</v>
      </c>
      <c r="AE3" s="176"/>
      <c r="AF3" s="176"/>
      <c r="AG3" s="176"/>
      <c r="AH3" s="176"/>
      <c r="AI3" s="176"/>
      <c r="AJ3" s="176"/>
    </row>
    <row ht="26" r="4" spans="1:36" x14ac:dyDescent="0.2">
      <c r="A4" s="177" t="s">
        <v>57</v>
      </c>
      <c r="B4" s="178" t="s">
        <v>58</v>
      </c>
      <c r="C4" s="177" t="s">
        <v>59</v>
      </c>
      <c r="D4" s="179" t="s">
        <v>60</v>
      </c>
      <c r="E4" s="180" t="s">
        <v>61</v>
      </c>
      <c r="F4" s="180" t="s">
        <v>62</v>
      </c>
      <c r="G4" s="180" t="s">
        <v>63</v>
      </c>
      <c r="H4" s="181" t="s">
        <v>64</v>
      </c>
      <c r="I4" s="180" t="s">
        <v>65</v>
      </c>
      <c r="J4" s="179" t="s">
        <v>66</v>
      </c>
      <c r="K4" s="179" t="s">
        <v>67</v>
      </c>
      <c r="L4" s="179" t="s">
        <v>68</v>
      </c>
      <c r="M4" s="182"/>
      <c r="N4" s="183" t="s">
        <v>69</v>
      </c>
      <c r="O4" s="184" t="s">
        <v>70</v>
      </c>
      <c r="P4" s="185" t="s">
        <v>71</v>
      </c>
      <c r="Q4" s="185" t="s">
        <v>72</v>
      </c>
      <c r="R4" s="186" t="s">
        <v>73</v>
      </c>
      <c r="S4" s="186" t="s">
        <v>74</v>
      </c>
      <c r="T4" s="186" t="s">
        <v>75</v>
      </c>
      <c r="U4" s="174"/>
      <c r="V4" s="187" t="s">
        <v>69</v>
      </c>
      <c r="W4" s="187" t="s">
        <v>70</v>
      </c>
      <c r="X4" s="188" t="s">
        <v>71</v>
      </c>
      <c r="Y4" s="188" t="s">
        <v>72</v>
      </c>
      <c r="Z4" s="189" t="s">
        <v>76</v>
      </c>
      <c r="AA4" s="189" t="s">
        <v>77</v>
      </c>
      <c r="AB4" s="189" t="s">
        <v>78</v>
      </c>
      <c r="AC4" s="174"/>
      <c r="AD4" s="190" t="s">
        <v>69</v>
      </c>
      <c r="AE4" s="190" t="s">
        <v>70</v>
      </c>
      <c r="AF4" s="191" t="s">
        <v>71</v>
      </c>
      <c r="AG4" s="191" t="s">
        <v>72</v>
      </c>
      <c r="AH4" s="192" t="s">
        <v>76</v>
      </c>
      <c r="AI4" s="192" t="s">
        <v>77</v>
      </c>
      <c r="AJ4" s="192" t="s">
        <v>78</v>
      </c>
    </row>
    <row customFormat="1" r="5" s="205" spans="1:36" x14ac:dyDescent="0.2">
      <c r="A5" s="193">
        <v>1</v>
      </c>
      <c r="B5" s="194">
        <v>1</v>
      </c>
      <c r="C5" s="195" t="s">
        <v>79</v>
      </c>
      <c r="D5" s="195">
        <v>1</v>
      </c>
      <c r="E5" s="195" t="s">
        <v>80</v>
      </c>
      <c r="F5" s="196">
        <v>43077</v>
      </c>
      <c r="G5" s="197" t="s">
        <v>8</v>
      </c>
      <c r="H5" s="198">
        <v>1750</v>
      </c>
      <c r="I5" s="196" t="s">
        <v>81</v>
      </c>
      <c r="J5" s="199">
        <v>2330</v>
      </c>
      <c r="K5" s="198">
        <v>2439</v>
      </c>
      <c r="L5" s="200">
        <v>0</v>
      </c>
      <c r="M5" s="201"/>
      <c r="N5" s="199">
        <v>1750</v>
      </c>
      <c r="O5" s="202">
        <v>3</v>
      </c>
      <c r="P5" s="203">
        <v>2.9</v>
      </c>
      <c r="Q5" s="203">
        <v>0.1</v>
      </c>
      <c r="R5" s="204">
        <v>2</v>
      </c>
      <c r="S5" s="203">
        <v>2</v>
      </c>
      <c r="T5" s="203">
        <v>0</v>
      </c>
      <c r="V5" s="198">
        <v>1750</v>
      </c>
      <c r="W5" s="202">
        <v>2.9</v>
      </c>
      <c r="X5" s="203">
        <v>2.9</v>
      </c>
      <c r="Y5" s="203">
        <v>0</v>
      </c>
      <c r="Z5" s="204">
        <v>2</v>
      </c>
      <c r="AA5" s="203">
        <v>2</v>
      </c>
      <c r="AB5" s="203">
        <v>0</v>
      </c>
      <c r="AD5" s="198">
        <v>1750</v>
      </c>
      <c r="AE5" s="202">
        <v>-0.10000000000000009</v>
      </c>
      <c r="AF5" s="203" t="s">
        <v>82</v>
      </c>
      <c r="AG5" s="203">
        <v>-0.1</v>
      </c>
      <c r="AH5" s="204" t="s">
        <v>82</v>
      </c>
      <c r="AI5" s="203" t="s">
        <v>82</v>
      </c>
      <c r="AJ5" s="203" t="s">
        <v>82</v>
      </c>
    </row>
    <row customFormat="1" r="6" s="205" spans="1:36" x14ac:dyDescent="0.2">
      <c r="A6" s="193">
        <v>2</v>
      </c>
      <c r="B6" s="194">
        <v>1</v>
      </c>
      <c r="C6" s="195" t="s">
        <v>79</v>
      </c>
      <c r="D6" s="195">
        <v>1</v>
      </c>
      <c r="E6" s="195" t="s">
        <v>80</v>
      </c>
      <c r="F6" s="196">
        <v>43084</v>
      </c>
      <c r="G6" s="197" t="s">
        <v>8</v>
      </c>
      <c r="H6" s="198">
        <v>1751</v>
      </c>
      <c r="I6" s="196" t="s">
        <v>81</v>
      </c>
      <c r="J6" s="199">
        <v>2415</v>
      </c>
      <c r="K6" s="198">
        <v>2524</v>
      </c>
      <c r="L6" s="200">
        <v>0</v>
      </c>
      <c r="M6" s="201"/>
      <c r="N6" s="199">
        <v>1751</v>
      </c>
      <c r="O6" s="202">
        <v>1.9</v>
      </c>
      <c r="P6" s="203">
        <v>1.9</v>
      </c>
      <c r="Q6" s="203">
        <v>0</v>
      </c>
      <c r="R6" s="204">
        <v>1.3</v>
      </c>
      <c r="S6" s="203">
        <v>1.2</v>
      </c>
      <c r="T6" s="203">
        <v>0.1</v>
      </c>
      <c r="V6" s="198">
        <v>1751</v>
      </c>
      <c r="W6" s="202">
        <v>1.9</v>
      </c>
      <c r="X6" s="203">
        <v>1.9</v>
      </c>
      <c r="Y6" s="203">
        <v>0</v>
      </c>
      <c r="Z6" s="204">
        <v>1.3</v>
      </c>
      <c r="AA6" s="203">
        <v>1.2</v>
      </c>
      <c r="AB6" s="203">
        <v>0.1</v>
      </c>
      <c r="AD6" s="198">
        <v>1751</v>
      </c>
      <c r="AE6" s="202" t="s">
        <v>82</v>
      </c>
      <c r="AF6" s="203" t="s">
        <v>82</v>
      </c>
      <c r="AG6" s="203" t="s">
        <v>82</v>
      </c>
      <c r="AH6" s="204" t="s">
        <v>82</v>
      </c>
      <c r="AI6" s="203" t="s">
        <v>82</v>
      </c>
      <c r="AJ6" s="203" t="s">
        <v>82</v>
      </c>
    </row>
    <row customFormat="1" r="7" s="205" spans="1:36" x14ac:dyDescent="0.2">
      <c r="A7" s="193">
        <v>3</v>
      </c>
      <c r="B7" s="194">
        <v>1</v>
      </c>
      <c r="C7" s="195" t="s">
        <v>79</v>
      </c>
      <c r="D7" s="195">
        <v>1</v>
      </c>
      <c r="E7" s="195" t="s">
        <v>80</v>
      </c>
      <c r="F7" s="196">
        <v>43091</v>
      </c>
      <c r="G7" s="197" t="s">
        <v>8</v>
      </c>
      <c r="H7" s="198">
        <v>1752</v>
      </c>
      <c r="I7" s="196" t="s">
        <v>81</v>
      </c>
      <c r="J7" s="199">
        <v>2400</v>
      </c>
      <c r="K7" s="198">
        <v>2459</v>
      </c>
      <c r="L7" s="200">
        <v>0</v>
      </c>
      <c r="M7" s="201"/>
      <c r="N7" s="199">
        <v>1752</v>
      </c>
      <c r="O7" s="202">
        <v>2.6</v>
      </c>
      <c r="P7" s="203">
        <v>2.5</v>
      </c>
      <c r="Q7" s="203">
        <v>0.1</v>
      </c>
      <c r="R7" s="204">
        <v>1.9</v>
      </c>
      <c r="S7" s="203">
        <v>1.8</v>
      </c>
      <c r="T7" s="203">
        <v>0.1</v>
      </c>
      <c r="V7" s="198">
        <v>1752</v>
      </c>
      <c r="W7" s="202">
        <v>2.5</v>
      </c>
      <c r="X7" s="203">
        <v>2.5</v>
      </c>
      <c r="Y7" s="203">
        <v>0</v>
      </c>
      <c r="Z7" s="204">
        <v>1.9</v>
      </c>
      <c r="AA7" s="203">
        <v>1.8</v>
      </c>
      <c r="AB7" s="203">
        <v>0.1</v>
      </c>
      <c r="AD7" s="198">
        <v>1752</v>
      </c>
      <c r="AE7" s="202">
        <v>-0.10000000000000009</v>
      </c>
      <c r="AF7" s="203" t="s">
        <v>82</v>
      </c>
      <c r="AG7" s="203">
        <v>-0.1</v>
      </c>
      <c r="AH7" s="204" t="s">
        <v>82</v>
      </c>
      <c r="AI7" s="203" t="s">
        <v>82</v>
      </c>
      <c r="AJ7" s="203" t="s">
        <v>82</v>
      </c>
    </row>
    <row customFormat="1" r="8" s="205" spans="1:36" x14ac:dyDescent="0.2">
      <c r="A8" s="193">
        <v>4</v>
      </c>
      <c r="B8" s="194">
        <v>1</v>
      </c>
      <c r="C8" s="195" t="s">
        <v>79</v>
      </c>
      <c r="D8" s="195">
        <v>1</v>
      </c>
      <c r="E8" s="195" t="s">
        <v>80</v>
      </c>
      <c r="F8" s="196">
        <v>43098</v>
      </c>
      <c r="G8" s="197" t="s">
        <v>8</v>
      </c>
      <c r="H8" s="198">
        <v>1753</v>
      </c>
      <c r="I8" s="196" t="s">
        <v>83</v>
      </c>
      <c r="J8" s="199">
        <v>2330</v>
      </c>
      <c r="K8" s="198">
        <v>2428</v>
      </c>
      <c r="L8" s="200">
        <v>1</v>
      </c>
      <c r="M8" s="201"/>
      <c r="N8" s="199">
        <v>1753</v>
      </c>
      <c r="O8" s="202">
        <v>3.6</v>
      </c>
      <c r="P8" s="203">
        <v>3.5</v>
      </c>
      <c r="Q8" s="203">
        <v>0.1</v>
      </c>
      <c r="R8" s="204">
        <v>4.4000000000000004</v>
      </c>
      <c r="S8" s="203">
        <v>2.4</v>
      </c>
      <c r="T8" s="203">
        <v>2</v>
      </c>
      <c r="V8" s="198">
        <v>1753</v>
      </c>
      <c r="W8" s="202">
        <v>3.5</v>
      </c>
      <c r="X8" s="203">
        <v>3.5</v>
      </c>
      <c r="Y8" s="203">
        <v>0</v>
      </c>
      <c r="Z8" s="204">
        <v>2.4</v>
      </c>
      <c r="AA8" s="203">
        <v>2.4</v>
      </c>
      <c r="AB8" s="203">
        <v>0</v>
      </c>
      <c r="AD8" s="198">
        <v>1753</v>
      </c>
      <c r="AE8" s="202">
        <v>-0.10000000000000009</v>
      </c>
      <c r="AF8" s="203" t="s">
        <v>82</v>
      </c>
      <c r="AG8" s="203">
        <v>-0.1</v>
      </c>
      <c r="AH8" s="204">
        <v>-2.0000000000000004</v>
      </c>
      <c r="AI8" s="203" t="s">
        <v>82</v>
      </c>
      <c r="AJ8" s="203">
        <v>-2</v>
      </c>
    </row>
    <row customFormat="1" r="9" s="205" spans="1:36" x14ac:dyDescent="0.2">
      <c r="A9" s="193">
        <v>5</v>
      </c>
      <c r="B9" s="194">
        <v>1</v>
      </c>
      <c r="C9" s="195" t="s">
        <v>79</v>
      </c>
      <c r="D9" s="195">
        <v>1</v>
      </c>
      <c r="E9" s="195" t="s">
        <v>80</v>
      </c>
      <c r="F9" s="196">
        <v>43138</v>
      </c>
      <c r="G9" s="197" t="s">
        <v>6</v>
      </c>
      <c r="H9" s="198">
        <v>1806</v>
      </c>
      <c r="I9" s="196" t="s">
        <v>81</v>
      </c>
      <c r="J9" s="199">
        <v>2300</v>
      </c>
      <c r="K9" s="198">
        <v>2358</v>
      </c>
      <c r="L9" s="200">
        <v>0</v>
      </c>
      <c r="M9" s="201"/>
      <c r="N9" s="199">
        <v>1806</v>
      </c>
      <c r="O9" s="202">
        <v>3.4</v>
      </c>
      <c r="P9" s="203">
        <v>3.3</v>
      </c>
      <c r="Q9" s="203">
        <v>0.1</v>
      </c>
      <c r="R9" s="204">
        <v>2.4</v>
      </c>
      <c r="S9" s="203">
        <v>2.4</v>
      </c>
      <c r="T9" s="203">
        <v>0</v>
      </c>
      <c r="V9" s="198">
        <v>1806</v>
      </c>
      <c r="W9" s="202">
        <v>3.4</v>
      </c>
      <c r="X9" s="203">
        <v>3.3</v>
      </c>
      <c r="Y9" s="203">
        <v>0.1</v>
      </c>
      <c r="Z9" s="204">
        <v>2.4</v>
      </c>
      <c r="AA9" s="203">
        <v>2.4</v>
      </c>
      <c r="AB9" s="203">
        <v>0</v>
      </c>
      <c r="AD9" s="198">
        <v>1806</v>
      </c>
      <c r="AE9" s="202" t="s">
        <v>82</v>
      </c>
      <c r="AF9" s="203" t="s">
        <v>82</v>
      </c>
      <c r="AG9" s="203" t="s">
        <v>82</v>
      </c>
      <c r="AH9" s="204" t="s">
        <v>82</v>
      </c>
      <c r="AI9" s="203" t="s">
        <v>82</v>
      </c>
      <c r="AJ9" s="203" t="s">
        <v>82</v>
      </c>
    </row>
    <row customFormat="1" r="10" s="205" spans="1:36" x14ac:dyDescent="0.2">
      <c r="A10" s="193">
        <v>6</v>
      </c>
      <c r="B10" s="194">
        <v>1</v>
      </c>
      <c r="C10" s="195" t="s">
        <v>79</v>
      </c>
      <c r="D10" s="195">
        <v>1</v>
      </c>
      <c r="E10" s="195" t="s">
        <v>80</v>
      </c>
      <c r="F10" s="196">
        <v>43145</v>
      </c>
      <c r="G10" s="197" t="s">
        <v>6</v>
      </c>
      <c r="H10" s="198">
        <v>1807</v>
      </c>
      <c r="I10" s="196" t="s">
        <v>81</v>
      </c>
      <c r="J10" s="199">
        <v>2300</v>
      </c>
      <c r="K10" s="198">
        <v>2408</v>
      </c>
      <c r="L10" s="200">
        <v>0</v>
      </c>
      <c r="M10" s="201"/>
      <c r="N10" s="199">
        <v>1807</v>
      </c>
      <c r="O10" s="202">
        <v>3.3</v>
      </c>
      <c r="P10" s="203">
        <v>3.2</v>
      </c>
      <c r="Q10" s="203">
        <v>0.1</v>
      </c>
      <c r="R10" s="204">
        <v>2.5</v>
      </c>
      <c r="S10" s="203">
        <v>2.5</v>
      </c>
      <c r="T10" s="203" t="s">
        <v>84</v>
      </c>
      <c r="V10" s="198">
        <v>1807</v>
      </c>
      <c r="W10" s="202">
        <v>3.2</v>
      </c>
      <c r="X10" s="203">
        <v>3.2</v>
      </c>
      <c r="Y10" s="203">
        <v>0</v>
      </c>
      <c r="Z10" s="204">
        <v>2.5</v>
      </c>
      <c r="AA10" s="203">
        <v>2.5</v>
      </c>
      <c r="AB10" s="203" t="s">
        <v>84</v>
      </c>
      <c r="AD10" s="198">
        <v>1807</v>
      </c>
      <c r="AE10" s="202">
        <v>-9.9999999999999645E-2</v>
      </c>
      <c r="AF10" s="203" t="s">
        <v>82</v>
      </c>
      <c r="AG10" s="203">
        <v>-0.1</v>
      </c>
      <c r="AH10" s="204" t="s">
        <v>82</v>
      </c>
      <c r="AI10" s="203" t="s">
        <v>82</v>
      </c>
      <c r="AJ10" s="203" t="s">
        <v>82</v>
      </c>
    </row>
    <row customFormat="1" r="11" s="205" spans="1:36" x14ac:dyDescent="0.2">
      <c r="A11" s="193">
        <v>7</v>
      </c>
      <c r="B11" s="194">
        <v>1</v>
      </c>
      <c r="C11" s="195" t="s">
        <v>79</v>
      </c>
      <c r="D11" s="195">
        <v>1</v>
      </c>
      <c r="E11" s="195" t="s">
        <v>80</v>
      </c>
      <c r="F11" s="196">
        <v>43149</v>
      </c>
      <c r="G11" s="197" t="s">
        <v>10</v>
      </c>
      <c r="H11" s="198">
        <v>1807</v>
      </c>
      <c r="I11" s="196" t="s">
        <v>85</v>
      </c>
      <c r="J11" s="199">
        <v>1800</v>
      </c>
      <c r="K11" s="198">
        <v>1854</v>
      </c>
      <c r="L11" s="200">
        <v>0</v>
      </c>
      <c r="M11" s="201"/>
      <c r="N11" s="199">
        <v>1807</v>
      </c>
      <c r="O11" s="202">
        <v>7.9</v>
      </c>
      <c r="P11" s="203">
        <v>7.9</v>
      </c>
      <c r="Q11" s="203">
        <v>0</v>
      </c>
      <c r="R11" s="204">
        <v>6.7</v>
      </c>
      <c r="S11" s="203">
        <v>6.7</v>
      </c>
      <c r="T11" s="203">
        <v>0</v>
      </c>
      <c r="V11" s="198">
        <v>1807</v>
      </c>
      <c r="W11" s="202">
        <v>7.9</v>
      </c>
      <c r="X11" s="203">
        <v>7.9</v>
      </c>
      <c r="Y11" s="203">
        <v>0</v>
      </c>
      <c r="Z11" s="204">
        <v>6.7</v>
      </c>
      <c r="AA11" s="203">
        <v>6.7</v>
      </c>
      <c r="AB11" s="203">
        <v>0</v>
      </c>
      <c r="AD11" s="198">
        <v>1807</v>
      </c>
      <c r="AE11" s="202" t="s">
        <v>82</v>
      </c>
      <c r="AF11" s="203" t="s">
        <v>82</v>
      </c>
      <c r="AG11" s="203" t="s">
        <v>82</v>
      </c>
      <c r="AH11" s="204" t="s">
        <v>82</v>
      </c>
      <c r="AI11" s="203" t="s">
        <v>82</v>
      </c>
      <c r="AJ11" s="203" t="s">
        <v>82</v>
      </c>
    </row>
    <row customFormat="1" r="12" s="205" spans="1:36" x14ac:dyDescent="0.2">
      <c r="A12" s="193">
        <v>8</v>
      </c>
      <c r="B12" s="194">
        <v>1</v>
      </c>
      <c r="C12" s="195" t="s">
        <v>79</v>
      </c>
      <c r="D12" s="195">
        <v>1</v>
      </c>
      <c r="E12" s="195" t="s">
        <v>80</v>
      </c>
      <c r="F12" s="196">
        <v>43152</v>
      </c>
      <c r="G12" s="197" t="s">
        <v>6</v>
      </c>
      <c r="H12" s="198">
        <v>1808</v>
      </c>
      <c r="I12" s="196" t="s">
        <v>81</v>
      </c>
      <c r="J12" s="199">
        <v>2300</v>
      </c>
      <c r="K12" s="198">
        <v>2408</v>
      </c>
      <c r="L12" s="200">
        <v>0</v>
      </c>
      <c r="M12" s="201"/>
      <c r="N12" s="199">
        <v>1808</v>
      </c>
      <c r="O12" s="202">
        <v>3</v>
      </c>
      <c r="P12" s="203">
        <v>3</v>
      </c>
      <c r="Q12" s="203">
        <v>0</v>
      </c>
      <c r="R12" s="204">
        <v>2.2999999999999998</v>
      </c>
      <c r="S12" s="203">
        <v>2.2999999999999998</v>
      </c>
      <c r="T12" s="203">
        <v>0</v>
      </c>
      <c r="V12" s="198">
        <v>1808</v>
      </c>
      <c r="W12" s="202">
        <v>3</v>
      </c>
      <c r="X12" s="203">
        <v>3</v>
      </c>
      <c r="Y12" s="203">
        <v>0</v>
      </c>
      <c r="Z12" s="204">
        <v>2.2999999999999998</v>
      </c>
      <c r="AA12" s="203">
        <v>2.2999999999999998</v>
      </c>
      <c r="AB12" s="203">
        <v>0</v>
      </c>
      <c r="AD12" s="198">
        <v>1808</v>
      </c>
      <c r="AE12" s="202" t="s">
        <v>82</v>
      </c>
      <c r="AF12" s="203" t="s">
        <v>82</v>
      </c>
      <c r="AG12" s="203" t="s">
        <v>82</v>
      </c>
      <c r="AH12" s="204" t="s">
        <v>82</v>
      </c>
      <c r="AI12" s="203" t="s">
        <v>82</v>
      </c>
      <c r="AJ12" s="203" t="s">
        <v>82</v>
      </c>
    </row>
    <row customFormat="1" r="13" s="205" spans="1:36" x14ac:dyDescent="0.2">
      <c r="A13" s="193">
        <v>9</v>
      </c>
      <c r="B13" s="194">
        <v>1</v>
      </c>
      <c r="C13" s="195" t="s">
        <v>79</v>
      </c>
      <c r="D13" s="195">
        <v>1</v>
      </c>
      <c r="E13" s="195" t="s">
        <v>80</v>
      </c>
      <c r="F13" s="196">
        <v>43156</v>
      </c>
      <c r="G13" s="197" t="s">
        <v>10</v>
      </c>
      <c r="H13" s="198">
        <v>1808</v>
      </c>
      <c r="I13" s="196" t="s">
        <v>85</v>
      </c>
      <c r="J13" s="199">
        <v>1800</v>
      </c>
      <c r="K13" s="198">
        <v>1854</v>
      </c>
      <c r="L13" s="200">
        <v>0</v>
      </c>
      <c r="M13" s="201"/>
      <c r="N13" s="199">
        <v>1808</v>
      </c>
      <c r="O13" s="202">
        <v>8</v>
      </c>
      <c r="P13" s="203">
        <v>8</v>
      </c>
      <c r="Q13" s="203">
        <v>0</v>
      </c>
      <c r="R13" s="204">
        <v>6.3</v>
      </c>
      <c r="S13" s="203">
        <v>6.3</v>
      </c>
      <c r="T13" s="203">
        <v>0</v>
      </c>
      <c r="V13" s="198">
        <v>1808</v>
      </c>
      <c r="W13" s="202">
        <v>8</v>
      </c>
      <c r="X13" s="203">
        <v>8</v>
      </c>
      <c r="Y13" s="203">
        <v>0</v>
      </c>
      <c r="Z13" s="204">
        <v>6.3</v>
      </c>
      <c r="AA13" s="203">
        <v>6.3</v>
      </c>
      <c r="AB13" s="203">
        <v>0</v>
      </c>
      <c r="AD13" s="198">
        <v>1808</v>
      </c>
      <c r="AE13" s="202" t="s">
        <v>82</v>
      </c>
      <c r="AF13" s="203" t="s">
        <v>82</v>
      </c>
      <c r="AG13" s="203" t="s">
        <v>82</v>
      </c>
      <c r="AH13" s="204" t="s">
        <v>82</v>
      </c>
      <c r="AI13" s="203" t="s">
        <v>82</v>
      </c>
      <c r="AJ13" s="203" t="s">
        <v>82</v>
      </c>
    </row>
    <row customFormat="1" r="14" s="205" spans="1:36" x14ac:dyDescent="0.2">
      <c r="A14" s="193">
        <v>10</v>
      </c>
      <c r="B14" s="194">
        <v>1</v>
      </c>
      <c r="C14" s="195" t="s">
        <v>79</v>
      </c>
      <c r="D14" s="195">
        <v>1</v>
      </c>
      <c r="E14" s="195" t="s">
        <v>80</v>
      </c>
      <c r="F14" s="196">
        <v>43159</v>
      </c>
      <c r="G14" s="197" t="s">
        <v>6</v>
      </c>
      <c r="H14" s="198">
        <v>1809</v>
      </c>
      <c r="I14" s="196" t="s">
        <v>81</v>
      </c>
      <c r="J14" s="199">
        <v>2300</v>
      </c>
      <c r="K14" s="198">
        <v>2358</v>
      </c>
      <c r="L14" s="200">
        <v>0</v>
      </c>
      <c r="M14" s="201"/>
      <c r="N14" s="199">
        <v>1809</v>
      </c>
      <c r="O14" s="202">
        <v>3.8</v>
      </c>
      <c r="P14" s="203">
        <v>3.8</v>
      </c>
      <c r="Q14" s="203">
        <v>0</v>
      </c>
      <c r="R14" s="204">
        <v>2.7</v>
      </c>
      <c r="S14" s="203">
        <v>2.7</v>
      </c>
      <c r="T14" s="203">
        <v>0</v>
      </c>
      <c r="V14" s="198">
        <v>1809</v>
      </c>
      <c r="W14" s="202">
        <v>3.8</v>
      </c>
      <c r="X14" s="203">
        <v>3.8</v>
      </c>
      <c r="Y14" s="203">
        <v>0</v>
      </c>
      <c r="Z14" s="204">
        <v>2.7</v>
      </c>
      <c r="AA14" s="203">
        <v>2.7</v>
      </c>
      <c r="AB14" s="203">
        <v>0</v>
      </c>
      <c r="AD14" s="198">
        <v>1809</v>
      </c>
      <c r="AE14" s="202" t="s">
        <v>82</v>
      </c>
      <c r="AF14" s="203" t="s">
        <v>82</v>
      </c>
      <c r="AG14" s="203" t="s">
        <v>82</v>
      </c>
      <c r="AH14" s="204" t="s">
        <v>82</v>
      </c>
      <c r="AI14" s="203" t="s">
        <v>82</v>
      </c>
      <c r="AJ14" s="203" t="s">
        <v>82</v>
      </c>
    </row>
    <row customFormat="1" r="15" s="205" spans="1:36" x14ac:dyDescent="0.2">
      <c r="A15" s="193">
        <v>11</v>
      </c>
      <c r="B15" s="194">
        <v>1</v>
      </c>
      <c r="C15" s="195" t="s">
        <v>79</v>
      </c>
      <c r="D15" s="195">
        <v>1</v>
      </c>
      <c r="E15" s="195" t="s">
        <v>80</v>
      </c>
      <c r="F15" s="196">
        <v>43163</v>
      </c>
      <c r="G15" s="197" t="s">
        <v>10</v>
      </c>
      <c r="H15" s="198">
        <v>1809</v>
      </c>
      <c r="I15" s="196" t="s">
        <v>85</v>
      </c>
      <c r="J15" s="199">
        <v>1800</v>
      </c>
      <c r="K15" s="198">
        <v>1854</v>
      </c>
      <c r="L15" s="200">
        <v>0</v>
      </c>
      <c r="M15" s="201"/>
      <c r="N15" s="199">
        <v>1809</v>
      </c>
      <c r="O15" s="202">
        <v>7.8</v>
      </c>
      <c r="P15" s="203">
        <v>7.7</v>
      </c>
      <c r="Q15" s="203">
        <v>0.1</v>
      </c>
      <c r="R15" s="204">
        <v>6.2</v>
      </c>
      <c r="S15" s="203">
        <v>6.2</v>
      </c>
      <c r="T15" s="203">
        <v>0</v>
      </c>
      <c r="V15" s="198">
        <v>1809</v>
      </c>
      <c r="W15" s="202">
        <v>7.7</v>
      </c>
      <c r="X15" s="203">
        <v>7.7</v>
      </c>
      <c r="Y15" s="203">
        <v>0</v>
      </c>
      <c r="Z15" s="204">
        <v>6.2</v>
      </c>
      <c r="AA15" s="203">
        <v>6.2</v>
      </c>
      <c r="AB15" s="203">
        <v>0</v>
      </c>
      <c r="AD15" s="198">
        <v>1809</v>
      </c>
      <c r="AE15" s="202">
        <v>-9.9999999999999645E-2</v>
      </c>
      <c r="AF15" s="203" t="s">
        <v>82</v>
      </c>
      <c r="AG15" s="203">
        <v>-0.1</v>
      </c>
      <c r="AH15" s="204" t="s">
        <v>82</v>
      </c>
      <c r="AI15" s="203" t="s">
        <v>82</v>
      </c>
      <c r="AJ15" s="203" t="s">
        <v>82</v>
      </c>
    </row>
    <row customFormat="1" r="16" s="205" spans="1:36" x14ac:dyDescent="0.2">
      <c r="A16" s="193">
        <v>12</v>
      </c>
      <c r="B16" s="194">
        <v>1</v>
      </c>
      <c r="C16" s="195" t="s">
        <v>79</v>
      </c>
      <c r="D16" s="195">
        <v>1</v>
      </c>
      <c r="E16" s="195" t="s">
        <v>80</v>
      </c>
      <c r="F16" s="196">
        <v>43170</v>
      </c>
      <c r="G16" s="197" t="s">
        <v>10</v>
      </c>
      <c r="H16" s="198">
        <v>1810</v>
      </c>
      <c r="I16" s="196" t="s">
        <v>85</v>
      </c>
      <c r="J16" s="199">
        <v>1800</v>
      </c>
      <c r="K16" s="198">
        <v>1854</v>
      </c>
      <c r="L16" s="200">
        <v>0</v>
      </c>
      <c r="M16" s="201"/>
      <c r="N16" s="199">
        <v>1810</v>
      </c>
      <c r="O16" s="202">
        <v>7.6</v>
      </c>
      <c r="P16" s="203">
        <v>7.5</v>
      </c>
      <c r="Q16" s="203">
        <v>0.1</v>
      </c>
      <c r="R16" s="204">
        <v>6.1</v>
      </c>
      <c r="S16" s="203">
        <v>6.1</v>
      </c>
      <c r="T16" s="203">
        <v>0</v>
      </c>
      <c r="V16" s="198">
        <v>1810</v>
      </c>
      <c r="W16" s="202">
        <v>7.5</v>
      </c>
      <c r="X16" s="203">
        <v>7.5</v>
      </c>
      <c r="Y16" s="203">
        <v>0</v>
      </c>
      <c r="Z16" s="204">
        <v>6.1</v>
      </c>
      <c r="AA16" s="203">
        <v>6.1</v>
      </c>
      <c r="AB16" s="203">
        <v>0</v>
      </c>
      <c r="AD16" s="198">
        <v>1810</v>
      </c>
      <c r="AE16" s="202">
        <v>-9.9999999999999645E-2</v>
      </c>
      <c r="AF16" s="203" t="s">
        <v>82</v>
      </c>
      <c r="AG16" s="203">
        <v>-0.1</v>
      </c>
      <c r="AH16" s="204" t="s">
        <v>82</v>
      </c>
      <c r="AI16" s="203" t="s">
        <v>82</v>
      </c>
      <c r="AJ16" s="203" t="s">
        <v>82</v>
      </c>
    </row>
    <row customFormat="1" r="17" s="205" spans="1:36" x14ac:dyDescent="0.2">
      <c r="A17" s="193">
        <v>13</v>
      </c>
      <c r="B17" s="194">
        <v>1</v>
      </c>
      <c r="C17" s="195" t="s">
        <v>79</v>
      </c>
      <c r="D17" s="195">
        <v>1</v>
      </c>
      <c r="E17" s="195" t="s">
        <v>80</v>
      </c>
      <c r="F17" s="196">
        <v>43628</v>
      </c>
      <c r="G17" s="197" t="s">
        <v>6</v>
      </c>
      <c r="H17" s="198">
        <v>1924</v>
      </c>
      <c r="I17" s="196" t="s">
        <v>86</v>
      </c>
      <c r="J17" s="199">
        <v>2359</v>
      </c>
      <c r="K17" s="198">
        <v>2453</v>
      </c>
      <c r="L17" s="200">
        <v>1</v>
      </c>
      <c r="M17" s="201"/>
      <c r="N17" s="199">
        <v>1924</v>
      </c>
      <c r="O17" s="202">
        <v>2.2000000000000002</v>
      </c>
      <c r="P17" s="203">
        <v>2</v>
      </c>
      <c r="Q17" s="203">
        <v>0.2</v>
      </c>
      <c r="R17" s="204">
        <v>2.4</v>
      </c>
      <c r="S17" s="203">
        <v>1.3</v>
      </c>
      <c r="T17" s="203">
        <v>1.1000000000000001</v>
      </c>
      <c r="V17" s="198">
        <v>1924</v>
      </c>
      <c r="W17" s="202">
        <v>2.1</v>
      </c>
      <c r="X17" s="203">
        <v>2</v>
      </c>
      <c r="Y17" s="203">
        <v>0.1</v>
      </c>
      <c r="Z17" s="204">
        <v>1.4</v>
      </c>
      <c r="AA17" s="203">
        <v>1.3</v>
      </c>
      <c r="AB17" s="203">
        <v>0.1</v>
      </c>
      <c r="AD17" s="198">
        <v>1924</v>
      </c>
      <c r="AE17" s="202">
        <v>-0.10000000000000009</v>
      </c>
      <c r="AF17" s="203" t="s">
        <v>82</v>
      </c>
      <c r="AG17" s="203">
        <v>-0.1</v>
      </c>
      <c r="AH17" s="204">
        <v>-1</v>
      </c>
      <c r="AI17" s="203" t="s">
        <v>82</v>
      </c>
      <c r="AJ17" s="203">
        <v>-1</v>
      </c>
    </row>
    <row customFormat="1" r="18" s="205" spans="1:36" x14ac:dyDescent="0.2">
      <c r="A18" s="193">
        <v>14</v>
      </c>
      <c r="B18" s="194">
        <v>1</v>
      </c>
      <c r="C18" s="195" t="s">
        <v>79</v>
      </c>
      <c r="D18" s="195">
        <v>1</v>
      </c>
      <c r="E18" s="195" t="s">
        <v>80</v>
      </c>
      <c r="F18" s="196">
        <v>43635</v>
      </c>
      <c r="G18" s="197" t="s">
        <v>6</v>
      </c>
      <c r="H18" s="198">
        <v>1925</v>
      </c>
      <c r="I18" s="196" t="s">
        <v>86</v>
      </c>
      <c r="J18" s="199">
        <v>2359</v>
      </c>
      <c r="K18" s="198">
        <v>2453</v>
      </c>
      <c r="L18" s="200">
        <v>1</v>
      </c>
      <c r="M18" s="201"/>
      <c r="N18" s="199">
        <v>1925</v>
      </c>
      <c r="O18" s="202">
        <v>2.2000000000000002</v>
      </c>
      <c r="P18" s="203">
        <v>2</v>
      </c>
      <c r="Q18" s="203">
        <v>0.2</v>
      </c>
      <c r="R18" s="204">
        <v>2.4</v>
      </c>
      <c r="S18" s="203">
        <v>1.3</v>
      </c>
      <c r="T18" s="203">
        <v>1.1000000000000001</v>
      </c>
      <c r="V18" s="198">
        <v>1925</v>
      </c>
      <c r="W18" s="202">
        <v>2.1</v>
      </c>
      <c r="X18" s="203">
        <v>2</v>
      </c>
      <c r="Y18" s="203">
        <v>0.1</v>
      </c>
      <c r="Z18" s="204">
        <v>1.4</v>
      </c>
      <c r="AA18" s="203">
        <v>1.3</v>
      </c>
      <c r="AB18" s="203">
        <v>0.1</v>
      </c>
      <c r="AD18" s="198">
        <v>1925</v>
      </c>
      <c r="AE18" s="202">
        <v>-0.10000000000000009</v>
      </c>
      <c r="AF18" s="203" t="s">
        <v>82</v>
      </c>
      <c r="AG18" s="203">
        <v>-0.1</v>
      </c>
      <c r="AH18" s="204">
        <v>-1</v>
      </c>
      <c r="AI18" s="203" t="s">
        <v>82</v>
      </c>
      <c r="AJ18" s="203">
        <v>-1</v>
      </c>
    </row>
    <row customFormat="1" r="19" s="205" spans="1:36" x14ac:dyDescent="0.2">
      <c r="A19" s="193">
        <v>15</v>
      </c>
      <c r="B19" s="194">
        <v>1</v>
      </c>
      <c r="C19" s="195" t="s">
        <v>79</v>
      </c>
      <c r="D19" s="195">
        <v>1</v>
      </c>
      <c r="E19" s="195" t="s">
        <v>80</v>
      </c>
      <c r="F19" s="196">
        <v>43642</v>
      </c>
      <c r="G19" s="197" t="s">
        <v>6</v>
      </c>
      <c r="H19" s="198">
        <v>1926</v>
      </c>
      <c r="I19" s="196" t="s">
        <v>86</v>
      </c>
      <c r="J19" s="199">
        <v>2359</v>
      </c>
      <c r="K19" s="198">
        <v>2453</v>
      </c>
      <c r="L19" s="200">
        <v>1</v>
      </c>
      <c r="M19" s="201"/>
      <c r="N19" s="199">
        <v>1926</v>
      </c>
      <c r="O19" s="202">
        <v>2.1</v>
      </c>
      <c r="P19" s="203">
        <v>1.9</v>
      </c>
      <c r="Q19" s="203">
        <v>0.2</v>
      </c>
      <c r="R19" s="204">
        <v>2.5</v>
      </c>
      <c r="S19" s="203">
        <v>1.4</v>
      </c>
      <c r="T19" s="203">
        <v>1.1000000000000001</v>
      </c>
      <c r="V19" s="198">
        <v>1926</v>
      </c>
      <c r="W19" s="202">
        <v>2</v>
      </c>
      <c r="X19" s="203">
        <v>1.9</v>
      </c>
      <c r="Y19" s="203">
        <v>0.1</v>
      </c>
      <c r="Z19" s="204">
        <v>1.4</v>
      </c>
      <c r="AA19" s="203">
        <v>1.4</v>
      </c>
      <c r="AB19" s="203">
        <v>0</v>
      </c>
      <c r="AD19" s="198">
        <v>1926</v>
      </c>
      <c r="AE19" s="202">
        <v>-0.10000000000000009</v>
      </c>
      <c r="AF19" s="203" t="s">
        <v>82</v>
      </c>
      <c r="AG19" s="203">
        <v>-0.1</v>
      </c>
      <c r="AH19" s="204">
        <v>-1.1000000000000001</v>
      </c>
      <c r="AI19" s="203" t="s">
        <v>82</v>
      </c>
      <c r="AJ19" s="203">
        <v>-1.1000000000000001</v>
      </c>
    </row>
    <row customFormat="1" r="20" s="205" spans="1:36" x14ac:dyDescent="0.2">
      <c r="A20" s="193">
        <v>16</v>
      </c>
      <c r="B20" s="194">
        <v>1</v>
      </c>
      <c r="C20" s="195" t="s">
        <v>79</v>
      </c>
      <c r="D20" s="195">
        <v>1</v>
      </c>
      <c r="E20" s="195" t="s">
        <v>80</v>
      </c>
      <c r="F20" s="196">
        <v>43649</v>
      </c>
      <c r="G20" s="197" t="s">
        <v>6</v>
      </c>
      <c r="H20" s="198">
        <v>1927</v>
      </c>
      <c r="I20" s="196" t="s">
        <v>86</v>
      </c>
      <c r="J20" s="199">
        <v>2359</v>
      </c>
      <c r="K20" s="198">
        <v>2453</v>
      </c>
      <c r="L20" s="200">
        <v>1</v>
      </c>
      <c r="M20" s="201"/>
      <c r="N20" s="199">
        <v>1927</v>
      </c>
      <c r="O20" s="202">
        <v>2</v>
      </c>
      <c r="P20" s="203">
        <v>1.9</v>
      </c>
      <c r="Q20" s="203">
        <v>0.1</v>
      </c>
      <c r="R20" s="204">
        <v>2.4</v>
      </c>
      <c r="S20" s="203">
        <v>1.4</v>
      </c>
      <c r="T20" s="203">
        <v>1</v>
      </c>
      <c r="V20" s="198">
        <v>1927</v>
      </c>
      <c r="W20" s="202">
        <v>2</v>
      </c>
      <c r="X20" s="203">
        <v>1.9</v>
      </c>
      <c r="Y20" s="203">
        <v>0.1</v>
      </c>
      <c r="Z20" s="204">
        <v>1.4</v>
      </c>
      <c r="AA20" s="203">
        <v>1.4</v>
      </c>
      <c r="AB20" s="203">
        <v>0</v>
      </c>
      <c r="AD20" s="198">
        <v>1927</v>
      </c>
      <c r="AE20" s="202" t="s">
        <v>82</v>
      </c>
      <c r="AF20" s="203" t="s">
        <v>82</v>
      </c>
      <c r="AG20" s="203" t="s">
        <v>82</v>
      </c>
      <c r="AH20" s="204">
        <v>-1</v>
      </c>
      <c r="AI20" s="203" t="s">
        <v>82</v>
      </c>
      <c r="AJ20" s="203">
        <v>-1</v>
      </c>
    </row>
    <row customFormat="1" r="21" s="205" spans="1:36" x14ac:dyDescent="0.2">
      <c r="A21" s="193">
        <v>17</v>
      </c>
      <c r="B21" s="194">
        <v>1</v>
      </c>
      <c r="C21" s="195" t="s">
        <v>79</v>
      </c>
      <c r="D21" s="195">
        <v>1</v>
      </c>
      <c r="E21" s="195" t="s">
        <v>80</v>
      </c>
      <c r="F21" s="196">
        <v>43778</v>
      </c>
      <c r="G21" s="197" t="s">
        <v>9</v>
      </c>
      <c r="H21" s="198">
        <v>1945</v>
      </c>
      <c r="I21" s="196" t="s">
        <v>87</v>
      </c>
      <c r="J21" s="199">
        <v>1900</v>
      </c>
      <c r="K21" s="198">
        <v>2053</v>
      </c>
      <c r="L21" s="200">
        <v>0</v>
      </c>
      <c r="M21" s="201"/>
      <c r="N21" s="199">
        <v>1945</v>
      </c>
      <c r="O21" s="202">
        <v>9</v>
      </c>
      <c r="P21" s="203">
        <v>8.9</v>
      </c>
      <c r="Q21" s="203">
        <v>0.1</v>
      </c>
      <c r="R21" s="204">
        <v>7.4</v>
      </c>
      <c r="S21" s="203">
        <v>7.2</v>
      </c>
      <c r="T21" s="203">
        <v>0.2</v>
      </c>
      <c r="V21" s="198">
        <v>1945</v>
      </c>
      <c r="W21" s="202">
        <v>9</v>
      </c>
      <c r="X21" s="203">
        <v>8.9</v>
      </c>
      <c r="Y21" s="203">
        <v>0.1</v>
      </c>
      <c r="Z21" s="204">
        <v>7.4</v>
      </c>
      <c r="AA21" s="203">
        <v>7.2</v>
      </c>
      <c r="AB21" s="203">
        <v>0.2</v>
      </c>
      <c r="AD21" s="198">
        <v>1945</v>
      </c>
      <c r="AE21" s="202" t="s">
        <v>82</v>
      </c>
      <c r="AF21" s="203" t="s">
        <v>82</v>
      </c>
      <c r="AG21" s="203" t="s">
        <v>82</v>
      </c>
      <c r="AH21" s="204" t="s">
        <v>82</v>
      </c>
      <c r="AI21" s="203" t="s">
        <v>82</v>
      </c>
      <c r="AJ21" s="203" t="s">
        <v>82</v>
      </c>
    </row>
    <row customFormat="1" r="22" s="205" spans="1:36" x14ac:dyDescent="0.2">
      <c r="A22" s="193">
        <v>18</v>
      </c>
      <c r="B22" s="194">
        <v>1</v>
      </c>
      <c r="C22" s="195" t="s">
        <v>79</v>
      </c>
      <c r="D22" s="195">
        <v>1</v>
      </c>
      <c r="E22" s="195" t="s">
        <v>80</v>
      </c>
      <c r="F22" s="196">
        <v>43785</v>
      </c>
      <c r="G22" s="197" t="s">
        <v>9</v>
      </c>
      <c r="H22" s="198">
        <v>1946</v>
      </c>
      <c r="I22" s="196" t="s">
        <v>88</v>
      </c>
      <c r="J22" s="199">
        <v>1900</v>
      </c>
      <c r="K22" s="198">
        <v>2053</v>
      </c>
      <c r="L22" s="200">
        <v>0</v>
      </c>
      <c r="M22" s="201"/>
      <c r="N22" s="199">
        <v>1946</v>
      </c>
      <c r="O22" s="202">
        <v>8.8000000000000007</v>
      </c>
      <c r="P22" s="203">
        <v>8.6999999999999993</v>
      </c>
      <c r="Q22" s="203">
        <v>0.1</v>
      </c>
      <c r="R22" s="204">
        <v>7.8</v>
      </c>
      <c r="S22" s="203">
        <v>7.5</v>
      </c>
      <c r="T22" s="203">
        <v>0.3</v>
      </c>
      <c r="V22" s="198">
        <v>1946</v>
      </c>
      <c r="W22" s="202">
        <v>8.8000000000000007</v>
      </c>
      <c r="X22" s="203">
        <v>8.6999999999999993</v>
      </c>
      <c r="Y22" s="203">
        <v>0.1</v>
      </c>
      <c r="Z22" s="204">
        <v>7.8</v>
      </c>
      <c r="AA22" s="203">
        <v>7.5</v>
      </c>
      <c r="AB22" s="203">
        <v>0.3</v>
      </c>
      <c r="AD22" s="198">
        <v>1946</v>
      </c>
      <c r="AE22" s="202"/>
      <c r="AF22" s="203" t="s">
        <v>82</v>
      </c>
      <c r="AG22" s="203" t="s">
        <v>82</v>
      </c>
      <c r="AH22" s="204" t="s">
        <v>82</v>
      </c>
      <c r="AI22" s="203" t="s">
        <v>82</v>
      </c>
      <c r="AJ22" s="203" t="s">
        <v>82</v>
      </c>
    </row>
    <row customFormat="1" r="23" s="205" spans="1:36" x14ac:dyDescent="0.2">
      <c r="A23" s="193">
        <v>19</v>
      </c>
      <c r="B23" s="194">
        <v>1</v>
      </c>
      <c r="C23" s="195" t="s">
        <v>79</v>
      </c>
      <c r="D23" s="195">
        <v>1</v>
      </c>
      <c r="E23" s="195" t="s">
        <v>80</v>
      </c>
      <c r="F23" s="196">
        <v>43792</v>
      </c>
      <c r="G23" s="197" t="s">
        <v>9</v>
      </c>
      <c r="H23" s="198">
        <v>1947</v>
      </c>
      <c r="I23" s="196" t="s">
        <v>89</v>
      </c>
      <c r="J23" s="199">
        <v>1900</v>
      </c>
      <c r="K23" s="198">
        <v>1955</v>
      </c>
      <c r="L23" s="200">
        <v>0</v>
      </c>
      <c r="M23" s="201"/>
      <c r="N23" s="199">
        <v>1947</v>
      </c>
      <c r="O23" s="202">
        <v>8.9</v>
      </c>
      <c r="P23" s="203">
        <v>8.6</v>
      </c>
      <c r="Q23" s="203">
        <v>0.3</v>
      </c>
      <c r="R23" s="204">
        <v>8.9</v>
      </c>
      <c r="S23" s="203">
        <v>8.9</v>
      </c>
      <c r="T23" s="203" t="s">
        <v>84</v>
      </c>
      <c r="V23" s="198">
        <v>1947</v>
      </c>
      <c r="W23" s="202">
        <v>8.9</v>
      </c>
      <c r="X23" s="203">
        <v>8.6</v>
      </c>
      <c r="Y23" s="203">
        <v>0.3</v>
      </c>
      <c r="Z23" s="204">
        <v>8.9</v>
      </c>
      <c r="AA23" s="203">
        <v>8.9</v>
      </c>
      <c r="AB23" s="203" t="s">
        <v>84</v>
      </c>
      <c r="AD23" s="198">
        <v>1947</v>
      </c>
      <c r="AE23" s="202" t="s">
        <v>82</v>
      </c>
      <c r="AF23" s="203" t="s">
        <v>82</v>
      </c>
      <c r="AG23" s="203" t="s">
        <v>82</v>
      </c>
      <c r="AH23" s="204" t="s">
        <v>82</v>
      </c>
      <c r="AI23" s="203" t="s">
        <v>82</v>
      </c>
      <c r="AJ23" s="203" t="s">
        <v>82</v>
      </c>
    </row>
    <row customFormat="1" r="24" s="205" spans="1:36" x14ac:dyDescent="0.2">
      <c r="A24" s="193">
        <v>20</v>
      </c>
      <c r="B24" s="194">
        <v>1</v>
      </c>
      <c r="C24" s="195" t="s">
        <v>79</v>
      </c>
      <c r="D24" s="195">
        <v>1</v>
      </c>
      <c r="E24" s="195" t="s">
        <v>80</v>
      </c>
      <c r="F24" s="196">
        <v>43799</v>
      </c>
      <c r="G24" s="197" t="s">
        <v>9</v>
      </c>
      <c r="H24" s="198">
        <v>1948</v>
      </c>
      <c r="I24" s="196" t="s">
        <v>89</v>
      </c>
      <c r="J24" s="199">
        <v>1900</v>
      </c>
      <c r="K24" s="198">
        <v>1955</v>
      </c>
      <c r="L24" s="200">
        <v>0</v>
      </c>
      <c r="M24" s="201"/>
      <c r="N24" s="199">
        <v>1948</v>
      </c>
      <c r="O24" s="202">
        <v>8.8000000000000007</v>
      </c>
      <c r="P24" s="203">
        <v>8.5</v>
      </c>
      <c r="Q24" s="203">
        <v>0.3</v>
      </c>
      <c r="R24" s="204">
        <v>9.1</v>
      </c>
      <c r="S24" s="203">
        <v>9.1</v>
      </c>
      <c r="T24" s="203" t="s">
        <v>84</v>
      </c>
      <c r="V24" s="198">
        <v>1948</v>
      </c>
      <c r="W24" s="202">
        <v>8.8000000000000007</v>
      </c>
      <c r="X24" s="203">
        <v>8.5</v>
      </c>
      <c r="Y24" s="203">
        <v>0.3</v>
      </c>
      <c r="Z24" s="204">
        <v>9.1</v>
      </c>
      <c r="AA24" s="203">
        <v>9.1</v>
      </c>
      <c r="AB24" s="203" t="s">
        <v>84</v>
      </c>
      <c r="AD24" s="198">
        <v>1948</v>
      </c>
      <c r="AE24" s="202" t="s">
        <v>82</v>
      </c>
      <c r="AF24" s="203" t="s">
        <v>82</v>
      </c>
      <c r="AG24" s="203" t="s">
        <v>82</v>
      </c>
      <c r="AH24" s="204" t="s">
        <v>82</v>
      </c>
      <c r="AI24" s="203" t="s">
        <v>82</v>
      </c>
      <c r="AJ24" s="203" t="s">
        <v>82</v>
      </c>
    </row>
    <row customFormat="1" r="25" s="205" spans="1:36" x14ac:dyDescent="0.2">
      <c r="A25" s="193">
        <v>21</v>
      </c>
      <c r="B25" s="194">
        <v>1</v>
      </c>
      <c r="C25" s="195" t="s">
        <v>79</v>
      </c>
      <c r="D25" s="195">
        <v>1</v>
      </c>
      <c r="E25" s="195" t="s">
        <v>80</v>
      </c>
      <c r="F25" s="196">
        <v>44037</v>
      </c>
      <c r="G25" s="197" t="s">
        <v>9</v>
      </c>
      <c r="H25" s="198">
        <v>2030</v>
      </c>
      <c r="I25" s="196" t="s">
        <v>90</v>
      </c>
      <c r="J25" s="199">
        <v>2254</v>
      </c>
      <c r="K25" s="198">
        <v>2259</v>
      </c>
      <c r="L25" s="200">
        <v>0</v>
      </c>
      <c r="M25" s="201"/>
      <c r="N25" s="199">
        <v>2030</v>
      </c>
      <c r="O25" s="202">
        <v>3.1</v>
      </c>
      <c r="P25" s="203">
        <v>3.1</v>
      </c>
      <c r="Q25" s="203">
        <v>0</v>
      </c>
      <c r="R25" s="204">
        <v>2.9</v>
      </c>
      <c r="S25" s="203">
        <v>2.9</v>
      </c>
      <c r="T25" s="203">
        <v>0</v>
      </c>
      <c r="V25" s="198">
        <v>2030</v>
      </c>
      <c r="W25" s="202">
        <v>3.1</v>
      </c>
      <c r="X25" s="203">
        <v>3.1</v>
      </c>
      <c r="Y25" s="203">
        <v>0</v>
      </c>
      <c r="Z25" s="204">
        <v>2.9</v>
      </c>
      <c r="AA25" s="203">
        <v>2.9</v>
      </c>
      <c r="AB25" s="203">
        <v>0</v>
      </c>
      <c r="AD25" s="198">
        <v>2030</v>
      </c>
      <c r="AE25" s="202" t="s">
        <v>82</v>
      </c>
      <c r="AF25" s="203" t="s">
        <v>82</v>
      </c>
      <c r="AG25" s="203" t="s">
        <v>82</v>
      </c>
      <c r="AH25" s="204" t="s">
        <v>82</v>
      </c>
      <c r="AI25" s="203" t="s">
        <v>82</v>
      </c>
      <c r="AJ25" s="203" t="s">
        <v>82</v>
      </c>
    </row>
    <row customFormat="1" r="26" s="205" spans="1:36" x14ac:dyDescent="0.2">
      <c r="A26" s="193">
        <v>22</v>
      </c>
      <c r="B26" s="194">
        <v>1</v>
      </c>
      <c r="C26" s="195" t="s">
        <v>79</v>
      </c>
      <c r="D26" s="195">
        <v>1</v>
      </c>
      <c r="E26" s="195" t="s">
        <v>80</v>
      </c>
      <c r="F26" s="196">
        <v>44044</v>
      </c>
      <c r="G26" s="197" t="s">
        <v>9</v>
      </c>
      <c r="H26" s="198">
        <v>2031</v>
      </c>
      <c r="I26" s="196" t="s">
        <v>90</v>
      </c>
      <c r="J26" s="199">
        <v>2254</v>
      </c>
      <c r="K26" s="198">
        <v>2259</v>
      </c>
      <c r="L26" s="200">
        <v>0</v>
      </c>
      <c r="M26" s="201"/>
      <c r="N26" s="199">
        <v>2031</v>
      </c>
      <c r="O26" s="202">
        <v>2.9</v>
      </c>
      <c r="P26" s="203">
        <v>2.9</v>
      </c>
      <c r="Q26" s="203">
        <v>0</v>
      </c>
      <c r="R26" s="204">
        <v>2.7</v>
      </c>
      <c r="S26" s="203">
        <v>2.7</v>
      </c>
      <c r="T26" s="203">
        <v>0</v>
      </c>
      <c r="V26" s="198">
        <v>2031</v>
      </c>
      <c r="W26" s="202">
        <v>2.9</v>
      </c>
      <c r="X26" s="203">
        <v>2.9</v>
      </c>
      <c r="Y26" s="203">
        <v>0</v>
      </c>
      <c r="Z26" s="204">
        <v>2.7</v>
      </c>
      <c r="AA26" s="203">
        <v>2.7</v>
      </c>
      <c r="AB26" s="203">
        <v>0</v>
      </c>
      <c r="AD26" s="198">
        <v>2031</v>
      </c>
      <c r="AE26" s="202" t="s">
        <v>82</v>
      </c>
      <c r="AF26" s="203" t="s">
        <v>82</v>
      </c>
      <c r="AG26" s="203" t="s">
        <v>82</v>
      </c>
      <c r="AH26" s="204" t="s">
        <v>82</v>
      </c>
      <c r="AI26" s="203" t="s">
        <v>82</v>
      </c>
      <c r="AJ26" s="203" t="s">
        <v>82</v>
      </c>
    </row>
    <row customFormat="1" r="27" s="205" spans="1:36" x14ac:dyDescent="0.2">
      <c r="A27" s="193">
        <v>23</v>
      </c>
      <c r="B27" s="194">
        <v>1</v>
      </c>
      <c r="C27" s="195" t="s">
        <v>79</v>
      </c>
      <c r="D27" s="195">
        <v>1</v>
      </c>
      <c r="E27" s="195" t="s">
        <v>80</v>
      </c>
      <c r="F27" s="196">
        <v>44051</v>
      </c>
      <c r="G27" s="197" t="s">
        <v>9</v>
      </c>
      <c r="H27" s="198">
        <v>2032</v>
      </c>
      <c r="I27" s="196" t="s">
        <v>90</v>
      </c>
      <c r="J27" s="199">
        <v>2254</v>
      </c>
      <c r="K27" s="198">
        <v>2259</v>
      </c>
      <c r="L27" s="200">
        <v>0</v>
      </c>
      <c r="M27" s="201"/>
      <c r="N27" s="199">
        <v>2032</v>
      </c>
      <c r="O27" s="202">
        <v>3.1</v>
      </c>
      <c r="P27" s="203">
        <v>3.1</v>
      </c>
      <c r="Q27" s="203">
        <v>0</v>
      </c>
      <c r="R27" s="204">
        <v>2.9</v>
      </c>
      <c r="S27" s="203">
        <v>2.9</v>
      </c>
      <c r="T27" s="203">
        <v>0</v>
      </c>
      <c r="V27" s="198">
        <v>2032</v>
      </c>
      <c r="W27" s="202">
        <v>3.1</v>
      </c>
      <c r="X27" s="203">
        <v>3.1</v>
      </c>
      <c r="Y27" s="203">
        <v>0</v>
      </c>
      <c r="Z27" s="204">
        <v>2.9</v>
      </c>
      <c r="AA27" s="203">
        <v>2.9</v>
      </c>
      <c r="AB27" s="203">
        <v>0</v>
      </c>
      <c r="AD27" s="198">
        <v>2032</v>
      </c>
      <c r="AE27" s="202" t="s">
        <v>82</v>
      </c>
      <c r="AF27" s="203" t="s">
        <v>82</v>
      </c>
      <c r="AG27" s="203" t="s">
        <v>82</v>
      </c>
      <c r="AH27" s="204" t="s">
        <v>82</v>
      </c>
      <c r="AI27" s="203" t="s">
        <v>82</v>
      </c>
      <c r="AJ27" s="203" t="s">
        <v>82</v>
      </c>
    </row>
    <row customFormat="1" r="28" s="205" spans="1:36" x14ac:dyDescent="0.2">
      <c r="A28" s="193">
        <v>24</v>
      </c>
      <c r="B28" s="194">
        <v>1</v>
      </c>
      <c r="C28" s="195" t="s">
        <v>79</v>
      </c>
      <c r="D28" s="195">
        <v>1</v>
      </c>
      <c r="E28" s="195" t="s">
        <v>80</v>
      </c>
      <c r="F28" s="196">
        <v>44058</v>
      </c>
      <c r="G28" s="197" t="s">
        <v>9</v>
      </c>
      <c r="H28" s="198">
        <v>2033</v>
      </c>
      <c r="I28" s="196" t="s">
        <v>90</v>
      </c>
      <c r="J28" s="199">
        <v>2254</v>
      </c>
      <c r="K28" s="198">
        <v>2259</v>
      </c>
      <c r="L28" s="200">
        <v>0</v>
      </c>
      <c r="M28" s="201"/>
      <c r="N28" s="199">
        <v>2033</v>
      </c>
      <c r="O28" s="202">
        <v>3.1</v>
      </c>
      <c r="P28" s="203">
        <v>3.1</v>
      </c>
      <c r="Q28" s="203">
        <v>0</v>
      </c>
      <c r="R28" s="204">
        <v>2.9</v>
      </c>
      <c r="S28" s="203">
        <v>2.9</v>
      </c>
      <c r="T28" s="203">
        <v>0</v>
      </c>
      <c r="V28" s="198">
        <v>2033</v>
      </c>
      <c r="W28" s="202">
        <v>3.1</v>
      </c>
      <c r="X28" s="203">
        <v>3.1</v>
      </c>
      <c r="Y28" s="203">
        <v>0</v>
      </c>
      <c r="Z28" s="204">
        <v>2.9</v>
      </c>
      <c r="AA28" s="203">
        <v>2.9</v>
      </c>
      <c r="AB28" s="203">
        <v>0</v>
      </c>
      <c r="AD28" s="198">
        <v>2033</v>
      </c>
      <c r="AE28" s="202" t="s">
        <v>82</v>
      </c>
      <c r="AF28" s="203" t="s">
        <v>82</v>
      </c>
      <c r="AG28" s="203" t="s">
        <v>82</v>
      </c>
      <c r="AH28" s="204" t="s">
        <v>82</v>
      </c>
      <c r="AI28" s="203" t="s">
        <v>82</v>
      </c>
      <c r="AJ28" s="203" t="s">
        <v>82</v>
      </c>
    </row>
    <row customFormat="1" r="29" s="205" spans="1:36" x14ac:dyDescent="0.2">
      <c r="A29" s="193">
        <v>25</v>
      </c>
      <c r="B29" s="194">
        <v>1</v>
      </c>
      <c r="C29" s="195" t="s">
        <v>79</v>
      </c>
      <c r="D29" s="195">
        <v>1</v>
      </c>
      <c r="E29" s="195" t="s">
        <v>80</v>
      </c>
      <c r="F29" s="196">
        <v>44482</v>
      </c>
      <c r="G29" s="197" t="s">
        <v>6</v>
      </c>
      <c r="H29" s="198">
        <v>2142</v>
      </c>
      <c r="I29" s="196" t="s">
        <v>91</v>
      </c>
      <c r="J29" s="199">
        <v>1650</v>
      </c>
      <c r="K29" s="198">
        <v>1752</v>
      </c>
      <c r="L29" s="200">
        <v>0</v>
      </c>
      <c r="M29" s="201"/>
      <c r="N29" s="199">
        <v>2142</v>
      </c>
      <c r="O29" s="202">
        <v>3.8</v>
      </c>
      <c r="P29" s="203">
        <v>3.7</v>
      </c>
      <c r="Q29" s="203">
        <v>0.1</v>
      </c>
      <c r="R29" s="204">
        <v>4.5</v>
      </c>
      <c r="S29" s="203">
        <v>4.5</v>
      </c>
      <c r="T29" s="203" t="s">
        <v>84</v>
      </c>
      <c r="V29" s="198">
        <v>2142</v>
      </c>
      <c r="W29" s="202">
        <v>3.7</v>
      </c>
      <c r="X29" s="203">
        <v>3.7</v>
      </c>
      <c r="Y29" s="203">
        <v>0</v>
      </c>
      <c r="Z29" s="204">
        <v>4.5</v>
      </c>
      <c r="AA29" s="203">
        <v>4.5</v>
      </c>
      <c r="AB29" s="203" t="s">
        <v>84</v>
      </c>
      <c r="AD29" s="198">
        <v>2142</v>
      </c>
      <c r="AE29" s="202">
        <v>-9.9999999999999645E-2</v>
      </c>
      <c r="AF29" s="203" t="s">
        <v>82</v>
      </c>
      <c r="AG29" s="203">
        <v>-0.1</v>
      </c>
      <c r="AH29" s="204" t="s">
        <v>82</v>
      </c>
      <c r="AI29" s="203" t="s">
        <v>82</v>
      </c>
      <c r="AJ29" s="203" t="s">
        <v>82</v>
      </c>
    </row>
    <row customFormat="1" r="30" s="205" spans="1:36" x14ac:dyDescent="0.2">
      <c r="A30" s="193">
        <v>26</v>
      </c>
      <c r="B30" s="194">
        <v>1</v>
      </c>
      <c r="C30" s="195" t="s">
        <v>79</v>
      </c>
      <c r="D30" s="195">
        <v>1</v>
      </c>
      <c r="E30" s="195" t="s">
        <v>80</v>
      </c>
      <c r="F30" s="196">
        <v>44489</v>
      </c>
      <c r="G30" s="197" t="s">
        <v>6</v>
      </c>
      <c r="H30" s="198">
        <v>2143</v>
      </c>
      <c r="I30" s="196" t="s">
        <v>91</v>
      </c>
      <c r="J30" s="199">
        <v>1650</v>
      </c>
      <c r="K30" s="198">
        <v>1752</v>
      </c>
      <c r="L30" s="200">
        <v>0</v>
      </c>
      <c r="M30" s="201"/>
      <c r="N30" s="199">
        <v>2143</v>
      </c>
      <c r="O30" s="202">
        <v>4</v>
      </c>
      <c r="P30" s="203">
        <v>3.9</v>
      </c>
      <c r="Q30" s="203">
        <v>0.1</v>
      </c>
      <c r="R30" s="204">
        <v>4.9000000000000004</v>
      </c>
      <c r="S30" s="203">
        <v>4.9000000000000004</v>
      </c>
      <c r="T30" s="203" t="s">
        <v>84</v>
      </c>
      <c r="V30" s="198">
        <v>2143</v>
      </c>
      <c r="W30" s="202">
        <v>3.9</v>
      </c>
      <c r="X30" s="203">
        <v>3.9</v>
      </c>
      <c r="Y30" s="203">
        <v>0</v>
      </c>
      <c r="Z30" s="204">
        <v>4.9000000000000004</v>
      </c>
      <c r="AA30" s="203">
        <v>4.9000000000000004</v>
      </c>
      <c r="AB30" s="203" t="s">
        <v>84</v>
      </c>
      <c r="AD30" s="198">
        <v>2143</v>
      </c>
      <c r="AE30" s="202">
        <v>-0.10000000000000009</v>
      </c>
      <c r="AF30" s="203" t="s">
        <v>82</v>
      </c>
      <c r="AG30" s="203">
        <v>-0.1</v>
      </c>
      <c r="AH30" s="204" t="s">
        <v>82</v>
      </c>
      <c r="AI30" s="203" t="s">
        <v>82</v>
      </c>
      <c r="AJ30" s="203" t="s">
        <v>82</v>
      </c>
    </row>
    <row customFormat="1" r="31" s="205" spans="1:36" x14ac:dyDescent="0.2">
      <c r="A31" s="193">
        <v>27</v>
      </c>
      <c r="B31" s="194">
        <v>1</v>
      </c>
      <c r="C31" s="195" t="s">
        <v>79</v>
      </c>
      <c r="D31" s="195">
        <v>1</v>
      </c>
      <c r="E31" s="195" t="s">
        <v>80</v>
      </c>
      <c r="F31" s="196">
        <v>44492</v>
      </c>
      <c r="G31" s="197" t="s">
        <v>9</v>
      </c>
      <c r="H31" s="198">
        <v>2143</v>
      </c>
      <c r="I31" s="196" t="s">
        <v>92</v>
      </c>
      <c r="J31" s="199">
        <v>2631</v>
      </c>
      <c r="K31" s="198">
        <v>2730</v>
      </c>
      <c r="L31" s="200">
        <v>0</v>
      </c>
      <c r="M31" s="201"/>
      <c r="N31" s="199">
        <v>2143</v>
      </c>
      <c r="O31" s="202">
        <v>0.3</v>
      </c>
      <c r="P31" s="203">
        <v>0.3</v>
      </c>
      <c r="Q31" s="203">
        <v>0</v>
      </c>
      <c r="R31" s="204">
        <v>0.3</v>
      </c>
      <c r="S31" s="203">
        <v>0.3</v>
      </c>
      <c r="T31" s="203">
        <v>0</v>
      </c>
      <c r="V31" s="198">
        <v>2143</v>
      </c>
      <c r="W31" s="202">
        <v>0.3</v>
      </c>
      <c r="X31" s="203">
        <v>0.3</v>
      </c>
      <c r="Y31" s="203">
        <v>0</v>
      </c>
      <c r="Z31" s="204">
        <v>0.3</v>
      </c>
      <c r="AA31" s="203">
        <v>0.3</v>
      </c>
      <c r="AB31" s="203">
        <v>0</v>
      </c>
      <c r="AD31" s="198">
        <v>2143</v>
      </c>
      <c r="AE31" s="202" t="s">
        <v>82</v>
      </c>
      <c r="AF31" s="203" t="s">
        <v>82</v>
      </c>
      <c r="AG31" s="203" t="s">
        <v>82</v>
      </c>
      <c r="AH31" s="204" t="s">
        <v>82</v>
      </c>
      <c r="AI31" s="203" t="s">
        <v>82</v>
      </c>
      <c r="AJ31" s="203" t="s">
        <v>82</v>
      </c>
    </row>
    <row customFormat="1" r="32" s="205" spans="1:36" x14ac:dyDescent="0.2">
      <c r="A32" s="193">
        <v>28</v>
      </c>
      <c r="B32" s="194">
        <v>1</v>
      </c>
      <c r="C32" s="195" t="s">
        <v>79</v>
      </c>
      <c r="D32" s="195">
        <v>1</v>
      </c>
      <c r="E32" s="195" t="s">
        <v>80</v>
      </c>
      <c r="F32" s="196">
        <v>44496</v>
      </c>
      <c r="G32" s="197" t="s">
        <v>6</v>
      </c>
      <c r="H32" s="198">
        <v>2144</v>
      </c>
      <c r="I32" s="196" t="s">
        <v>91</v>
      </c>
      <c r="J32" s="199">
        <v>1650</v>
      </c>
      <c r="K32" s="198">
        <v>1752</v>
      </c>
      <c r="L32" s="200">
        <v>0</v>
      </c>
      <c r="M32" s="201"/>
      <c r="N32" s="199">
        <v>2144</v>
      </c>
      <c r="O32" s="202">
        <v>4.2</v>
      </c>
      <c r="P32" s="203">
        <v>4.0999999999999996</v>
      </c>
      <c r="Q32" s="203">
        <v>0.1</v>
      </c>
      <c r="R32" s="204">
        <v>5.0999999999999996</v>
      </c>
      <c r="S32" s="203">
        <v>5.0999999999999996</v>
      </c>
      <c r="T32" s="203" t="s">
        <v>84</v>
      </c>
      <c r="V32" s="198">
        <v>2144</v>
      </c>
      <c r="W32" s="202">
        <v>4.0999999999999996</v>
      </c>
      <c r="X32" s="203">
        <v>4.0999999999999996</v>
      </c>
      <c r="Y32" s="203">
        <v>0</v>
      </c>
      <c r="Z32" s="204">
        <v>5.0999999999999996</v>
      </c>
      <c r="AA32" s="203">
        <v>5.0999999999999996</v>
      </c>
      <c r="AB32" s="203" t="s">
        <v>84</v>
      </c>
      <c r="AD32" s="198">
        <v>2144</v>
      </c>
      <c r="AE32" s="202">
        <v>-0.10000000000000053</v>
      </c>
      <c r="AF32" s="203" t="s">
        <v>82</v>
      </c>
      <c r="AG32" s="203">
        <v>-0.1</v>
      </c>
      <c r="AH32" s="204" t="s">
        <v>82</v>
      </c>
      <c r="AI32" s="203" t="s">
        <v>82</v>
      </c>
      <c r="AJ32" s="203" t="s">
        <v>82</v>
      </c>
    </row>
    <row customFormat="1" r="33" s="205" spans="1:36" x14ac:dyDescent="0.2">
      <c r="A33" s="193">
        <v>29</v>
      </c>
      <c r="B33" s="194">
        <v>1</v>
      </c>
      <c r="C33" s="195" t="s">
        <v>79</v>
      </c>
      <c r="D33" s="195">
        <v>1</v>
      </c>
      <c r="E33" s="195" t="s">
        <v>80</v>
      </c>
      <c r="F33" s="196">
        <v>44499</v>
      </c>
      <c r="G33" s="197" t="s">
        <v>9</v>
      </c>
      <c r="H33" s="198">
        <v>2144</v>
      </c>
      <c r="I33" s="196" t="s">
        <v>92</v>
      </c>
      <c r="J33" s="199">
        <v>2636</v>
      </c>
      <c r="K33" s="198">
        <v>2735</v>
      </c>
      <c r="L33" s="200">
        <v>0</v>
      </c>
      <c r="M33" s="201"/>
      <c r="N33" s="199">
        <v>2144</v>
      </c>
      <c r="O33" s="202">
        <v>0.3</v>
      </c>
      <c r="P33" s="203">
        <v>0.3</v>
      </c>
      <c r="Q33" s="203">
        <v>0</v>
      </c>
      <c r="R33" s="204">
        <v>0.3</v>
      </c>
      <c r="S33" s="203">
        <v>0.3</v>
      </c>
      <c r="T33" s="203" t="s">
        <v>84</v>
      </c>
      <c r="V33" s="198">
        <v>2144</v>
      </c>
      <c r="W33" s="202">
        <v>0.3</v>
      </c>
      <c r="X33" s="203">
        <v>0.3</v>
      </c>
      <c r="Y33" s="203">
        <v>0</v>
      </c>
      <c r="Z33" s="204">
        <v>0.3</v>
      </c>
      <c r="AA33" s="203">
        <v>0.3</v>
      </c>
      <c r="AB33" s="203" t="s">
        <v>84</v>
      </c>
      <c r="AD33" s="198">
        <v>2144</v>
      </c>
      <c r="AE33" s="202" t="s">
        <v>82</v>
      </c>
      <c r="AF33" s="203" t="s">
        <v>82</v>
      </c>
      <c r="AG33" s="203" t="s">
        <v>82</v>
      </c>
      <c r="AH33" s="204" t="s">
        <v>82</v>
      </c>
      <c r="AI33" s="203" t="s">
        <v>82</v>
      </c>
      <c r="AJ33" s="203" t="s">
        <v>82</v>
      </c>
    </row>
    <row customFormat="1" r="34" s="205" spans="1:36" x14ac:dyDescent="0.2">
      <c r="A34" s="193">
        <v>30</v>
      </c>
      <c r="B34" s="194">
        <v>1</v>
      </c>
      <c r="C34" s="195" t="s">
        <v>79</v>
      </c>
      <c r="D34" s="195">
        <v>1</v>
      </c>
      <c r="E34" s="195" t="s">
        <v>80</v>
      </c>
      <c r="F34" s="196">
        <v>44503</v>
      </c>
      <c r="G34" s="197" t="s">
        <v>6</v>
      </c>
      <c r="H34" s="198">
        <v>2145</v>
      </c>
      <c r="I34" s="196" t="s">
        <v>91</v>
      </c>
      <c r="J34" s="199">
        <v>1650</v>
      </c>
      <c r="K34" s="198">
        <v>1752</v>
      </c>
      <c r="L34" s="200">
        <v>0</v>
      </c>
      <c r="M34" s="201"/>
      <c r="N34" s="199">
        <v>2145</v>
      </c>
      <c r="O34" s="202">
        <v>4.2</v>
      </c>
      <c r="P34" s="203">
        <v>4.0999999999999996</v>
      </c>
      <c r="Q34" s="203">
        <v>0.1</v>
      </c>
      <c r="R34" s="204">
        <v>5.0999999999999996</v>
      </c>
      <c r="S34" s="203">
        <v>5.0999999999999996</v>
      </c>
      <c r="T34" s="203" t="s">
        <v>84</v>
      </c>
      <c r="V34" s="198">
        <v>2145</v>
      </c>
      <c r="W34" s="202">
        <v>4.0999999999999996</v>
      </c>
      <c r="X34" s="203">
        <v>4.0999999999999996</v>
      </c>
      <c r="Y34" s="203">
        <v>0</v>
      </c>
      <c r="Z34" s="204">
        <v>5.0999999999999996</v>
      </c>
      <c r="AA34" s="203">
        <v>5.0999999999999996</v>
      </c>
      <c r="AB34" s="203" t="s">
        <v>84</v>
      </c>
      <c r="AD34" s="198">
        <v>2145</v>
      </c>
      <c r="AE34" s="202">
        <v>-0.10000000000000053</v>
      </c>
      <c r="AF34" s="203" t="s">
        <v>82</v>
      </c>
      <c r="AG34" s="203">
        <v>-0.1</v>
      </c>
      <c r="AH34" s="204" t="s">
        <v>82</v>
      </c>
      <c r="AI34" s="203" t="s">
        <v>82</v>
      </c>
      <c r="AJ34" s="203" t="s">
        <v>82</v>
      </c>
    </row>
    <row customFormat="1" r="35" s="205" spans="1:36" x14ac:dyDescent="0.2">
      <c r="A35" s="193">
        <v>31</v>
      </c>
      <c r="B35" s="194">
        <v>1</v>
      </c>
      <c r="C35" s="195" t="s">
        <v>79</v>
      </c>
      <c r="D35" s="195">
        <v>1</v>
      </c>
      <c r="E35" s="195" t="s">
        <v>80</v>
      </c>
      <c r="F35" s="196">
        <v>44506</v>
      </c>
      <c r="G35" s="197" t="s">
        <v>9</v>
      </c>
      <c r="H35" s="198">
        <v>2145</v>
      </c>
      <c r="I35" s="196" t="s">
        <v>92</v>
      </c>
      <c r="J35" s="199">
        <v>2636</v>
      </c>
      <c r="K35" s="198">
        <v>2735</v>
      </c>
      <c r="L35" s="200">
        <v>0</v>
      </c>
      <c r="M35" s="201"/>
      <c r="N35" s="199">
        <v>2145</v>
      </c>
      <c r="O35" s="202">
        <v>0.4</v>
      </c>
      <c r="P35" s="203">
        <v>0.4</v>
      </c>
      <c r="Q35" s="203">
        <v>0</v>
      </c>
      <c r="R35" s="204">
        <v>0.3</v>
      </c>
      <c r="S35" s="203">
        <v>0.3</v>
      </c>
      <c r="T35" s="203">
        <v>0</v>
      </c>
      <c r="V35" s="198">
        <v>2145</v>
      </c>
      <c r="W35" s="202">
        <v>0.4</v>
      </c>
      <c r="X35" s="203">
        <v>0.4</v>
      </c>
      <c r="Y35" s="203">
        <v>0</v>
      </c>
      <c r="Z35" s="204">
        <v>0.3</v>
      </c>
      <c r="AA35" s="203">
        <v>0.3</v>
      </c>
      <c r="AB35" s="203">
        <v>0</v>
      </c>
      <c r="AD35" s="198">
        <v>2145</v>
      </c>
      <c r="AE35" s="202" t="s">
        <v>82</v>
      </c>
      <c r="AF35" s="203" t="s">
        <v>82</v>
      </c>
      <c r="AG35" s="203" t="s">
        <v>82</v>
      </c>
      <c r="AH35" s="204" t="s">
        <v>82</v>
      </c>
      <c r="AI35" s="203" t="s">
        <v>82</v>
      </c>
      <c r="AJ35" s="203" t="s">
        <v>82</v>
      </c>
    </row>
    <row customFormat="1" r="36" s="205" spans="1:36" x14ac:dyDescent="0.2">
      <c r="A36" s="193">
        <v>32</v>
      </c>
      <c r="B36" s="194">
        <v>1</v>
      </c>
      <c r="C36" s="195" t="s">
        <v>79</v>
      </c>
      <c r="D36" s="195">
        <v>1</v>
      </c>
      <c r="E36" s="195" t="s">
        <v>80</v>
      </c>
      <c r="F36" s="196">
        <v>44513</v>
      </c>
      <c r="G36" s="197" t="s">
        <v>9</v>
      </c>
      <c r="H36" s="198">
        <v>2146</v>
      </c>
      <c r="I36" s="196" t="s">
        <v>93</v>
      </c>
      <c r="J36" s="199">
        <v>2531</v>
      </c>
      <c r="K36" s="198">
        <v>2720</v>
      </c>
      <c r="L36" s="200">
        <v>0</v>
      </c>
      <c r="M36" s="201"/>
      <c r="N36" s="199">
        <v>2146</v>
      </c>
      <c r="O36" s="202">
        <v>0.6</v>
      </c>
      <c r="P36" s="203">
        <v>0.5</v>
      </c>
      <c r="Q36" s="203">
        <v>0.1</v>
      </c>
      <c r="R36" s="204">
        <v>0.4</v>
      </c>
      <c r="S36" s="203">
        <v>0.4</v>
      </c>
      <c r="T36" s="203">
        <v>0</v>
      </c>
      <c r="V36" s="198">
        <v>2146</v>
      </c>
      <c r="W36" s="202">
        <v>0.6</v>
      </c>
      <c r="X36" s="203">
        <v>0.5</v>
      </c>
      <c r="Y36" s="203">
        <v>0.1</v>
      </c>
      <c r="Z36" s="204">
        <v>0.4</v>
      </c>
      <c r="AA36" s="203">
        <v>0.4</v>
      </c>
      <c r="AB36" s="203">
        <v>0</v>
      </c>
      <c r="AD36" s="198">
        <v>2146</v>
      </c>
      <c r="AE36" s="202" t="s">
        <v>82</v>
      </c>
      <c r="AF36" s="203" t="s">
        <v>82</v>
      </c>
      <c r="AG36" s="203" t="s">
        <v>82</v>
      </c>
      <c r="AH36" s="204" t="s">
        <v>82</v>
      </c>
      <c r="AI36" s="203" t="s">
        <v>82</v>
      </c>
      <c r="AJ36" s="203" t="s">
        <v>82</v>
      </c>
    </row>
    <row customFormat="1" r="37" s="205" spans="1:36" x14ac:dyDescent="0.2">
      <c r="A37" s="193">
        <v>33</v>
      </c>
      <c r="B37" s="194">
        <v>1</v>
      </c>
      <c r="C37" s="195" t="s">
        <v>79</v>
      </c>
      <c r="D37" s="195">
        <v>1</v>
      </c>
      <c r="E37" s="195" t="s">
        <v>80</v>
      </c>
      <c r="F37" s="196">
        <v>44553</v>
      </c>
      <c r="G37" s="197" t="s">
        <v>7</v>
      </c>
      <c r="H37" s="198">
        <v>2152</v>
      </c>
      <c r="I37" s="196" t="s">
        <v>94</v>
      </c>
      <c r="J37" s="199">
        <v>1753</v>
      </c>
      <c r="K37" s="198">
        <v>1859</v>
      </c>
      <c r="L37" s="200">
        <v>0</v>
      </c>
      <c r="M37" s="201"/>
      <c r="N37" s="199">
        <v>2152</v>
      </c>
      <c r="O37" s="202">
        <v>5.5</v>
      </c>
      <c r="P37" s="203">
        <v>5.5</v>
      </c>
      <c r="Q37" s="203">
        <v>0</v>
      </c>
      <c r="R37" s="204">
        <v>6.1</v>
      </c>
      <c r="S37" s="203">
        <v>6.1</v>
      </c>
      <c r="T37" s="203" t="s">
        <v>84</v>
      </c>
      <c r="V37" s="198">
        <v>2152</v>
      </c>
      <c r="W37" s="202">
        <v>5.5</v>
      </c>
      <c r="X37" s="203">
        <v>5.5</v>
      </c>
      <c r="Y37" s="203">
        <v>0</v>
      </c>
      <c r="Z37" s="204">
        <v>6.1</v>
      </c>
      <c r="AA37" s="203">
        <v>6.1</v>
      </c>
      <c r="AB37" s="203" t="s">
        <v>84</v>
      </c>
      <c r="AD37" s="198">
        <v>2152</v>
      </c>
      <c r="AE37" s="202" t="s">
        <v>82</v>
      </c>
      <c r="AF37" s="203" t="s">
        <v>82</v>
      </c>
      <c r="AG37" s="203" t="s">
        <v>82</v>
      </c>
      <c r="AH37" s="204" t="s">
        <v>82</v>
      </c>
      <c r="AI37" s="203" t="s">
        <v>82</v>
      </c>
      <c r="AJ37" s="203" t="s">
        <v>82</v>
      </c>
    </row>
    <row customFormat="1" r="38" s="205" spans="1:36" x14ac:dyDescent="0.2">
      <c r="A38" s="193">
        <v>34</v>
      </c>
      <c r="B38" s="194">
        <v>1</v>
      </c>
      <c r="C38" s="195" t="s">
        <v>79</v>
      </c>
      <c r="D38" s="195">
        <v>1</v>
      </c>
      <c r="E38" s="195" t="s">
        <v>80</v>
      </c>
      <c r="F38" s="196">
        <v>44560</v>
      </c>
      <c r="G38" s="197" t="s">
        <v>7</v>
      </c>
      <c r="H38" s="198">
        <v>2201</v>
      </c>
      <c r="I38" s="196" t="s">
        <v>95</v>
      </c>
      <c r="J38" s="199">
        <v>1800</v>
      </c>
      <c r="K38" s="198">
        <v>1959</v>
      </c>
      <c r="L38" s="200">
        <v>0</v>
      </c>
      <c r="M38" s="201"/>
      <c r="N38" s="199">
        <v>2201</v>
      </c>
      <c r="O38" s="202">
        <v>5.4</v>
      </c>
      <c r="P38" s="203">
        <v>5.3</v>
      </c>
      <c r="Q38" s="203">
        <v>0.1</v>
      </c>
      <c r="R38" s="204">
        <v>5.4</v>
      </c>
      <c r="S38" s="203">
        <v>5.4</v>
      </c>
      <c r="T38" s="203" t="s">
        <v>84</v>
      </c>
      <c r="V38" s="198">
        <v>2201</v>
      </c>
      <c r="W38" s="202">
        <v>5.4</v>
      </c>
      <c r="X38" s="203">
        <v>5.3</v>
      </c>
      <c r="Y38" s="203">
        <v>0.1</v>
      </c>
      <c r="Z38" s="204">
        <v>5.4</v>
      </c>
      <c r="AA38" s="203">
        <v>5.4</v>
      </c>
      <c r="AB38" s="203" t="s">
        <v>84</v>
      </c>
      <c r="AD38" s="198">
        <v>2201</v>
      </c>
      <c r="AE38" s="202"/>
      <c r="AF38" s="203" t="s">
        <v>82</v>
      </c>
      <c r="AG38" s="203" t="s">
        <v>82</v>
      </c>
      <c r="AH38" s="204" t="s">
        <v>82</v>
      </c>
      <c r="AI38" s="203" t="s">
        <v>82</v>
      </c>
      <c r="AJ38" s="203" t="s">
        <v>82</v>
      </c>
    </row>
    <row customFormat="1" r="39" s="205" spans="1:36" x14ac:dyDescent="0.2">
      <c r="A39" s="193">
        <v>35</v>
      </c>
      <c r="B39" s="194">
        <v>1</v>
      </c>
      <c r="C39" s="195" t="s">
        <v>79</v>
      </c>
      <c r="D39" s="195">
        <v>1</v>
      </c>
      <c r="E39" s="195" t="s">
        <v>80</v>
      </c>
      <c r="F39" s="196">
        <v>44567</v>
      </c>
      <c r="G39" s="197" t="s">
        <v>7</v>
      </c>
      <c r="H39" s="198">
        <v>2202</v>
      </c>
      <c r="I39" s="196" t="s">
        <v>94</v>
      </c>
      <c r="J39" s="199">
        <v>1753</v>
      </c>
      <c r="K39" s="198">
        <v>1859</v>
      </c>
      <c r="L39" s="200">
        <v>0</v>
      </c>
      <c r="M39" s="201"/>
      <c r="N39" s="199">
        <v>2202</v>
      </c>
      <c r="O39" s="202">
        <v>5</v>
      </c>
      <c r="P39" s="203">
        <v>4.9000000000000004</v>
      </c>
      <c r="Q39" s="203">
        <v>0.1</v>
      </c>
      <c r="R39" s="204">
        <v>5.0999999999999996</v>
      </c>
      <c r="S39" s="203">
        <v>5.0999999999999996</v>
      </c>
      <c r="T39" s="203" t="s">
        <v>84</v>
      </c>
      <c r="V39" s="198">
        <v>2202</v>
      </c>
      <c r="W39" s="202">
        <v>5</v>
      </c>
      <c r="X39" s="203">
        <v>4.9000000000000004</v>
      </c>
      <c r="Y39" s="203">
        <v>0.1</v>
      </c>
      <c r="Z39" s="204">
        <v>5.0999999999999996</v>
      </c>
      <c r="AA39" s="203">
        <v>5.0999999999999996</v>
      </c>
      <c r="AB39" s="203" t="s">
        <v>84</v>
      </c>
      <c r="AD39" s="198">
        <v>2202</v>
      </c>
      <c r="AE39" s="202" t="s">
        <v>82</v>
      </c>
      <c r="AF39" s="203" t="s">
        <v>82</v>
      </c>
      <c r="AG39" s="203" t="s">
        <v>82</v>
      </c>
      <c r="AH39" s="204" t="s">
        <v>82</v>
      </c>
      <c r="AI39" s="203" t="s">
        <v>82</v>
      </c>
      <c r="AJ39" s="203" t="s">
        <v>82</v>
      </c>
    </row>
    <row customFormat="1" r="40" s="205" spans="1:36" x14ac:dyDescent="0.2">
      <c r="A40" s="193">
        <v>36</v>
      </c>
      <c r="B40" s="194">
        <v>1</v>
      </c>
      <c r="C40" s="195" t="s">
        <v>79</v>
      </c>
      <c r="D40" s="195">
        <v>1</v>
      </c>
      <c r="E40" s="195" t="s">
        <v>80</v>
      </c>
      <c r="F40" s="196">
        <v>44571</v>
      </c>
      <c r="G40" s="197" t="s">
        <v>4</v>
      </c>
      <c r="H40" s="198">
        <v>2203</v>
      </c>
      <c r="I40" s="196" t="s">
        <v>96</v>
      </c>
      <c r="J40" s="199">
        <v>2100</v>
      </c>
      <c r="K40" s="198">
        <v>2253</v>
      </c>
      <c r="L40" s="200">
        <v>0</v>
      </c>
      <c r="M40" s="201"/>
      <c r="N40" s="199">
        <v>2203</v>
      </c>
      <c r="O40" s="202">
        <v>5.5</v>
      </c>
      <c r="P40" s="203">
        <v>5.3</v>
      </c>
      <c r="Q40" s="203">
        <v>0.2</v>
      </c>
      <c r="R40" s="204">
        <v>4.7</v>
      </c>
      <c r="S40" s="203">
        <v>4.5</v>
      </c>
      <c r="T40" s="203">
        <v>0.2</v>
      </c>
      <c r="V40" s="198">
        <v>2203</v>
      </c>
      <c r="W40" s="202">
        <v>5.5</v>
      </c>
      <c r="X40" s="203">
        <v>5.3</v>
      </c>
      <c r="Y40" s="203">
        <v>0.2</v>
      </c>
      <c r="Z40" s="204">
        <v>4.7</v>
      </c>
      <c r="AA40" s="203">
        <v>4.5</v>
      </c>
      <c r="AB40" s="203">
        <v>0.2</v>
      </c>
      <c r="AD40" s="198">
        <v>2203</v>
      </c>
      <c r="AE40" s="202" t="s">
        <v>82</v>
      </c>
      <c r="AF40" s="203" t="s">
        <v>82</v>
      </c>
      <c r="AG40" s="203" t="s">
        <v>82</v>
      </c>
      <c r="AH40" s="204" t="s">
        <v>82</v>
      </c>
      <c r="AI40" s="203" t="s">
        <v>82</v>
      </c>
      <c r="AJ40" s="203" t="s">
        <v>82</v>
      </c>
    </row>
    <row customFormat="1" r="41" s="205" spans="1:36" x14ac:dyDescent="0.2">
      <c r="A41" s="193">
        <v>37</v>
      </c>
      <c r="B41" s="194">
        <v>1</v>
      </c>
      <c r="C41" s="195" t="s">
        <v>79</v>
      </c>
      <c r="D41" s="195">
        <v>1</v>
      </c>
      <c r="E41" s="195" t="s">
        <v>80</v>
      </c>
      <c r="F41" s="196">
        <v>44574</v>
      </c>
      <c r="G41" s="197" t="s">
        <v>7</v>
      </c>
      <c r="H41" s="198">
        <v>2203</v>
      </c>
      <c r="I41" s="196" t="s">
        <v>94</v>
      </c>
      <c r="J41" s="199">
        <v>1753</v>
      </c>
      <c r="K41" s="198">
        <v>1859</v>
      </c>
      <c r="L41" s="200">
        <v>0</v>
      </c>
      <c r="M41" s="201"/>
      <c r="N41" s="199">
        <v>2203</v>
      </c>
      <c r="O41" s="202">
        <v>5.6</v>
      </c>
      <c r="P41" s="203">
        <v>5.5</v>
      </c>
      <c r="Q41" s="203">
        <v>0.1</v>
      </c>
      <c r="R41" s="204">
        <v>5.8</v>
      </c>
      <c r="S41" s="203">
        <v>5.8</v>
      </c>
      <c r="T41" s="203" t="s">
        <v>84</v>
      </c>
      <c r="V41" s="198">
        <v>2203</v>
      </c>
      <c r="W41" s="202">
        <v>5.6</v>
      </c>
      <c r="X41" s="203">
        <v>5.5</v>
      </c>
      <c r="Y41" s="203">
        <v>0.1</v>
      </c>
      <c r="Z41" s="204">
        <v>5.8</v>
      </c>
      <c r="AA41" s="203">
        <v>5.8</v>
      </c>
      <c r="AB41" s="203" t="s">
        <v>84</v>
      </c>
      <c r="AD41" s="198">
        <v>2203</v>
      </c>
      <c r="AE41" s="202" t="s">
        <v>82</v>
      </c>
      <c r="AF41" s="203" t="s">
        <v>82</v>
      </c>
      <c r="AG41" s="203" t="s">
        <v>82</v>
      </c>
      <c r="AH41" s="204" t="s">
        <v>82</v>
      </c>
      <c r="AI41" s="203" t="s">
        <v>82</v>
      </c>
      <c r="AJ41" s="203" t="s">
        <v>82</v>
      </c>
    </row>
    <row customFormat="1" r="42" s="205" spans="1:36" x14ac:dyDescent="0.2">
      <c r="A42" s="193">
        <v>38</v>
      </c>
      <c r="B42" s="194">
        <v>1</v>
      </c>
      <c r="C42" s="195" t="s">
        <v>79</v>
      </c>
      <c r="D42" s="195">
        <v>1</v>
      </c>
      <c r="E42" s="195" t="s">
        <v>80</v>
      </c>
      <c r="F42" s="196">
        <v>44578</v>
      </c>
      <c r="G42" s="197" t="s">
        <v>4</v>
      </c>
      <c r="H42" s="198">
        <v>2204</v>
      </c>
      <c r="I42" s="196" t="s">
        <v>97</v>
      </c>
      <c r="J42" s="199">
        <v>2100</v>
      </c>
      <c r="K42" s="198">
        <v>2253</v>
      </c>
      <c r="L42" s="200">
        <v>0</v>
      </c>
      <c r="M42" s="201"/>
      <c r="N42" s="199">
        <v>2204</v>
      </c>
      <c r="O42" s="202">
        <v>5.5</v>
      </c>
      <c r="P42" s="203">
        <v>5.3</v>
      </c>
      <c r="Q42" s="203">
        <v>0.2</v>
      </c>
      <c r="R42" s="204">
        <v>4.4000000000000004</v>
      </c>
      <c r="S42" s="203">
        <v>4.2</v>
      </c>
      <c r="T42" s="203">
        <v>0.2</v>
      </c>
      <c r="V42" s="198">
        <v>2204</v>
      </c>
      <c r="W42" s="202">
        <v>5.5</v>
      </c>
      <c r="X42" s="203">
        <v>5.3</v>
      </c>
      <c r="Y42" s="203">
        <v>0.2</v>
      </c>
      <c r="Z42" s="204">
        <v>4.4000000000000004</v>
      </c>
      <c r="AA42" s="203">
        <v>4.2</v>
      </c>
      <c r="AB42" s="203">
        <v>0.2</v>
      </c>
      <c r="AD42" s="198">
        <v>2204</v>
      </c>
      <c r="AE42" s="202" t="s">
        <v>82</v>
      </c>
      <c r="AF42" s="203" t="s">
        <v>82</v>
      </c>
      <c r="AG42" s="203" t="s">
        <v>82</v>
      </c>
      <c r="AH42" s="204" t="s">
        <v>82</v>
      </c>
      <c r="AI42" s="203" t="s">
        <v>82</v>
      </c>
      <c r="AJ42" s="203" t="s">
        <v>82</v>
      </c>
    </row>
    <row customFormat="1" r="43" s="205" spans="1:36" x14ac:dyDescent="0.2">
      <c r="A43" s="193">
        <v>39</v>
      </c>
      <c r="B43" s="194">
        <v>1</v>
      </c>
      <c r="C43" s="195" t="s">
        <v>79</v>
      </c>
      <c r="D43" s="195">
        <v>1</v>
      </c>
      <c r="E43" s="195" t="s">
        <v>80</v>
      </c>
      <c r="F43" s="196">
        <v>44585</v>
      </c>
      <c r="G43" s="197" t="s">
        <v>4</v>
      </c>
      <c r="H43" s="198">
        <v>2205</v>
      </c>
      <c r="I43" s="196" t="s">
        <v>98</v>
      </c>
      <c r="J43" s="199">
        <v>2200</v>
      </c>
      <c r="K43" s="198">
        <v>2259</v>
      </c>
      <c r="L43" s="200">
        <v>0</v>
      </c>
      <c r="M43" s="201"/>
      <c r="N43" s="199">
        <v>2205</v>
      </c>
      <c r="O43" s="202">
        <v>5</v>
      </c>
      <c r="P43" s="203">
        <v>4.8</v>
      </c>
      <c r="Q43" s="203">
        <v>0.2</v>
      </c>
      <c r="R43" s="204">
        <v>3.9</v>
      </c>
      <c r="S43" s="203">
        <v>3.9</v>
      </c>
      <c r="T43" s="203">
        <v>0</v>
      </c>
      <c r="V43" s="198">
        <v>2205</v>
      </c>
      <c r="W43" s="202">
        <v>4.9000000000000004</v>
      </c>
      <c r="X43" s="203">
        <v>4.8</v>
      </c>
      <c r="Y43" s="203">
        <v>0.1</v>
      </c>
      <c r="Z43" s="204">
        <v>3.9</v>
      </c>
      <c r="AA43" s="203">
        <v>3.9</v>
      </c>
      <c r="AB43" s="203">
        <v>0</v>
      </c>
      <c r="AD43" s="198">
        <v>2205</v>
      </c>
      <c r="AE43" s="202">
        <v>-9.9999999999999645E-2</v>
      </c>
      <c r="AF43" s="203" t="s">
        <v>82</v>
      </c>
      <c r="AG43" s="203">
        <v>-0.1</v>
      </c>
      <c r="AH43" s="204" t="s">
        <v>82</v>
      </c>
      <c r="AI43" s="203" t="s">
        <v>82</v>
      </c>
      <c r="AJ43" s="203" t="s">
        <v>82</v>
      </c>
    </row>
    <row customFormat="1" r="44" s="205" spans="1:36" x14ac:dyDescent="0.2">
      <c r="A44" s="193">
        <v>40</v>
      </c>
      <c r="B44" s="194">
        <v>1</v>
      </c>
      <c r="C44" s="195" t="s">
        <v>79</v>
      </c>
      <c r="D44" s="195">
        <v>1</v>
      </c>
      <c r="E44" s="195" t="s">
        <v>80</v>
      </c>
      <c r="F44" s="196">
        <v>44592</v>
      </c>
      <c r="G44" s="197" t="s">
        <v>4</v>
      </c>
      <c r="H44" s="198">
        <v>2206</v>
      </c>
      <c r="I44" s="196" t="s">
        <v>98</v>
      </c>
      <c r="J44" s="199">
        <v>2200</v>
      </c>
      <c r="K44" s="198">
        <v>2259</v>
      </c>
      <c r="L44" s="200">
        <v>0</v>
      </c>
      <c r="M44" s="201"/>
      <c r="N44" s="199">
        <v>2206</v>
      </c>
      <c r="O44" s="202">
        <v>5</v>
      </c>
      <c r="P44" s="203">
        <v>4.9000000000000004</v>
      </c>
      <c r="Q44" s="203">
        <v>0.1</v>
      </c>
      <c r="R44" s="204">
        <v>4.2</v>
      </c>
      <c r="S44" s="203">
        <v>4.2</v>
      </c>
      <c r="T44" s="203">
        <v>0</v>
      </c>
      <c r="V44" s="198">
        <v>2206</v>
      </c>
      <c r="W44" s="202">
        <v>5</v>
      </c>
      <c r="X44" s="203">
        <v>4.9000000000000004</v>
      </c>
      <c r="Y44" s="203">
        <v>0.1</v>
      </c>
      <c r="Z44" s="204">
        <v>4.2</v>
      </c>
      <c r="AA44" s="203">
        <v>4.2</v>
      </c>
      <c r="AB44" s="203">
        <v>0</v>
      </c>
      <c r="AD44" s="198">
        <v>2206</v>
      </c>
      <c r="AE44" s="202" t="s">
        <v>82</v>
      </c>
      <c r="AF44" s="203" t="s">
        <v>82</v>
      </c>
      <c r="AG44" s="203" t="s">
        <v>82</v>
      </c>
      <c r="AH44" s="204" t="s">
        <v>82</v>
      </c>
      <c r="AI44" s="203" t="s">
        <v>82</v>
      </c>
      <c r="AJ44" s="203" t="s">
        <v>82</v>
      </c>
    </row>
    <row customFormat="1" r="45" s="205" spans="1:36" x14ac:dyDescent="0.2">
      <c r="A45" s="193">
        <v>41</v>
      </c>
      <c r="B45" s="194">
        <v>1</v>
      </c>
      <c r="C45" s="195" t="s">
        <v>79</v>
      </c>
      <c r="D45" s="195">
        <v>1</v>
      </c>
      <c r="E45" s="195" t="s">
        <v>80</v>
      </c>
      <c r="F45" s="196">
        <v>44624</v>
      </c>
      <c r="G45" s="197" t="s">
        <v>8</v>
      </c>
      <c r="H45" s="198">
        <v>2210</v>
      </c>
      <c r="I45" s="196" t="s">
        <v>99</v>
      </c>
      <c r="J45" s="199">
        <v>550</v>
      </c>
      <c r="K45" s="198">
        <v>759</v>
      </c>
      <c r="L45" s="200">
        <v>0</v>
      </c>
      <c r="M45" s="201"/>
      <c r="N45" s="199">
        <v>2210</v>
      </c>
      <c r="O45" s="202">
        <v>3.4</v>
      </c>
      <c r="P45" s="203">
        <v>3.4</v>
      </c>
      <c r="Q45" s="203">
        <v>0</v>
      </c>
      <c r="R45" s="204">
        <v>3.9</v>
      </c>
      <c r="S45" s="203">
        <v>3.9</v>
      </c>
      <c r="T45" s="203" t="s">
        <v>84</v>
      </c>
      <c r="V45" s="198">
        <v>2210</v>
      </c>
      <c r="W45" s="202">
        <v>3.4</v>
      </c>
      <c r="X45" s="203">
        <v>3.4</v>
      </c>
      <c r="Y45" s="203">
        <v>0</v>
      </c>
      <c r="Z45" s="204">
        <v>3.9</v>
      </c>
      <c r="AA45" s="203">
        <v>3.9</v>
      </c>
      <c r="AB45" s="203" t="s">
        <v>84</v>
      </c>
      <c r="AD45" s="198">
        <v>2210</v>
      </c>
      <c r="AE45" s="202" t="s">
        <v>82</v>
      </c>
      <c r="AF45" s="203" t="s">
        <v>82</v>
      </c>
      <c r="AG45" s="203" t="s">
        <v>82</v>
      </c>
      <c r="AH45" s="204" t="s">
        <v>82</v>
      </c>
      <c r="AI45" s="203" t="s">
        <v>82</v>
      </c>
      <c r="AJ45" s="203" t="s">
        <v>82</v>
      </c>
    </row>
    <row customFormat="1" r="46" s="205" spans="1:36" x14ac:dyDescent="0.2">
      <c r="A46" s="193">
        <v>42</v>
      </c>
      <c r="B46" s="194">
        <v>1</v>
      </c>
      <c r="C46" s="195" t="s">
        <v>79</v>
      </c>
      <c r="D46" s="195">
        <v>1</v>
      </c>
      <c r="E46" s="195" t="s">
        <v>80</v>
      </c>
      <c r="F46" s="196">
        <v>44631</v>
      </c>
      <c r="G46" s="197" t="s">
        <v>8</v>
      </c>
      <c r="H46" s="198">
        <v>2211</v>
      </c>
      <c r="I46" s="196" t="s">
        <v>99</v>
      </c>
      <c r="J46" s="199">
        <v>550</v>
      </c>
      <c r="K46" s="198">
        <v>759</v>
      </c>
      <c r="L46" s="200">
        <v>0</v>
      </c>
      <c r="M46" s="201"/>
      <c r="N46" s="199">
        <v>2211</v>
      </c>
      <c r="O46" s="202">
        <v>3.4</v>
      </c>
      <c r="P46" s="203">
        <v>3.4</v>
      </c>
      <c r="Q46" s="203">
        <v>0</v>
      </c>
      <c r="R46" s="204">
        <v>3.8</v>
      </c>
      <c r="S46" s="203">
        <v>3.8</v>
      </c>
      <c r="T46" s="203" t="s">
        <v>84</v>
      </c>
      <c r="V46" s="198">
        <v>2211</v>
      </c>
      <c r="W46" s="202">
        <v>3.4</v>
      </c>
      <c r="X46" s="203">
        <v>3.4</v>
      </c>
      <c r="Y46" s="203">
        <v>0</v>
      </c>
      <c r="Z46" s="204">
        <v>3.8</v>
      </c>
      <c r="AA46" s="203">
        <v>3.8</v>
      </c>
      <c r="AB46" s="203" t="s">
        <v>84</v>
      </c>
      <c r="AD46" s="198">
        <v>2211</v>
      </c>
      <c r="AE46" s="202" t="s">
        <v>82</v>
      </c>
      <c r="AF46" s="203" t="s">
        <v>82</v>
      </c>
      <c r="AG46" s="203" t="s">
        <v>82</v>
      </c>
      <c r="AH46" s="204" t="s">
        <v>82</v>
      </c>
      <c r="AI46" s="203" t="s">
        <v>82</v>
      </c>
      <c r="AJ46" s="203" t="s">
        <v>82</v>
      </c>
    </row>
    <row customFormat="1" r="47" s="205" spans="1:36" x14ac:dyDescent="0.2">
      <c r="A47" s="193">
        <v>43</v>
      </c>
      <c r="B47" s="194">
        <v>1</v>
      </c>
      <c r="C47" s="195" t="s">
        <v>79</v>
      </c>
      <c r="D47" s="195">
        <v>1</v>
      </c>
      <c r="E47" s="195" t="s">
        <v>80</v>
      </c>
      <c r="F47" s="196">
        <v>44638</v>
      </c>
      <c r="G47" s="197" t="s">
        <v>8</v>
      </c>
      <c r="H47" s="198">
        <v>2212</v>
      </c>
      <c r="I47" s="196" t="s">
        <v>99</v>
      </c>
      <c r="J47" s="199">
        <v>550</v>
      </c>
      <c r="K47" s="198">
        <v>759</v>
      </c>
      <c r="L47" s="200">
        <v>0</v>
      </c>
      <c r="M47" s="201"/>
      <c r="N47" s="199">
        <v>2212</v>
      </c>
      <c r="O47" s="202">
        <v>3.8</v>
      </c>
      <c r="P47" s="203">
        <v>3.8</v>
      </c>
      <c r="Q47" s="203">
        <v>0</v>
      </c>
      <c r="R47" s="204">
        <v>4</v>
      </c>
      <c r="S47" s="203">
        <v>4</v>
      </c>
      <c r="T47" s="203" t="s">
        <v>84</v>
      </c>
      <c r="V47" s="198">
        <v>2212</v>
      </c>
      <c r="W47" s="202">
        <v>3.8</v>
      </c>
      <c r="X47" s="203">
        <v>3.8</v>
      </c>
      <c r="Y47" s="203">
        <v>0</v>
      </c>
      <c r="Z47" s="204">
        <v>4</v>
      </c>
      <c r="AA47" s="203">
        <v>4</v>
      </c>
      <c r="AB47" s="203" t="s">
        <v>84</v>
      </c>
      <c r="AD47" s="198">
        <v>2212</v>
      </c>
      <c r="AE47" s="202" t="s">
        <v>82</v>
      </c>
      <c r="AF47" s="203" t="s">
        <v>82</v>
      </c>
      <c r="AG47" s="203" t="s">
        <v>82</v>
      </c>
      <c r="AH47" s="204" t="s">
        <v>82</v>
      </c>
      <c r="AI47" s="203" t="s">
        <v>82</v>
      </c>
      <c r="AJ47" s="203" t="s">
        <v>82</v>
      </c>
    </row>
    <row customFormat="1" r="48" s="205" spans="1:36" x14ac:dyDescent="0.2">
      <c r="A48" s="193">
        <v>44</v>
      </c>
      <c r="B48" s="194">
        <v>1</v>
      </c>
      <c r="C48" s="195" t="s">
        <v>79</v>
      </c>
      <c r="D48" s="195">
        <v>1</v>
      </c>
      <c r="E48" s="195" t="s">
        <v>80</v>
      </c>
      <c r="F48" s="196">
        <v>44645</v>
      </c>
      <c r="G48" s="197" t="s">
        <v>8</v>
      </c>
      <c r="H48" s="198">
        <v>2213</v>
      </c>
      <c r="I48" s="196" t="s">
        <v>99</v>
      </c>
      <c r="J48" s="199">
        <v>550</v>
      </c>
      <c r="K48" s="198">
        <v>759</v>
      </c>
      <c r="L48" s="200">
        <v>0</v>
      </c>
      <c r="M48" s="201"/>
      <c r="N48" s="199">
        <v>2213</v>
      </c>
      <c r="O48" s="202">
        <v>3.8</v>
      </c>
      <c r="P48" s="203">
        <v>3.8</v>
      </c>
      <c r="Q48" s="203">
        <v>0</v>
      </c>
      <c r="R48" s="204">
        <v>4</v>
      </c>
      <c r="S48" s="203">
        <v>4</v>
      </c>
      <c r="T48" s="203" t="s">
        <v>84</v>
      </c>
      <c r="V48" s="198">
        <v>2213</v>
      </c>
      <c r="W48" s="202">
        <v>3.8</v>
      </c>
      <c r="X48" s="203">
        <v>3.8</v>
      </c>
      <c r="Y48" s="203">
        <v>0</v>
      </c>
      <c r="Z48" s="204">
        <v>4</v>
      </c>
      <c r="AA48" s="203">
        <v>4</v>
      </c>
      <c r="AB48" s="203" t="s">
        <v>84</v>
      </c>
      <c r="AD48" s="198">
        <v>2213</v>
      </c>
      <c r="AE48" s="202" t="s">
        <v>82</v>
      </c>
      <c r="AF48" s="203" t="s">
        <v>82</v>
      </c>
      <c r="AG48" s="203" t="s">
        <v>82</v>
      </c>
      <c r="AH48" s="204" t="s">
        <v>82</v>
      </c>
      <c r="AI48" s="203" t="s">
        <v>82</v>
      </c>
      <c r="AJ48" s="203" t="s">
        <v>82</v>
      </c>
    </row>
    <row customFormat="1" r="49" s="205" spans="1:36" x14ac:dyDescent="0.2">
      <c r="A49" s="193">
        <v>45</v>
      </c>
      <c r="B49" s="194">
        <v>1</v>
      </c>
      <c r="C49" s="195" t="s">
        <v>79</v>
      </c>
      <c r="D49" s="195">
        <v>2</v>
      </c>
      <c r="E49" s="195" t="s">
        <v>100</v>
      </c>
      <c r="F49" s="196">
        <v>44055</v>
      </c>
      <c r="G49" s="197" t="s">
        <v>6</v>
      </c>
      <c r="H49" s="198">
        <v>2033</v>
      </c>
      <c r="I49" s="196" t="s">
        <v>101</v>
      </c>
      <c r="J49" s="199">
        <v>2356</v>
      </c>
      <c r="K49" s="198">
        <v>2454</v>
      </c>
      <c r="L49" s="200">
        <v>0</v>
      </c>
      <c r="M49" s="201"/>
      <c r="N49" s="199">
        <v>2033</v>
      </c>
      <c r="O49" s="202">
        <v>1.5</v>
      </c>
      <c r="P49" s="203">
        <v>1.3</v>
      </c>
      <c r="Q49" s="203">
        <v>0.2</v>
      </c>
      <c r="R49" s="204">
        <v>1.1000000000000001</v>
      </c>
      <c r="S49" s="203">
        <v>1</v>
      </c>
      <c r="T49" s="203">
        <v>0.1</v>
      </c>
      <c r="V49" s="198">
        <v>2033</v>
      </c>
      <c r="W49" s="202">
        <v>1.5</v>
      </c>
      <c r="X49" s="203">
        <v>1.3</v>
      </c>
      <c r="Y49" s="203">
        <v>0.2</v>
      </c>
      <c r="Z49" s="204">
        <v>1.1000000000000001</v>
      </c>
      <c r="AA49" s="203">
        <v>1</v>
      </c>
      <c r="AB49" s="203">
        <v>0.1</v>
      </c>
      <c r="AD49" s="198">
        <v>2033</v>
      </c>
      <c r="AE49" s="202" t="s">
        <v>82</v>
      </c>
      <c r="AF49" s="203" t="s">
        <v>82</v>
      </c>
      <c r="AG49" s="203" t="s">
        <v>82</v>
      </c>
      <c r="AH49" s="204" t="s">
        <v>82</v>
      </c>
      <c r="AI49" s="203" t="s">
        <v>82</v>
      </c>
      <c r="AJ49" s="203" t="s">
        <v>82</v>
      </c>
    </row>
    <row customFormat="1" r="50" s="205" spans="1:36" x14ac:dyDescent="0.2">
      <c r="A50" s="193">
        <v>46</v>
      </c>
      <c r="B50" s="194">
        <v>1</v>
      </c>
      <c r="C50" s="195" t="s">
        <v>79</v>
      </c>
      <c r="D50" s="195">
        <v>2</v>
      </c>
      <c r="E50" s="195" t="s">
        <v>100</v>
      </c>
      <c r="F50" s="196">
        <v>44062</v>
      </c>
      <c r="G50" s="197" t="s">
        <v>6</v>
      </c>
      <c r="H50" s="198">
        <v>2034</v>
      </c>
      <c r="I50" s="196" t="s">
        <v>101</v>
      </c>
      <c r="J50" s="199">
        <v>2356</v>
      </c>
      <c r="K50" s="198">
        <v>2454</v>
      </c>
      <c r="L50" s="200">
        <v>0</v>
      </c>
      <c r="M50" s="201"/>
      <c r="N50" s="199">
        <v>2034</v>
      </c>
      <c r="O50" s="202">
        <v>1.3</v>
      </c>
      <c r="P50" s="203">
        <v>1.2</v>
      </c>
      <c r="Q50" s="203">
        <v>0.1</v>
      </c>
      <c r="R50" s="204">
        <v>1</v>
      </c>
      <c r="S50" s="203">
        <v>0.9</v>
      </c>
      <c r="T50" s="203">
        <v>0.1</v>
      </c>
      <c r="V50" s="198">
        <v>2034</v>
      </c>
      <c r="W50" s="202">
        <v>1.3</v>
      </c>
      <c r="X50" s="203">
        <v>1.2</v>
      </c>
      <c r="Y50" s="203">
        <v>0.1</v>
      </c>
      <c r="Z50" s="204">
        <v>1</v>
      </c>
      <c r="AA50" s="203">
        <v>0.9</v>
      </c>
      <c r="AB50" s="203">
        <v>0.1</v>
      </c>
      <c r="AD50" s="198">
        <v>2034</v>
      </c>
      <c r="AE50" s="202" t="s">
        <v>82</v>
      </c>
      <c r="AF50" s="203" t="s">
        <v>82</v>
      </c>
      <c r="AG50" s="203" t="s">
        <v>82</v>
      </c>
      <c r="AH50" s="204" t="s">
        <v>82</v>
      </c>
      <c r="AI50" s="203" t="s">
        <v>82</v>
      </c>
      <c r="AJ50" s="203" t="s">
        <v>82</v>
      </c>
    </row>
    <row customFormat="1" r="51" s="205" spans="1:36" x14ac:dyDescent="0.2">
      <c r="A51" s="193">
        <v>47</v>
      </c>
      <c r="B51" s="194">
        <v>1</v>
      </c>
      <c r="C51" s="195" t="s">
        <v>79</v>
      </c>
      <c r="D51" s="195">
        <v>2</v>
      </c>
      <c r="E51" s="195" t="s">
        <v>100</v>
      </c>
      <c r="F51" s="196">
        <v>44069</v>
      </c>
      <c r="G51" s="197" t="s">
        <v>6</v>
      </c>
      <c r="H51" s="198">
        <v>2035</v>
      </c>
      <c r="I51" s="196" t="s">
        <v>101</v>
      </c>
      <c r="J51" s="199">
        <v>2356</v>
      </c>
      <c r="K51" s="198">
        <v>2454</v>
      </c>
      <c r="L51" s="200">
        <v>0</v>
      </c>
      <c r="M51" s="201"/>
      <c r="N51" s="199">
        <v>2035</v>
      </c>
      <c r="O51" s="202">
        <v>1.2</v>
      </c>
      <c r="P51" s="203">
        <v>1.1000000000000001</v>
      </c>
      <c r="Q51" s="203">
        <v>0.1</v>
      </c>
      <c r="R51" s="204">
        <v>0.9</v>
      </c>
      <c r="S51" s="203">
        <v>0.8</v>
      </c>
      <c r="T51" s="203">
        <v>0.1</v>
      </c>
      <c r="V51" s="198">
        <v>2035</v>
      </c>
      <c r="W51" s="202">
        <v>1.2</v>
      </c>
      <c r="X51" s="203">
        <v>1.1000000000000001</v>
      </c>
      <c r="Y51" s="203">
        <v>0.1</v>
      </c>
      <c r="Z51" s="204">
        <v>0.9</v>
      </c>
      <c r="AA51" s="203">
        <v>0.8</v>
      </c>
      <c r="AB51" s="203">
        <v>0.1</v>
      </c>
      <c r="AD51" s="198">
        <v>2035</v>
      </c>
      <c r="AE51" s="202"/>
      <c r="AF51" s="203" t="s">
        <v>82</v>
      </c>
      <c r="AG51" s="203" t="s">
        <v>82</v>
      </c>
      <c r="AH51" s="204" t="s">
        <v>82</v>
      </c>
      <c r="AI51" s="203" t="s">
        <v>82</v>
      </c>
      <c r="AJ51" s="203" t="s">
        <v>82</v>
      </c>
    </row>
    <row customFormat="1" r="52" s="205" spans="1:36" x14ac:dyDescent="0.2">
      <c r="A52" s="193">
        <v>48</v>
      </c>
      <c r="B52" s="194">
        <v>1</v>
      </c>
      <c r="C52" s="195" t="s">
        <v>79</v>
      </c>
      <c r="D52" s="195">
        <v>2</v>
      </c>
      <c r="E52" s="195" t="s">
        <v>100</v>
      </c>
      <c r="F52" s="196">
        <v>44076</v>
      </c>
      <c r="G52" s="197" t="s">
        <v>6</v>
      </c>
      <c r="H52" s="198">
        <v>2036</v>
      </c>
      <c r="I52" s="196" t="s">
        <v>101</v>
      </c>
      <c r="J52" s="199">
        <v>2356</v>
      </c>
      <c r="K52" s="198">
        <v>2454</v>
      </c>
      <c r="L52" s="200">
        <v>0</v>
      </c>
      <c r="M52" s="201"/>
      <c r="N52" s="199">
        <v>2036</v>
      </c>
      <c r="O52" s="202">
        <v>1.3</v>
      </c>
      <c r="P52" s="203">
        <v>1.1000000000000001</v>
      </c>
      <c r="Q52" s="203">
        <v>0.2</v>
      </c>
      <c r="R52" s="204">
        <v>1</v>
      </c>
      <c r="S52" s="203">
        <v>0.8</v>
      </c>
      <c r="T52" s="203">
        <v>0.2</v>
      </c>
      <c r="V52" s="198">
        <v>2036</v>
      </c>
      <c r="W52" s="202">
        <v>1.3</v>
      </c>
      <c r="X52" s="203">
        <v>1.1000000000000001</v>
      </c>
      <c r="Y52" s="203">
        <v>0.2</v>
      </c>
      <c r="Z52" s="204">
        <v>1</v>
      </c>
      <c r="AA52" s="203">
        <v>0.8</v>
      </c>
      <c r="AB52" s="203">
        <v>0.2</v>
      </c>
      <c r="AD52" s="198">
        <v>2036</v>
      </c>
      <c r="AE52" s="202" t="s">
        <v>82</v>
      </c>
      <c r="AF52" s="203" t="s">
        <v>82</v>
      </c>
      <c r="AG52" s="203" t="s">
        <v>82</v>
      </c>
      <c r="AH52" s="204" t="s">
        <v>82</v>
      </c>
      <c r="AI52" s="203" t="s">
        <v>82</v>
      </c>
      <c r="AJ52" s="203" t="s">
        <v>82</v>
      </c>
    </row>
    <row customFormat="1" r="53" s="205" spans="1:36" x14ac:dyDescent="0.2">
      <c r="A53" s="193">
        <v>49</v>
      </c>
      <c r="B53" s="194">
        <v>1</v>
      </c>
      <c r="C53" s="195" t="s">
        <v>79</v>
      </c>
      <c r="D53" s="195">
        <v>2</v>
      </c>
      <c r="E53" s="195" t="s">
        <v>100</v>
      </c>
      <c r="F53" s="196">
        <v>44083</v>
      </c>
      <c r="G53" s="197" t="s">
        <v>6</v>
      </c>
      <c r="H53" s="198">
        <v>2037</v>
      </c>
      <c r="I53" s="196" t="s">
        <v>102</v>
      </c>
      <c r="J53" s="199">
        <v>800</v>
      </c>
      <c r="K53" s="198">
        <v>954</v>
      </c>
      <c r="L53" s="200">
        <v>0</v>
      </c>
      <c r="M53" s="201"/>
      <c r="N53" s="199">
        <v>2037</v>
      </c>
      <c r="O53" s="202">
        <v>1.7</v>
      </c>
      <c r="P53" s="203">
        <v>1.7</v>
      </c>
      <c r="Q53" s="203">
        <v>0</v>
      </c>
      <c r="R53" s="204">
        <v>1.3</v>
      </c>
      <c r="S53" s="203">
        <v>1.3</v>
      </c>
      <c r="T53" s="203">
        <v>0</v>
      </c>
      <c r="V53" s="198">
        <v>2037</v>
      </c>
      <c r="W53" s="202">
        <v>1.7</v>
      </c>
      <c r="X53" s="203">
        <v>1.7</v>
      </c>
      <c r="Y53" s="203">
        <v>0</v>
      </c>
      <c r="Z53" s="204">
        <v>1.3</v>
      </c>
      <c r="AA53" s="203">
        <v>1.3</v>
      </c>
      <c r="AB53" s="203">
        <v>0</v>
      </c>
      <c r="AD53" s="198">
        <v>2037</v>
      </c>
      <c r="AE53" s="202" t="s">
        <v>82</v>
      </c>
      <c r="AF53" s="203" t="s">
        <v>82</v>
      </c>
      <c r="AG53" s="203" t="s">
        <v>82</v>
      </c>
      <c r="AH53" s="204" t="s">
        <v>82</v>
      </c>
      <c r="AI53" s="203" t="s">
        <v>82</v>
      </c>
      <c r="AJ53" s="203" t="s">
        <v>82</v>
      </c>
    </row>
    <row customFormat="1" r="54" s="205" spans="1:36" x14ac:dyDescent="0.2">
      <c r="A54" s="193">
        <v>50</v>
      </c>
      <c r="B54" s="194">
        <v>1</v>
      </c>
      <c r="C54" s="195" t="s">
        <v>79</v>
      </c>
      <c r="D54" s="195">
        <v>2</v>
      </c>
      <c r="E54" s="195" t="s">
        <v>100</v>
      </c>
      <c r="F54" s="196">
        <v>44090</v>
      </c>
      <c r="G54" s="197" t="s">
        <v>6</v>
      </c>
      <c r="H54" s="198">
        <v>2038</v>
      </c>
      <c r="I54" s="196" t="s">
        <v>102</v>
      </c>
      <c r="J54" s="199">
        <v>800</v>
      </c>
      <c r="K54" s="198">
        <v>954</v>
      </c>
      <c r="L54" s="200">
        <v>0</v>
      </c>
      <c r="M54" s="201"/>
      <c r="N54" s="199">
        <v>2038</v>
      </c>
      <c r="O54" s="202">
        <v>1.6</v>
      </c>
      <c r="P54" s="203">
        <v>1.6</v>
      </c>
      <c r="Q54" s="203">
        <v>0</v>
      </c>
      <c r="R54" s="204">
        <v>1.1000000000000001</v>
      </c>
      <c r="S54" s="203">
        <v>1.1000000000000001</v>
      </c>
      <c r="T54" s="203">
        <v>0</v>
      </c>
      <c r="V54" s="198">
        <v>2038</v>
      </c>
      <c r="W54" s="202">
        <v>1.6</v>
      </c>
      <c r="X54" s="203">
        <v>1.6</v>
      </c>
      <c r="Y54" s="203">
        <v>0</v>
      </c>
      <c r="Z54" s="204">
        <v>1.1000000000000001</v>
      </c>
      <c r="AA54" s="203">
        <v>1.1000000000000001</v>
      </c>
      <c r="AB54" s="203">
        <v>0</v>
      </c>
      <c r="AD54" s="198">
        <v>2038</v>
      </c>
      <c r="AE54" s="202" t="s">
        <v>82</v>
      </c>
      <c r="AF54" s="203" t="s">
        <v>82</v>
      </c>
      <c r="AG54" s="203" t="s">
        <v>82</v>
      </c>
      <c r="AH54" s="204" t="s">
        <v>82</v>
      </c>
      <c r="AI54" s="203" t="s">
        <v>82</v>
      </c>
      <c r="AJ54" s="203" t="s">
        <v>82</v>
      </c>
    </row>
    <row customFormat="1" r="55" s="205" spans="1:36" x14ac:dyDescent="0.2">
      <c r="A55" s="193">
        <v>51</v>
      </c>
      <c r="B55" s="194">
        <v>1</v>
      </c>
      <c r="C55" s="195" t="s">
        <v>79</v>
      </c>
      <c r="D55" s="195">
        <v>2</v>
      </c>
      <c r="E55" s="195" t="s">
        <v>100</v>
      </c>
      <c r="F55" s="196">
        <v>44097</v>
      </c>
      <c r="G55" s="197" t="s">
        <v>6</v>
      </c>
      <c r="H55" s="198">
        <v>2039</v>
      </c>
      <c r="I55" s="196" t="s">
        <v>102</v>
      </c>
      <c r="J55" s="199">
        <v>800</v>
      </c>
      <c r="K55" s="198">
        <v>954</v>
      </c>
      <c r="L55" s="200">
        <v>0</v>
      </c>
      <c r="M55" s="201"/>
      <c r="N55" s="199">
        <v>2039</v>
      </c>
      <c r="O55" s="202">
        <v>1.6</v>
      </c>
      <c r="P55" s="203">
        <v>1.6</v>
      </c>
      <c r="Q55" s="203">
        <v>0</v>
      </c>
      <c r="R55" s="204">
        <v>1.1000000000000001</v>
      </c>
      <c r="S55" s="203">
        <v>1.1000000000000001</v>
      </c>
      <c r="T55" s="203">
        <v>0</v>
      </c>
      <c r="V55" s="198">
        <v>2039</v>
      </c>
      <c r="W55" s="202">
        <v>1.6</v>
      </c>
      <c r="X55" s="203">
        <v>1.6</v>
      </c>
      <c r="Y55" s="203">
        <v>0</v>
      </c>
      <c r="Z55" s="204">
        <v>1.1000000000000001</v>
      </c>
      <c r="AA55" s="203">
        <v>1.1000000000000001</v>
      </c>
      <c r="AB55" s="203">
        <v>0</v>
      </c>
      <c r="AD55" s="198">
        <v>2039</v>
      </c>
      <c r="AE55" s="202" t="s">
        <v>82</v>
      </c>
      <c r="AF55" s="203" t="s">
        <v>82</v>
      </c>
      <c r="AG55" s="203" t="s">
        <v>82</v>
      </c>
      <c r="AH55" s="204" t="s">
        <v>82</v>
      </c>
      <c r="AI55" s="203" t="s">
        <v>82</v>
      </c>
      <c r="AJ55" s="203" t="s">
        <v>82</v>
      </c>
    </row>
    <row customFormat="1" r="56" s="205" spans="1:36" x14ac:dyDescent="0.2">
      <c r="A56" s="193">
        <v>52</v>
      </c>
      <c r="B56" s="194">
        <v>1</v>
      </c>
      <c r="C56" s="195" t="s">
        <v>79</v>
      </c>
      <c r="D56" s="195">
        <v>2</v>
      </c>
      <c r="E56" s="195" t="s">
        <v>100</v>
      </c>
      <c r="F56" s="196">
        <v>44104</v>
      </c>
      <c r="G56" s="197" t="s">
        <v>6</v>
      </c>
      <c r="H56" s="198">
        <v>2040</v>
      </c>
      <c r="I56" s="196" t="s">
        <v>103</v>
      </c>
      <c r="J56" s="199">
        <v>800</v>
      </c>
      <c r="K56" s="198">
        <v>954</v>
      </c>
      <c r="L56" s="200">
        <v>0</v>
      </c>
      <c r="M56" s="201"/>
      <c r="N56" s="199">
        <v>2040</v>
      </c>
      <c r="O56" s="202">
        <v>1.6</v>
      </c>
      <c r="P56" s="203">
        <v>1.6</v>
      </c>
      <c r="Q56" s="203">
        <v>0</v>
      </c>
      <c r="R56" s="204">
        <v>1.1000000000000001</v>
      </c>
      <c r="S56" s="203">
        <v>1.1000000000000001</v>
      </c>
      <c r="T56" s="203">
        <v>0</v>
      </c>
      <c r="V56" s="198">
        <v>2040</v>
      </c>
      <c r="W56" s="202">
        <v>1.6</v>
      </c>
      <c r="X56" s="203">
        <v>1.6</v>
      </c>
      <c r="Y56" s="203">
        <v>0</v>
      </c>
      <c r="Z56" s="204">
        <v>1.1000000000000001</v>
      </c>
      <c r="AA56" s="203">
        <v>1.1000000000000001</v>
      </c>
      <c r="AB56" s="203">
        <v>0</v>
      </c>
      <c r="AD56" s="198">
        <v>2040</v>
      </c>
      <c r="AE56" s="202" t="s">
        <v>82</v>
      </c>
      <c r="AF56" s="203" t="s">
        <v>82</v>
      </c>
      <c r="AG56" s="203" t="s">
        <v>82</v>
      </c>
      <c r="AH56" s="204" t="s">
        <v>82</v>
      </c>
      <c r="AI56" s="203" t="s">
        <v>82</v>
      </c>
      <c r="AJ56" s="203" t="s">
        <v>82</v>
      </c>
    </row>
    <row customFormat="1" r="57" s="205" spans="1:36" x14ac:dyDescent="0.2">
      <c r="A57" s="193">
        <v>53</v>
      </c>
      <c r="B57" s="194">
        <v>1</v>
      </c>
      <c r="C57" s="195" t="s">
        <v>79</v>
      </c>
      <c r="D57" s="195">
        <v>2</v>
      </c>
      <c r="E57" s="195" t="s">
        <v>100</v>
      </c>
      <c r="F57" s="196">
        <v>44453</v>
      </c>
      <c r="G57" s="197" t="s">
        <v>5</v>
      </c>
      <c r="H57" s="198">
        <v>2138</v>
      </c>
      <c r="I57" s="196" t="s">
        <v>104</v>
      </c>
      <c r="J57" s="199">
        <v>955</v>
      </c>
      <c r="K57" s="198">
        <v>1024</v>
      </c>
      <c r="L57" s="200">
        <v>0</v>
      </c>
      <c r="M57" s="201"/>
      <c r="N57" s="199">
        <v>2138</v>
      </c>
      <c r="O57" s="202">
        <v>0.7</v>
      </c>
      <c r="P57" s="203">
        <v>0.7</v>
      </c>
      <c r="Q57" s="203">
        <v>0</v>
      </c>
      <c r="R57" s="204">
        <v>0.7</v>
      </c>
      <c r="S57" s="203">
        <v>0.7</v>
      </c>
      <c r="T57" s="203">
        <v>0</v>
      </c>
      <c r="V57" s="198">
        <v>2138</v>
      </c>
      <c r="W57" s="202">
        <v>0.7</v>
      </c>
      <c r="X57" s="203">
        <v>0.7</v>
      </c>
      <c r="Y57" s="203">
        <v>0</v>
      </c>
      <c r="Z57" s="204">
        <v>0.7</v>
      </c>
      <c r="AA57" s="203">
        <v>0.7</v>
      </c>
      <c r="AB57" s="203">
        <v>0</v>
      </c>
      <c r="AD57" s="198">
        <v>2138</v>
      </c>
      <c r="AE57" s="202" t="s">
        <v>82</v>
      </c>
      <c r="AF57" s="203" t="s">
        <v>82</v>
      </c>
      <c r="AG57" s="203" t="s">
        <v>82</v>
      </c>
      <c r="AH57" s="204" t="s">
        <v>82</v>
      </c>
      <c r="AI57" s="203" t="s">
        <v>82</v>
      </c>
      <c r="AJ57" s="203" t="s">
        <v>82</v>
      </c>
    </row>
    <row customFormat="1" r="58" s="205" spans="1:36" x14ac:dyDescent="0.2">
      <c r="A58" s="193">
        <v>54</v>
      </c>
      <c r="B58" s="194">
        <v>1</v>
      </c>
      <c r="C58" s="195" t="s">
        <v>79</v>
      </c>
      <c r="D58" s="195">
        <v>2</v>
      </c>
      <c r="E58" s="195" t="s">
        <v>100</v>
      </c>
      <c r="F58" s="196">
        <v>44460</v>
      </c>
      <c r="G58" s="197" t="s">
        <v>5</v>
      </c>
      <c r="H58" s="198">
        <v>2139</v>
      </c>
      <c r="I58" s="196" t="s">
        <v>104</v>
      </c>
      <c r="J58" s="199">
        <v>955</v>
      </c>
      <c r="K58" s="198">
        <v>1024</v>
      </c>
      <c r="L58" s="200">
        <v>0</v>
      </c>
      <c r="M58" s="201"/>
      <c r="N58" s="199">
        <v>2139</v>
      </c>
      <c r="O58" s="202">
        <v>0.7</v>
      </c>
      <c r="P58" s="203">
        <v>0.7</v>
      </c>
      <c r="Q58" s="203">
        <v>0</v>
      </c>
      <c r="R58" s="204">
        <v>0.7</v>
      </c>
      <c r="S58" s="203">
        <v>0.7</v>
      </c>
      <c r="T58" s="203">
        <v>0</v>
      </c>
      <c r="V58" s="198">
        <v>2139</v>
      </c>
      <c r="W58" s="202">
        <v>0.7</v>
      </c>
      <c r="X58" s="203">
        <v>0.7</v>
      </c>
      <c r="Y58" s="203">
        <v>0</v>
      </c>
      <c r="Z58" s="204">
        <v>0.7</v>
      </c>
      <c r="AA58" s="203">
        <v>0.7</v>
      </c>
      <c r="AB58" s="203">
        <v>0</v>
      </c>
      <c r="AD58" s="198">
        <v>2139</v>
      </c>
      <c r="AE58" s="202" t="s">
        <v>82</v>
      </c>
      <c r="AF58" s="203" t="s">
        <v>82</v>
      </c>
      <c r="AG58" s="203" t="s">
        <v>82</v>
      </c>
      <c r="AH58" s="204" t="s">
        <v>82</v>
      </c>
      <c r="AI58" s="203" t="s">
        <v>82</v>
      </c>
      <c r="AJ58" s="203" t="s">
        <v>82</v>
      </c>
    </row>
    <row customFormat="1" r="59" s="205" spans="1:36" x14ac:dyDescent="0.2">
      <c r="A59" s="193">
        <v>55</v>
      </c>
      <c r="B59" s="194">
        <v>1</v>
      </c>
      <c r="C59" s="195" t="s">
        <v>79</v>
      </c>
      <c r="D59" s="195">
        <v>2</v>
      </c>
      <c r="E59" s="195" t="s">
        <v>100</v>
      </c>
      <c r="F59" s="196">
        <v>44463</v>
      </c>
      <c r="G59" s="197" t="s">
        <v>8</v>
      </c>
      <c r="H59" s="198">
        <v>2139</v>
      </c>
      <c r="I59" s="196" t="s">
        <v>105</v>
      </c>
      <c r="J59" s="199">
        <v>1750</v>
      </c>
      <c r="K59" s="198">
        <v>1859</v>
      </c>
      <c r="L59" s="200">
        <v>0</v>
      </c>
      <c r="M59" s="201"/>
      <c r="N59" s="199">
        <v>2139</v>
      </c>
      <c r="O59" s="202">
        <v>4.4000000000000004</v>
      </c>
      <c r="P59" s="203">
        <v>4.4000000000000004</v>
      </c>
      <c r="Q59" s="203">
        <v>0</v>
      </c>
      <c r="R59" s="204">
        <v>4.3</v>
      </c>
      <c r="S59" s="203">
        <v>4.3</v>
      </c>
      <c r="T59" s="203" t="s">
        <v>84</v>
      </c>
      <c r="V59" s="198">
        <v>2139</v>
      </c>
      <c r="W59" s="202">
        <v>4.4000000000000004</v>
      </c>
      <c r="X59" s="203">
        <v>4.4000000000000004</v>
      </c>
      <c r="Y59" s="203">
        <v>0</v>
      </c>
      <c r="Z59" s="204">
        <v>4.3</v>
      </c>
      <c r="AA59" s="203">
        <v>4.3</v>
      </c>
      <c r="AB59" s="203" t="s">
        <v>84</v>
      </c>
      <c r="AD59" s="198">
        <v>2139</v>
      </c>
      <c r="AE59" s="202" t="s">
        <v>82</v>
      </c>
      <c r="AF59" s="203" t="s">
        <v>82</v>
      </c>
      <c r="AG59" s="203" t="s">
        <v>82</v>
      </c>
      <c r="AH59" s="204" t="s">
        <v>82</v>
      </c>
      <c r="AI59" s="203" t="s">
        <v>82</v>
      </c>
      <c r="AJ59" s="203" t="s">
        <v>82</v>
      </c>
    </row>
    <row customFormat="1" r="60" s="205" spans="1:36" x14ac:dyDescent="0.2">
      <c r="A60" s="193">
        <v>56</v>
      </c>
      <c r="B60" s="194">
        <v>1</v>
      </c>
      <c r="C60" s="195" t="s">
        <v>79</v>
      </c>
      <c r="D60" s="195">
        <v>2</v>
      </c>
      <c r="E60" s="195" t="s">
        <v>100</v>
      </c>
      <c r="F60" s="196">
        <v>44467</v>
      </c>
      <c r="G60" s="197" t="s">
        <v>5</v>
      </c>
      <c r="H60" s="198">
        <v>2140</v>
      </c>
      <c r="I60" s="196" t="s">
        <v>104</v>
      </c>
      <c r="J60" s="199">
        <v>955</v>
      </c>
      <c r="K60" s="198">
        <v>1024</v>
      </c>
      <c r="L60" s="200">
        <v>0</v>
      </c>
      <c r="M60" s="201"/>
      <c r="N60" s="199">
        <v>2140</v>
      </c>
      <c r="O60" s="202">
        <v>0.7</v>
      </c>
      <c r="P60" s="203">
        <v>0.7</v>
      </c>
      <c r="Q60" s="203">
        <v>0</v>
      </c>
      <c r="R60" s="204">
        <v>0.7</v>
      </c>
      <c r="S60" s="203">
        <v>0.7</v>
      </c>
      <c r="T60" s="203">
        <v>0</v>
      </c>
      <c r="V60" s="198">
        <v>2140</v>
      </c>
      <c r="W60" s="202">
        <v>0.7</v>
      </c>
      <c r="X60" s="203">
        <v>0.7</v>
      </c>
      <c r="Y60" s="203">
        <v>0</v>
      </c>
      <c r="Z60" s="204">
        <v>0.7</v>
      </c>
      <c r="AA60" s="203">
        <v>0.7</v>
      </c>
      <c r="AB60" s="203">
        <v>0</v>
      </c>
      <c r="AD60" s="198">
        <v>2140</v>
      </c>
      <c r="AE60" s="202" t="s">
        <v>82</v>
      </c>
      <c r="AF60" s="203" t="s">
        <v>82</v>
      </c>
      <c r="AG60" s="203" t="s">
        <v>82</v>
      </c>
      <c r="AH60" s="204" t="s">
        <v>82</v>
      </c>
      <c r="AI60" s="203" t="s">
        <v>82</v>
      </c>
      <c r="AJ60" s="203" t="s">
        <v>82</v>
      </c>
    </row>
    <row customFormat="1" r="61" s="205" spans="1:36" x14ac:dyDescent="0.2">
      <c r="A61" s="193">
        <v>57</v>
      </c>
      <c r="B61" s="194">
        <v>1</v>
      </c>
      <c r="C61" s="195" t="s">
        <v>79</v>
      </c>
      <c r="D61" s="195">
        <v>2</v>
      </c>
      <c r="E61" s="195" t="s">
        <v>100</v>
      </c>
      <c r="F61" s="196">
        <v>44470</v>
      </c>
      <c r="G61" s="197" t="s">
        <v>8</v>
      </c>
      <c r="H61" s="198">
        <v>2140</v>
      </c>
      <c r="I61" s="196" t="s">
        <v>105</v>
      </c>
      <c r="J61" s="199">
        <v>1750</v>
      </c>
      <c r="K61" s="198">
        <v>1859</v>
      </c>
      <c r="L61" s="200">
        <v>0</v>
      </c>
      <c r="M61" s="201"/>
      <c r="N61" s="199">
        <v>2140</v>
      </c>
      <c r="O61" s="202">
        <v>4.4000000000000004</v>
      </c>
      <c r="P61" s="203">
        <v>4.4000000000000004</v>
      </c>
      <c r="Q61" s="203">
        <v>0</v>
      </c>
      <c r="R61" s="204">
        <v>4.5</v>
      </c>
      <c r="S61" s="203">
        <v>4.5</v>
      </c>
      <c r="T61" s="203" t="s">
        <v>84</v>
      </c>
      <c r="V61" s="198">
        <v>2140</v>
      </c>
      <c r="W61" s="202">
        <v>4.4000000000000004</v>
      </c>
      <c r="X61" s="203">
        <v>4.4000000000000004</v>
      </c>
      <c r="Y61" s="203">
        <v>0</v>
      </c>
      <c r="Z61" s="204">
        <v>4.5</v>
      </c>
      <c r="AA61" s="203">
        <v>4.5</v>
      </c>
      <c r="AB61" s="203" t="s">
        <v>84</v>
      </c>
      <c r="AD61" s="198">
        <v>2140</v>
      </c>
      <c r="AE61" s="202" t="s">
        <v>82</v>
      </c>
      <c r="AF61" s="203" t="s">
        <v>82</v>
      </c>
      <c r="AG61" s="203" t="s">
        <v>82</v>
      </c>
      <c r="AH61" s="204" t="s">
        <v>82</v>
      </c>
      <c r="AI61" s="203" t="s">
        <v>82</v>
      </c>
      <c r="AJ61" s="203" t="s">
        <v>82</v>
      </c>
    </row>
    <row customFormat="1" r="62" s="205" spans="1:36" x14ac:dyDescent="0.2">
      <c r="A62" s="193">
        <v>58</v>
      </c>
      <c r="B62" s="194">
        <v>1</v>
      </c>
      <c r="C62" s="195" t="s">
        <v>79</v>
      </c>
      <c r="D62" s="195">
        <v>2</v>
      </c>
      <c r="E62" s="195" t="s">
        <v>100</v>
      </c>
      <c r="F62" s="196">
        <v>44474</v>
      </c>
      <c r="G62" s="197" t="s">
        <v>5</v>
      </c>
      <c r="H62" s="198">
        <v>2141</v>
      </c>
      <c r="I62" s="196" t="s">
        <v>104</v>
      </c>
      <c r="J62" s="199">
        <v>955</v>
      </c>
      <c r="K62" s="198">
        <v>1024</v>
      </c>
      <c r="L62" s="200">
        <v>0</v>
      </c>
      <c r="M62" s="201"/>
      <c r="N62" s="199">
        <v>2141</v>
      </c>
      <c r="O62" s="202">
        <v>0.7</v>
      </c>
      <c r="P62" s="203">
        <v>0.7</v>
      </c>
      <c r="Q62" s="203">
        <v>0</v>
      </c>
      <c r="R62" s="204">
        <v>0.7</v>
      </c>
      <c r="S62" s="203">
        <v>0.7</v>
      </c>
      <c r="T62" s="203" t="s">
        <v>84</v>
      </c>
      <c r="V62" s="198">
        <v>2141</v>
      </c>
      <c r="W62" s="202">
        <v>0.7</v>
      </c>
      <c r="X62" s="203">
        <v>0.7</v>
      </c>
      <c r="Y62" s="203">
        <v>0</v>
      </c>
      <c r="Z62" s="204">
        <v>0.7</v>
      </c>
      <c r="AA62" s="203">
        <v>0.7</v>
      </c>
      <c r="AB62" s="203" t="s">
        <v>84</v>
      </c>
      <c r="AD62" s="198">
        <v>2141</v>
      </c>
      <c r="AE62" s="202" t="s">
        <v>82</v>
      </c>
      <c r="AF62" s="203" t="s">
        <v>82</v>
      </c>
      <c r="AG62" s="203" t="s">
        <v>82</v>
      </c>
      <c r="AH62" s="204" t="s">
        <v>82</v>
      </c>
      <c r="AI62" s="203" t="s">
        <v>82</v>
      </c>
      <c r="AJ62" s="203" t="s">
        <v>82</v>
      </c>
    </row>
    <row customFormat="1" r="63" s="205" spans="1:36" x14ac:dyDescent="0.2">
      <c r="A63" s="193">
        <v>59</v>
      </c>
      <c r="B63" s="194">
        <v>1</v>
      </c>
      <c r="C63" s="195" t="s">
        <v>79</v>
      </c>
      <c r="D63" s="195">
        <v>2</v>
      </c>
      <c r="E63" s="195" t="s">
        <v>100</v>
      </c>
      <c r="F63" s="196">
        <v>44477</v>
      </c>
      <c r="G63" s="197" t="s">
        <v>8</v>
      </c>
      <c r="H63" s="198">
        <v>2141</v>
      </c>
      <c r="I63" s="196" t="s">
        <v>105</v>
      </c>
      <c r="J63" s="199">
        <v>1750</v>
      </c>
      <c r="K63" s="198">
        <v>1859</v>
      </c>
      <c r="L63" s="200">
        <v>0</v>
      </c>
      <c r="M63" s="201"/>
      <c r="N63" s="199">
        <v>2141</v>
      </c>
      <c r="O63" s="202">
        <v>4.3</v>
      </c>
      <c r="P63" s="203">
        <v>4.3</v>
      </c>
      <c r="Q63" s="203">
        <v>0</v>
      </c>
      <c r="R63" s="204">
        <v>4.2</v>
      </c>
      <c r="S63" s="203">
        <v>4.2</v>
      </c>
      <c r="T63" s="203" t="s">
        <v>84</v>
      </c>
      <c r="V63" s="198">
        <v>2141</v>
      </c>
      <c r="W63" s="202">
        <v>4.3</v>
      </c>
      <c r="X63" s="203">
        <v>4.3</v>
      </c>
      <c r="Y63" s="203">
        <v>0</v>
      </c>
      <c r="Z63" s="204">
        <v>4.2</v>
      </c>
      <c r="AA63" s="203">
        <v>4.2</v>
      </c>
      <c r="AB63" s="203" t="s">
        <v>84</v>
      </c>
      <c r="AD63" s="198">
        <v>2141</v>
      </c>
      <c r="AE63" s="202" t="s">
        <v>82</v>
      </c>
      <c r="AF63" s="203" t="s">
        <v>82</v>
      </c>
      <c r="AG63" s="203" t="s">
        <v>82</v>
      </c>
      <c r="AH63" s="204" t="s">
        <v>82</v>
      </c>
      <c r="AI63" s="203" t="s">
        <v>82</v>
      </c>
      <c r="AJ63" s="203" t="s">
        <v>82</v>
      </c>
    </row>
    <row customFormat="1" r="64" s="205" spans="1:36" x14ac:dyDescent="0.2">
      <c r="A64" s="193">
        <v>60</v>
      </c>
      <c r="B64" s="194">
        <v>1</v>
      </c>
      <c r="C64" s="195" t="s">
        <v>79</v>
      </c>
      <c r="D64" s="195">
        <v>2</v>
      </c>
      <c r="E64" s="195" t="s">
        <v>100</v>
      </c>
      <c r="F64" s="196">
        <v>44484</v>
      </c>
      <c r="G64" s="197" t="s">
        <v>8</v>
      </c>
      <c r="H64" s="198">
        <v>2142</v>
      </c>
      <c r="I64" s="196" t="s">
        <v>105</v>
      </c>
      <c r="J64" s="199">
        <v>1750</v>
      </c>
      <c r="K64" s="198">
        <v>1859</v>
      </c>
      <c r="L64" s="200">
        <v>0</v>
      </c>
      <c r="M64" s="201"/>
      <c r="N64" s="199">
        <v>2142</v>
      </c>
      <c r="O64" s="202">
        <v>4.3</v>
      </c>
      <c r="P64" s="203">
        <v>4.3</v>
      </c>
      <c r="Q64" s="203">
        <v>0</v>
      </c>
      <c r="R64" s="204">
        <v>4</v>
      </c>
      <c r="S64" s="203">
        <v>4</v>
      </c>
      <c r="T64" s="203" t="s">
        <v>84</v>
      </c>
      <c r="V64" s="198">
        <v>2142</v>
      </c>
      <c r="W64" s="202">
        <v>4.3</v>
      </c>
      <c r="X64" s="203">
        <v>4.3</v>
      </c>
      <c r="Y64" s="203">
        <v>0</v>
      </c>
      <c r="Z64" s="204">
        <v>4</v>
      </c>
      <c r="AA64" s="203">
        <v>4</v>
      </c>
      <c r="AB64" s="203" t="s">
        <v>84</v>
      </c>
      <c r="AD64" s="198">
        <v>2142</v>
      </c>
      <c r="AE64" s="202" t="s">
        <v>82</v>
      </c>
      <c r="AF64" s="203" t="s">
        <v>82</v>
      </c>
      <c r="AG64" s="203" t="s">
        <v>82</v>
      </c>
      <c r="AH64" s="204" t="s">
        <v>82</v>
      </c>
      <c r="AI64" s="203" t="s">
        <v>82</v>
      </c>
      <c r="AJ64" s="203" t="s">
        <v>82</v>
      </c>
    </row>
    <row customFormat="1" r="65" s="205" spans="1:36" x14ac:dyDescent="0.2">
      <c r="A65" s="193">
        <v>61</v>
      </c>
      <c r="B65" s="194">
        <v>1</v>
      </c>
      <c r="C65" s="195" t="s">
        <v>79</v>
      </c>
      <c r="D65" s="195">
        <v>2</v>
      </c>
      <c r="E65" s="195" t="s">
        <v>100</v>
      </c>
      <c r="F65" s="196">
        <v>44561</v>
      </c>
      <c r="G65" s="197" t="s">
        <v>8</v>
      </c>
      <c r="H65" s="198">
        <v>2201</v>
      </c>
      <c r="I65" s="196" t="s">
        <v>106</v>
      </c>
      <c r="J65" s="199">
        <v>855</v>
      </c>
      <c r="K65" s="198">
        <v>1149</v>
      </c>
      <c r="L65" s="200">
        <v>0</v>
      </c>
      <c r="M65" s="201"/>
      <c r="N65" s="199">
        <v>2201</v>
      </c>
      <c r="O65" s="202">
        <v>1.3</v>
      </c>
      <c r="P65" s="203">
        <v>1.3</v>
      </c>
      <c r="Q65" s="203">
        <v>0</v>
      </c>
      <c r="R65" s="204">
        <v>1.7</v>
      </c>
      <c r="S65" s="203">
        <v>1.7</v>
      </c>
      <c r="T65" s="203">
        <v>0</v>
      </c>
      <c r="V65" s="198">
        <v>2201</v>
      </c>
      <c r="W65" s="202">
        <v>1.3</v>
      </c>
      <c r="X65" s="203">
        <v>1.3</v>
      </c>
      <c r="Y65" s="203">
        <v>0</v>
      </c>
      <c r="Z65" s="204">
        <v>1.7</v>
      </c>
      <c r="AA65" s="203">
        <v>1.7</v>
      </c>
      <c r="AB65" s="203">
        <v>0</v>
      </c>
      <c r="AD65" s="198">
        <v>2201</v>
      </c>
      <c r="AE65" s="202" t="s">
        <v>82</v>
      </c>
      <c r="AF65" s="203" t="s">
        <v>82</v>
      </c>
      <c r="AG65" s="203" t="s">
        <v>82</v>
      </c>
      <c r="AH65" s="204" t="s">
        <v>82</v>
      </c>
      <c r="AI65" s="203" t="s">
        <v>82</v>
      </c>
      <c r="AJ65" s="203" t="s">
        <v>82</v>
      </c>
    </row>
    <row customFormat="1" r="66" s="205" spans="1:36" x14ac:dyDescent="0.2">
      <c r="A66" s="193">
        <v>62</v>
      </c>
      <c r="B66" s="194">
        <v>1</v>
      </c>
      <c r="C66" s="195" t="s">
        <v>79</v>
      </c>
      <c r="D66" s="195">
        <v>2</v>
      </c>
      <c r="E66" s="195" t="s">
        <v>100</v>
      </c>
      <c r="F66" s="196">
        <v>44568</v>
      </c>
      <c r="G66" s="197" t="s">
        <v>8</v>
      </c>
      <c r="H66" s="198">
        <v>2202</v>
      </c>
      <c r="I66" s="196" t="s">
        <v>107</v>
      </c>
      <c r="J66" s="199">
        <v>955</v>
      </c>
      <c r="K66" s="198">
        <v>1024</v>
      </c>
      <c r="L66" s="200">
        <v>0</v>
      </c>
      <c r="M66" s="201"/>
      <c r="N66" s="199">
        <v>2202</v>
      </c>
      <c r="O66" s="202">
        <v>1.3</v>
      </c>
      <c r="P66" s="203">
        <v>1.1000000000000001</v>
      </c>
      <c r="Q66" s="203">
        <v>0.2</v>
      </c>
      <c r="R66" s="204">
        <v>1.2</v>
      </c>
      <c r="S66" s="203">
        <v>1.2</v>
      </c>
      <c r="T66" s="203" t="s">
        <v>84</v>
      </c>
      <c r="V66" s="198">
        <v>2202</v>
      </c>
      <c r="W66" s="202">
        <v>1.1000000000000001</v>
      </c>
      <c r="X66" s="203">
        <v>1.1000000000000001</v>
      </c>
      <c r="Y66" s="203">
        <v>0</v>
      </c>
      <c r="Z66" s="204">
        <v>1.2</v>
      </c>
      <c r="AA66" s="203">
        <v>1.2</v>
      </c>
      <c r="AB66" s="203" t="s">
        <v>84</v>
      </c>
      <c r="AD66" s="198">
        <v>2202</v>
      </c>
      <c r="AE66" s="202">
        <v>-0.19999999999999996</v>
      </c>
      <c r="AF66" s="203" t="s">
        <v>82</v>
      </c>
      <c r="AG66" s="203">
        <v>-0.2</v>
      </c>
      <c r="AH66" s="204" t="s">
        <v>82</v>
      </c>
      <c r="AI66" s="203" t="s">
        <v>82</v>
      </c>
      <c r="AJ66" s="203" t="s">
        <v>82</v>
      </c>
    </row>
    <row customFormat="1" r="67" s="205" spans="1:36" x14ac:dyDescent="0.2">
      <c r="A67" s="193">
        <v>63</v>
      </c>
      <c r="B67" s="194">
        <v>1</v>
      </c>
      <c r="C67" s="195" t="s">
        <v>79</v>
      </c>
      <c r="D67" s="195">
        <v>2</v>
      </c>
      <c r="E67" s="195" t="s">
        <v>100</v>
      </c>
      <c r="F67" s="196">
        <v>44575</v>
      </c>
      <c r="G67" s="197" t="s">
        <v>8</v>
      </c>
      <c r="H67" s="198">
        <v>2203</v>
      </c>
      <c r="I67" s="196" t="s">
        <v>107</v>
      </c>
      <c r="J67" s="199">
        <v>955</v>
      </c>
      <c r="K67" s="198">
        <v>1024</v>
      </c>
      <c r="L67" s="200">
        <v>0</v>
      </c>
      <c r="M67" s="201"/>
      <c r="N67" s="199">
        <v>2203</v>
      </c>
      <c r="O67" s="202">
        <v>1.4</v>
      </c>
      <c r="P67" s="203">
        <v>1.2</v>
      </c>
      <c r="Q67" s="203">
        <v>0.2</v>
      </c>
      <c r="R67" s="204">
        <v>1.2</v>
      </c>
      <c r="S67" s="203">
        <v>1.2</v>
      </c>
      <c r="T67" s="203" t="s">
        <v>84</v>
      </c>
      <c r="V67" s="198">
        <v>2203</v>
      </c>
      <c r="W67" s="202">
        <v>1.2</v>
      </c>
      <c r="X67" s="203">
        <v>1.2</v>
      </c>
      <c r="Y67" s="203">
        <v>0</v>
      </c>
      <c r="Z67" s="204">
        <v>1.2</v>
      </c>
      <c r="AA67" s="203">
        <v>1.2</v>
      </c>
      <c r="AB67" s="203" t="s">
        <v>84</v>
      </c>
      <c r="AD67" s="198">
        <v>2203</v>
      </c>
      <c r="AE67" s="202">
        <v>-0.19999999999999996</v>
      </c>
      <c r="AF67" s="203" t="s">
        <v>82</v>
      </c>
      <c r="AG67" s="203">
        <v>-0.2</v>
      </c>
      <c r="AH67" s="204" t="s">
        <v>82</v>
      </c>
      <c r="AI67" s="203" t="s">
        <v>82</v>
      </c>
      <c r="AJ67" s="203" t="s">
        <v>82</v>
      </c>
    </row>
    <row customFormat="1" r="68" s="205" spans="1:36" x14ac:dyDescent="0.2">
      <c r="A68" s="193">
        <v>64</v>
      </c>
      <c r="B68" s="194">
        <v>1</v>
      </c>
      <c r="C68" s="195" t="s">
        <v>79</v>
      </c>
      <c r="D68" s="195">
        <v>2</v>
      </c>
      <c r="E68" s="195" t="s">
        <v>100</v>
      </c>
      <c r="F68" s="196">
        <v>44582</v>
      </c>
      <c r="G68" s="197" t="s">
        <v>8</v>
      </c>
      <c r="H68" s="198">
        <v>2204</v>
      </c>
      <c r="I68" s="196" t="s">
        <v>108</v>
      </c>
      <c r="J68" s="199">
        <v>955</v>
      </c>
      <c r="K68" s="198">
        <v>1024</v>
      </c>
      <c r="L68" s="200">
        <v>0</v>
      </c>
      <c r="M68" s="201"/>
      <c r="N68" s="199">
        <v>2204</v>
      </c>
      <c r="O68" s="202">
        <v>1.3</v>
      </c>
      <c r="P68" s="203">
        <v>1.1000000000000001</v>
      </c>
      <c r="Q68" s="203">
        <v>0.2</v>
      </c>
      <c r="R68" s="204">
        <v>1.2</v>
      </c>
      <c r="S68" s="203">
        <v>1.2</v>
      </c>
      <c r="T68" s="203" t="s">
        <v>84</v>
      </c>
      <c r="V68" s="198">
        <v>2204</v>
      </c>
      <c r="W68" s="202">
        <v>1.1000000000000001</v>
      </c>
      <c r="X68" s="203">
        <v>1.1000000000000001</v>
      </c>
      <c r="Y68" s="203">
        <v>0</v>
      </c>
      <c r="Z68" s="204">
        <v>1.2</v>
      </c>
      <c r="AA68" s="203">
        <v>1.2</v>
      </c>
      <c r="AB68" s="203" t="s">
        <v>84</v>
      </c>
      <c r="AD68" s="198">
        <v>2204</v>
      </c>
      <c r="AE68" s="202">
        <v>-0.19999999999999996</v>
      </c>
      <c r="AF68" s="203" t="s">
        <v>82</v>
      </c>
      <c r="AG68" s="203">
        <v>-0.2</v>
      </c>
      <c r="AH68" s="204" t="s">
        <v>82</v>
      </c>
      <c r="AI68" s="203" t="s">
        <v>82</v>
      </c>
      <c r="AJ68" s="203" t="s">
        <v>82</v>
      </c>
    </row>
    <row customFormat="1" r="69" s="205" spans="1:36" x14ac:dyDescent="0.2">
      <c r="A69" s="193">
        <v>65</v>
      </c>
      <c r="B69" s="194">
        <v>1</v>
      </c>
      <c r="C69" s="195" t="s">
        <v>79</v>
      </c>
      <c r="D69" s="195">
        <v>2</v>
      </c>
      <c r="E69" s="195" t="s">
        <v>100</v>
      </c>
      <c r="F69" s="196">
        <v>44679</v>
      </c>
      <c r="G69" s="197" t="s">
        <v>7</v>
      </c>
      <c r="H69" s="198">
        <v>2218</v>
      </c>
      <c r="I69" s="196" t="s">
        <v>109</v>
      </c>
      <c r="J69" s="199">
        <v>600</v>
      </c>
      <c r="K69" s="198">
        <v>659</v>
      </c>
      <c r="L69" s="200">
        <v>0</v>
      </c>
      <c r="M69" s="201"/>
      <c r="N69" s="199">
        <v>2218</v>
      </c>
      <c r="O69" s="202">
        <v>1.7</v>
      </c>
      <c r="P69" s="203">
        <v>1.7</v>
      </c>
      <c r="Q69" s="203">
        <v>0</v>
      </c>
      <c r="R69" s="204">
        <v>2.1</v>
      </c>
      <c r="S69" s="203">
        <v>2.1</v>
      </c>
      <c r="T69" s="203" t="s">
        <v>84</v>
      </c>
      <c r="V69" s="198">
        <v>2218</v>
      </c>
      <c r="W69" s="202">
        <v>1.7</v>
      </c>
      <c r="X69" s="203">
        <v>1.7</v>
      </c>
      <c r="Y69" s="203">
        <v>0</v>
      </c>
      <c r="Z69" s="204">
        <v>2.1</v>
      </c>
      <c r="AA69" s="203">
        <v>2.1</v>
      </c>
      <c r="AB69" s="203" t="s">
        <v>84</v>
      </c>
      <c r="AD69" s="198">
        <v>2218</v>
      </c>
      <c r="AE69" s="202" t="s">
        <v>82</v>
      </c>
      <c r="AF69" s="203" t="s">
        <v>82</v>
      </c>
      <c r="AG69" s="203" t="s">
        <v>82</v>
      </c>
      <c r="AH69" s="204" t="s">
        <v>82</v>
      </c>
      <c r="AI69" s="203" t="s">
        <v>82</v>
      </c>
      <c r="AJ69" s="203" t="s">
        <v>82</v>
      </c>
    </row>
    <row customFormat="1" r="70" s="205" spans="1:36" x14ac:dyDescent="0.2">
      <c r="A70" s="193">
        <v>66</v>
      </c>
      <c r="B70" s="194">
        <v>1</v>
      </c>
      <c r="C70" s="195" t="s">
        <v>79</v>
      </c>
      <c r="D70" s="195">
        <v>2</v>
      </c>
      <c r="E70" s="195" t="s">
        <v>100</v>
      </c>
      <c r="F70" s="196">
        <v>44686</v>
      </c>
      <c r="G70" s="197" t="s">
        <v>7</v>
      </c>
      <c r="H70" s="198">
        <v>2219</v>
      </c>
      <c r="I70" s="196" t="s">
        <v>109</v>
      </c>
      <c r="J70" s="199">
        <v>600</v>
      </c>
      <c r="K70" s="198">
        <v>659</v>
      </c>
      <c r="L70" s="200">
        <v>0</v>
      </c>
      <c r="M70" s="201"/>
      <c r="N70" s="199">
        <v>2219</v>
      </c>
      <c r="O70" s="202">
        <v>1.7</v>
      </c>
      <c r="P70" s="203">
        <v>1.7</v>
      </c>
      <c r="Q70" s="203">
        <v>0</v>
      </c>
      <c r="R70" s="204">
        <v>2.2000000000000002</v>
      </c>
      <c r="S70" s="203">
        <v>2.2000000000000002</v>
      </c>
      <c r="T70" s="203" t="s">
        <v>84</v>
      </c>
      <c r="V70" s="198">
        <v>2219</v>
      </c>
      <c r="W70" s="202">
        <v>1.7</v>
      </c>
      <c r="X70" s="203">
        <v>1.7</v>
      </c>
      <c r="Y70" s="203">
        <v>0</v>
      </c>
      <c r="Z70" s="204">
        <v>2.2000000000000002</v>
      </c>
      <c r="AA70" s="203">
        <v>2.2000000000000002</v>
      </c>
      <c r="AB70" s="203" t="s">
        <v>84</v>
      </c>
      <c r="AD70" s="198">
        <v>2219</v>
      </c>
      <c r="AE70" s="202" t="s">
        <v>82</v>
      </c>
      <c r="AF70" s="203" t="s">
        <v>82</v>
      </c>
      <c r="AG70" s="203" t="s">
        <v>82</v>
      </c>
      <c r="AH70" s="204" t="s">
        <v>82</v>
      </c>
      <c r="AI70" s="203" t="s">
        <v>82</v>
      </c>
      <c r="AJ70" s="203" t="s">
        <v>82</v>
      </c>
    </row>
    <row customFormat="1" r="71" s="205" spans="1:36" x14ac:dyDescent="0.2">
      <c r="A71" s="193">
        <v>67</v>
      </c>
      <c r="B71" s="194">
        <v>1</v>
      </c>
      <c r="C71" s="195" t="s">
        <v>79</v>
      </c>
      <c r="D71" s="195">
        <v>2</v>
      </c>
      <c r="E71" s="195" t="s">
        <v>100</v>
      </c>
      <c r="F71" s="196">
        <v>44693</v>
      </c>
      <c r="G71" s="197" t="s">
        <v>7</v>
      </c>
      <c r="H71" s="198">
        <v>2220</v>
      </c>
      <c r="I71" s="196" t="s">
        <v>109</v>
      </c>
      <c r="J71" s="199">
        <v>600</v>
      </c>
      <c r="K71" s="198">
        <v>659</v>
      </c>
      <c r="L71" s="200">
        <v>0</v>
      </c>
      <c r="M71" s="201"/>
      <c r="N71" s="199">
        <v>2220</v>
      </c>
      <c r="O71" s="202">
        <v>1.7</v>
      </c>
      <c r="P71" s="203">
        <v>1.7</v>
      </c>
      <c r="Q71" s="203">
        <v>0</v>
      </c>
      <c r="R71" s="204">
        <v>2.1</v>
      </c>
      <c r="S71" s="203">
        <v>2.1</v>
      </c>
      <c r="T71" s="203" t="s">
        <v>84</v>
      </c>
      <c r="V71" s="198">
        <v>2220</v>
      </c>
      <c r="W71" s="202">
        <v>1.7</v>
      </c>
      <c r="X71" s="203">
        <v>1.7</v>
      </c>
      <c r="Y71" s="203">
        <v>0</v>
      </c>
      <c r="Z71" s="204">
        <v>2.1</v>
      </c>
      <c r="AA71" s="203">
        <v>2.1</v>
      </c>
      <c r="AB71" s="203" t="s">
        <v>84</v>
      </c>
      <c r="AD71" s="198">
        <v>2220</v>
      </c>
      <c r="AE71" s="202" t="s">
        <v>82</v>
      </c>
      <c r="AF71" s="203" t="s">
        <v>82</v>
      </c>
      <c r="AG71" s="203" t="s">
        <v>82</v>
      </c>
      <c r="AH71" s="204" t="s">
        <v>82</v>
      </c>
      <c r="AI71" s="203" t="s">
        <v>82</v>
      </c>
      <c r="AJ71" s="203" t="s">
        <v>82</v>
      </c>
    </row>
    <row customFormat="1" r="72" s="214" spans="1:36" x14ac:dyDescent="0.2">
      <c r="A72" s="193">
        <v>68</v>
      </c>
      <c r="B72" s="206">
        <v>1</v>
      </c>
      <c r="C72" s="207" t="s">
        <v>79</v>
      </c>
      <c r="D72" s="207">
        <v>2</v>
      </c>
      <c r="E72" s="207" t="s">
        <v>100</v>
      </c>
      <c r="F72" s="208">
        <v>44700</v>
      </c>
      <c r="G72" s="209" t="s">
        <v>7</v>
      </c>
      <c r="H72" s="210">
        <v>2221</v>
      </c>
      <c r="I72" s="208" t="s">
        <v>109</v>
      </c>
      <c r="J72" s="211">
        <v>600</v>
      </c>
      <c r="K72" s="210">
        <v>659</v>
      </c>
      <c r="L72" s="200">
        <v>0</v>
      </c>
      <c r="M72" s="212"/>
      <c r="N72" s="211">
        <v>2221</v>
      </c>
      <c r="O72" s="202">
        <v>1.7</v>
      </c>
      <c r="P72" s="213">
        <v>1.7</v>
      </c>
      <c r="Q72" s="213">
        <v>0</v>
      </c>
      <c r="R72" s="204">
        <v>2.1</v>
      </c>
      <c r="S72" s="213">
        <v>2.1</v>
      </c>
      <c r="T72" s="213" t="s">
        <v>84</v>
      </c>
      <c r="V72" s="210">
        <v>2221</v>
      </c>
      <c r="W72" s="202">
        <v>1.7</v>
      </c>
      <c r="X72" s="213">
        <v>1.7</v>
      </c>
      <c r="Y72" s="213">
        <v>0</v>
      </c>
      <c r="Z72" s="204">
        <v>2.1</v>
      </c>
      <c r="AA72" s="213">
        <v>2.1</v>
      </c>
      <c r="AB72" s="213" t="s">
        <v>84</v>
      </c>
      <c r="AD72" s="210">
        <v>2221</v>
      </c>
      <c r="AE72" s="202" t="s">
        <v>82</v>
      </c>
      <c r="AF72" s="213" t="s">
        <v>82</v>
      </c>
      <c r="AG72" s="213" t="s">
        <v>82</v>
      </c>
      <c r="AH72" s="204" t="s">
        <v>82</v>
      </c>
      <c r="AI72" s="213" t="s">
        <v>82</v>
      </c>
      <c r="AJ72" s="213" t="s">
        <v>82</v>
      </c>
    </row>
    <row customFormat="1" r="73" s="205" spans="1:36" x14ac:dyDescent="0.2">
      <c r="A73" s="193">
        <v>69</v>
      </c>
      <c r="B73" s="194">
        <v>1</v>
      </c>
      <c r="C73" s="195" t="s">
        <v>79</v>
      </c>
      <c r="D73" s="195">
        <v>3</v>
      </c>
      <c r="E73" s="195" t="s">
        <v>110</v>
      </c>
      <c r="F73" s="196">
        <v>44058</v>
      </c>
      <c r="G73" s="197" t="s">
        <v>9</v>
      </c>
      <c r="H73" s="198">
        <v>2033</v>
      </c>
      <c r="I73" s="196" t="s">
        <v>111</v>
      </c>
      <c r="J73" s="199">
        <v>1105</v>
      </c>
      <c r="K73" s="198">
        <v>1149</v>
      </c>
      <c r="L73" s="200">
        <v>0</v>
      </c>
      <c r="M73" s="201"/>
      <c r="N73" s="199">
        <v>2033</v>
      </c>
      <c r="O73" s="202">
        <v>1.8</v>
      </c>
      <c r="P73" s="203">
        <v>1.7</v>
      </c>
      <c r="Q73" s="203">
        <v>0.1</v>
      </c>
      <c r="R73" s="204">
        <v>1.8</v>
      </c>
      <c r="S73" s="203">
        <v>1.7</v>
      </c>
      <c r="T73" s="203">
        <v>0.1</v>
      </c>
      <c r="V73" s="198">
        <v>2033</v>
      </c>
      <c r="W73" s="202">
        <v>1.8</v>
      </c>
      <c r="X73" s="203">
        <v>1.7</v>
      </c>
      <c r="Y73" s="203">
        <v>0.1</v>
      </c>
      <c r="Z73" s="204">
        <v>1.8</v>
      </c>
      <c r="AA73" s="203">
        <v>1.7</v>
      </c>
      <c r="AB73" s="203">
        <v>0.1</v>
      </c>
      <c r="AD73" s="198">
        <v>2033</v>
      </c>
      <c r="AE73" s="202" t="s">
        <v>82</v>
      </c>
      <c r="AF73" s="203" t="s">
        <v>82</v>
      </c>
      <c r="AG73" s="203" t="s">
        <v>82</v>
      </c>
      <c r="AH73" s="204" t="s">
        <v>82</v>
      </c>
      <c r="AI73" s="203" t="s">
        <v>82</v>
      </c>
      <c r="AJ73" s="203" t="s">
        <v>82</v>
      </c>
    </row>
    <row customFormat="1" r="74" s="205" spans="1:36" x14ac:dyDescent="0.2">
      <c r="A74" s="193">
        <v>70</v>
      </c>
      <c r="B74" s="194">
        <v>1</v>
      </c>
      <c r="C74" s="195" t="s">
        <v>79</v>
      </c>
      <c r="D74" s="195">
        <v>3</v>
      </c>
      <c r="E74" s="195" t="s">
        <v>110</v>
      </c>
      <c r="F74" s="196">
        <v>44059</v>
      </c>
      <c r="G74" s="197" t="s">
        <v>10</v>
      </c>
      <c r="H74" s="198">
        <v>2033</v>
      </c>
      <c r="I74" s="196" t="s">
        <v>112</v>
      </c>
      <c r="J74" s="199">
        <v>1115</v>
      </c>
      <c r="K74" s="198">
        <v>1144</v>
      </c>
      <c r="L74" s="200">
        <v>1</v>
      </c>
      <c r="M74" s="201"/>
      <c r="N74" s="199">
        <v>2033</v>
      </c>
      <c r="O74" s="202">
        <v>2.7</v>
      </c>
      <c r="P74" s="203">
        <v>2.6</v>
      </c>
      <c r="Q74" s="203">
        <v>0.1</v>
      </c>
      <c r="R74" s="204">
        <v>2.5</v>
      </c>
      <c r="S74" s="203">
        <v>2.2000000000000002</v>
      </c>
      <c r="T74" s="203">
        <v>0.3</v>
      </c>
      <c r="V74" s="198">
        <v>2033</v>
      </c>
      <c r="W74" s="202">
        <v>2.6</v>
      </c>
      <c r="X74" s="203">
        <v>2.6</v>
      </c>
      <c r="Y74" s="203">
        <v>0</v>
      </c>
      <c r="Z74" s="204">
        <v>2.2000000000000002</v>
      </c>
      <c r="AA74" s="203">
        <v>2.2000000000000002</v>
      </c>
      <c r="AB74" s="203">
        <v>0</v>
      </c>
      <c r="AD74" s="198">
        <v>2033</v>
      </c>
      <c r="AE74" s="202">
        <v>-0.10000000000000009</v>
      </c>
      <c r="AF74" s="203" t="s">
        <v>82</v>
      </c>
      <c r="AG74" s="203">
        <v>-0.1</v>
      </c>
      <c r="AH74" s="204">
        <v>-0.29999999999999982</v>
      </c>
      <c r="AI74" s="203" t="s">
        <v>82</v>
      </c>
      <c r="AJ74" s="203">
        <v>-0.3</v>
      </c>
    </row>
    <row customFormat="1" r="75" s="205" spans="1:36" x14ac:dyDescent="0.2">
      <c r="A75" s="193">
        <v>71</v>
      </c>
      <c r="B75" s="194">
        <v>1</v>
      </c>
      <c r="C75" s="195" t="s">
        <v>79</v>
      </c>
      <c r="D75" s="195">
        <v>3</v>
      </c>
      <c r="E75" s="195" t="s">
        <v>110</v>
      </c>
      <c r="F75" s="196">
        <v>44065</v>
      </c>
      <c r="G75" s="197" t="s">
        <v>9</v>
      </c>
      <c r="H75" s="198">
        <v>2034</v>
      </c>
      <c r="I75" s="196" t="s">
        <v>111</v>
      </c>
      <c r="J75" s="199">
        <v>1105</v>
      </c>
      <c r="K75" s="198">
        <v>1149</v>
      </c>
      <c r="L75" s="200">
        <v>0</v>
      </c>
      <c r="M75" s="201"/>
      <c r="N75" s="199">
        <v>2034</v>
      </c>
      <c r="O75" s="202">
        <v>1.9</v>
      </c>
      <c r="P75" s="203">
        <v>1.8</v>
      </c>
      <c r="Q75" s="203">
        <v>0.1</v>
      </c>
      <c r="R75" s="204">
        <v>2</v>
      </c>
      <c r="S75" s="203">
        <v>1.9</v>
      </c>
      <c r="T75" s="203">
        <v>0.1</v>
      </c>
      <c r="V75" s="198">
        <v>2034</v>
      </c>
      <c r="W75" s="202">
        <v>1.9</v>
      </c>
      <c r="X75" s="203">
        <v>1.8</v>
      </c>
      <c r="Y75" s="203">
        <v>0.1</v>
      </c>
      <c r="Z75" s="204">
        <v>2</v>
      </c>
      <c r="AA75" s="203">
        <v>1.9</v>
      </c>
      <c r="AB75" s="203">
        <v>0.1</v>
      </c>
      <c r="AD75" s="198">
        <v>2034</v>
      </c>
      <c r="AE75" s="202"/>
      <c r="AF75" s="203" t="s">
        <v>82</v>
      </c>
      <c r="AG75" s="203" t="s">
        <v>82</v>
      </c>
      <c r="AH75" s="204" t="s">
        <v>82</v>
      </c>
      <c r="AI75" s="203" t="s">
        <v>82</v>
      </c>
      <c r="AJ75" s="203" t="s">
        <v>82</v>
      </c>
    </row>
    <row customFormat="1" r="76" s="205" spans="1:36" x14ac:dyDescent="0.2">
      <c r="A76" s="193">
        <v>72</v>
      </c>
      <c r="B76" s="194">
        <v>1</v>
      </c>
      <c r="C76" s="195" t="s">
        <v>79</v>
      </c>
      <c r="D76" s="195">
        <v>3</v>
      </c>
      <c r="E76" s="195" t="s">
        <v>110</v>
      </c>
      <c r="F76" s="196">
        <v>44066</v>
      </c>
      <c r="G76" s="197" t="s">
        <v>10</v>
      </c>
      <c r="H76" s="198">
        <v>2034</v>
      </c>
      <c r="I76" s="196" t="s">
        <v>112</v>
      </c>
      <c r="J76" s="199">
        <v>1115</v>
      </c>
      <c r="K76" s="198">
        <v>1144</v>
      </c>
      <c r="L76" s="200">
        <v>1</v>
      </c>
      <c r="M76" s="201"/>
      <c r="N76" s="199">
        <v>2034</v>
      </c>
      <c r="O76" s="202">
        <v>2.6</v>
      </c>
      <c r="P76" s="203">
        <v>2.5</v>
      </c>
      <c r="Q76" s="203">
        <v>0.1</v>
      </c>
      <c r="R76" s="204">
        <v>2.5</v>
      </c>
      <c r="S76" s="203">
        <v>2.2000000000000002</v>
      </c>
      <c r="T76" s="203">
        <v>0.3</v>
      </c>
      <c r="V76" s="198">
        <v>2034</v>
      </c>
      <c r="W76" s="202">
        <v>2.5</v>
      </c>
      <c r="X76" s="203">
        <v>2.5</v>
      </c>
      <c r="Y76" s="203">
        <v>0</v>
      </c>
      <c r="Z76" s="204">
        <v>2.2000000000000002</v>
      </c>
      <c r="AA76" s="203">
        <v>2.2000000000000002</v>
      </c>
      <c r="AB76" s="203">
        <v>0</v>
      </c>
      <c r="AD76" s="198">
        <v>2034</v>
      </c>
      <c r="AE76" s="202">
        <v>-0.10000000000000009</v>
      </c>
      <c r="AF76" s="203" t="s">
        <v>82</v>
      </c>
      <c r="AG76" s="203">
        <v>-0.1</v>
      </c>
      <c r="AH76" s="204">
        <v>-0.29999999999999982</v>
      </c>
      <c r="AI76" s="203" t="s">
        <v>82</v>
      </c>
      <c r="AJ76" s="203">
        <v>-0.3</v>
      </c>
    </row>
    <row customFormat="1" r="77" s="205" spans="1:36" x14ac:dyDescent="0.2">
      <c r="A77" s="193">
        <v>73</v>
      </c>
      <c r="B77" s="194">
        <v>1</v>
      </c>
      <c r="C77" s="195" t="s">
        <v>79</v>
      </c>
      <c r="D77" s="195">
        <v>3</v>
      </c>
      <c r="E77" s="195" t="s">
        <v>110</v>
      </c>
      <c r="F77" s="196">
        <v>44072</v>
      </c>
      <c r="G77" s="197" t="s">
        <v>9</v>
      </c>
      <c r="H77" s="198">
        <v>2035</v>
      </c>
      <c r="I77" s="196" t="s">
        <v>111</v>
      </c>
      <c r="J77" s="199">
        <v>1105</v>
      </c>
      <c r="K77" s="198">
        <v>1149</v>
      </c>
      <c r="L77" s="200">
        <v>0</v>
      </c>
      <c r="M77" s="201"/>
      <c r="N77" s="199">
        <v>2035</v>
      </c>
      <c r="O77" s="202">
        <v>2.1</v>
      </c>
      <c r="P77" s="203">
        <v>2</v>
      </c>
      <c r="Q77" s="203">
        <v>0.1</v>
      </c>
      <c r="R77" s="204">
        <v>2.2000000000000002</v>
      </c>
      <c r="S77" s="203">
        <v>2.1</v>
      </c>
      <c r="T77" s="203">
        <v>0.1</v>
      </c>
      <c r="V77" s="198">
        <v>2035</v>
      </c>
      <c r="W77" s="202">
        <v>2.1</v>
      </c>
      <c r="X77" s="203">
        <v>2</v>
      </c>
      <c r="Y77" s="203">
        <v>0.1</v>
      </c>
      <c r="Z77" s="204">
        <v>2.2000000000000002</v>
      </c>
      <c r="AA77" s="203">
        <v>2.1</v>
      </c>
      <c r="AB77" s="203">
        <v>0.1</v>
      </c>
      <c r="AD77" s="198">
        <v>2035</v>
      </c>
      <c r="AE77" s="202" t="s">
        <v>82</v>
      </c>
      <c r="AF77" s="203" t="s">
        <v>82</v>
      </c>
      <c r="AG77" s="203" t="s">
        <v>82</v>
      </c>
      <c r="AH77" s="204" t="s">
        <v>82</v>
      </c>
      <c r="AI77" s="203" t="s">
        <v>82</v>
      </c>
      <c r="AJ77" s="203" t="s">
        <v>82</v>
      </c>
    </row>
    <row customFormat="1" r="78" s="205" spans="1:36" x14ac:dyDescent="0.2">
      <c r="A78" s="193">
        <v>74</v>
      </c>
      <c r="B78" s="194">
        <v>1</v>
      </c>
      <c r="C78" s="195" t="s">
        <v>79</v>
      </c>
      <c r="D78" s="195">
        <v>3</v>
      </c>
      <c r="E78" s="195" t="s">
        <v>110</v>
      </c>
      <c r="F78" s="196">
        <v>44073</v>
      </c>
      <c r="G78" s="197" t="s">
        <v>10</v>
      </c>
      <c r="H78" s="198">
        <v>2035</v>
      </c>
      <c r="I78" s="196" t="s">
        <v>112</v>
      </c>
      <c r="J78" s="199">
        <v>1115</v>
      </c>
      <c r="K78" s="198">
        <v>1144</v>
      </c>
      <c r="L78" s="200">
        <v>1</v>
      </c>
      <c r="M78" s="201"/>
      <c r="N78" s="199">
        <v>2035</v>
      </c>
      <c r="O78" s="202">
        <v>2.6</v>
      </c>
      <c r="P78" s="203">
        <v>2.5</v>
      </c>
      <c r="Q78" s="203">
        <v>0.1</v>
      </c>
      <c r="R78" s="204">
        <v>2.5</v>
      </c>
      <c r="S78" s="203">
        <v>2.2000000000000002</v>
      </c>
      <c r="T78" s="203">
        <v>0.3</v>
      </c>
      <c r="V78" s="198">
        <v>2035</v>
      </c>
      <c r="W78" s="202">
        <v>2.5</v>
      </c>
      <c r="X78" s="203">
        <v>2.5</v>
      </c>
      <c r="Y78" s="203">
        <v>0</v>
      </c>
      <c r="Z78" s="204">
        <v>2.2000000000000002</v>
      </c>
      <c r="AA78" s="203">
        <v>2.2000000000000002</v>
      </c>
      <c r="AB78" s="203">
        <v>0</v>
      </c>
      <c r="AD78" s="198">
        <v>2035</v>
      </c>
      <c r="AE78" s="202">
        <v>-0.10000000000000009</v>
      </c>
      <c r="AF78" s="203" t="s">
        <v>82</v>
      </c>
      <c r="AG78" s="203">
        <v>-0.1</v>
      </c>
      <c r="AH78" s="204">
        <v>-0.29999999999999982</v>
      </c>
      <c r="AI78" s="203" t="s">
        <v>82</v>
      </c>
      <c r="AJ78" s="203">
        <v>-0.3</v>
      </c>
    </row>
    <row customFormat="1" r="79" s="205" spans="1:36" x14ac:dyDescent="0.2">
      <c r="A79" s="193">
        <v>75</v>
      </c>
      <c r="B79" s="194">
        <v>1</v>
      </c>
      <c r="C79" s="195" t="s">
        <v>79</v>
      </c>
      <c r="D79" s="195">
        <v>3</v>
      </c>
      <c r="E79" s="195" t="s">
        <v>110</v>
      </c>
      <c r="F79" s="196">
        <v>44079</v>
      </c>
      <c r="G79" s="197" t="s">
        <v>9</v>
      </c>
      <c r="H79" s="198">
        <v>2036</v>
      </c>
      <c r="I79" s="196" t="s">
        <v>111</v>
      </c>
      <c r="J79" s="199">
        <v>1105</v>
      </c>
      <c r="K79" s="198">
        <v>1149</v>
      </c>
      <c r="L79" s="200">
        <v>0</v>
      </c>
      <c r="M79" s="201"/>
      <c r="N79" s="199">
        <v>2036</v>
      </c>
      <c r="O79" s="202">
        <v>2.1</v>
      </c>
      <c r="P79" s="203">
        <v>2</v>
      </c>
      <c r="Q79" s="203">
        <v>0.1</v>
      </c>
      <c r="R79" s="204">
        <v>2.2000000000000002</v>
      </c>
      <c r="S79" s="203">
        <v>2.1</v>
      </c>
      <c r="T79" s="203">
        <v>0.1</v>
      </c>
      <c r="V79" s="198">
        <v>2036</v>
      </c>
      <c r="W79" s="202">
        <v>2.1</v>
      </c>
      <c r="X79" s="203">
        <v>2</v>
      </c>
      <c r="Y79" s="203">
        <v>0.1</v>
      </c>
      <c r="Z79" s="204">
        <v>2.2000000000000002</v>
      </c>
      <c r="AA79" s="203">
        <v>2.1</v>
      </c>
      <c r="AB79" s="203">
        <v>0.1</v>
      </c>
      <c r="AD79" s="198">
        <v>2036</v>
      </c>
      <c r="AE79" s="202" t="s">
        <v>82</v>
      </c>
      <c r="AF79" s="203" t="s">
        <v>82</v>
      </c>
      <c r="AG79" s="203" t="s">
        <v>82</v>
      </c>
      <c r="AH79" s="204" t="s">
        <v>82</v>
      </c>
      <c r="AI79" s="203" t="s">
        <v>82</v>
      </c>
      <c r="AJ79" s="203" t="s">
        <v>82</v>
      </c>
    </row>
    <row customFormat="1" r="80" s="205" spans="1:36" x14ac:dyDescent="0.2">
      <c r="A80" s="193">
        <v>76</v>
      </c>
      <c r="B80" s="194">
        <v>1</v>
      </c>
      <c r="C80" s="195" t="s">
        <v>79</v>
      </c>
      <c r="D80" s="195">
        <v>3</v>
      </c>
      <c r="E80" s="195" t="s">
        <v>110</v>
      </c>
      <c r="F80" s="196">
        <v>44080</v>
      </c>
      <c r="G80" s="197" t="s">
        <v>10</v>
      </c>
      <c r="H80" s="198">
        <v>2036</v>
      </c>
      <c r="I80" s="196" t="s">
        <v>112</v>
      </c>
      <c r="J80" s="199">
        <v>1115</v>
      </c>
      <c r="K80" s="198">
        <v>1144</v>
      </c>
      <c r="L80" s="200">
        <v>1</v>
      </c>
      <c r="M80" s="201"/>
      <c r="N80" s="199">
        <v>2036</v>
      </c>
      <c r="O80" s="202">
        <v>2.6</v>
      </c>
      <c r="P80" s="203">
        <v>2.5</v>
      </c>
      <c r="Q80" s="203">
        <v>0.1</v>
      </c>
      <c r="R80" s="204">
        <v>2.5</v>
      </c>
      <c r="S80" s="203">
        <v>2.2000000000000002</v>
      </c>
      <c r="T80" s="203">
        <v>0.3</v>
      </c>
      <c r="V80" s="198">
        <v>2036</v>
      </c>
      <c r="W80" s="202">
        <v>2.5</v>
      </c>
      <c r="X80" s="203">
        <v>2.5</v>
      </c>
      <c r="Y80" s="203">
        <v>0</v>
      </c>
      <c r="Z80" s="204">
        <v>2.2000000000000002</v>
      </c>
      <c r="AA80" s="203">
        <v>2.2000000000000002</v>
      </c>
      <c r="AB80" s="203">
        <v>0</v>
      </c>
      <c r="AD80" s="198">
        <v>2036</v>
      </c>
      <c r="AE80" s="202">
        <v>-0.10000000000000009</v>
      </c>
      <c r="AF80" s="203" t="s">
        <v>82</v>
      </c>
      <c r="AG80" s="203">
        <v>-0.1</v>
      </c>
      <c r="AH80" s="204">
        <v>-0.29999999999999982</v>
      </c>
      <c r="AI80" s="203" t="s">
        <v>82</v>
      </c>
      <c r="AJ80" s="203">
        <v>-0.3</v>
      </c>
    </row>
    <row customFormat="1" r="81" s="205" spans="1:36" x14ac:dyDescent="0.2">
      <c r="A81" s="193">
        <v>77</v>
      </c>
      <c r="B81" s="194">
        <v>1</v>
      </c>
      <c r="C81" s="195" t="s">
        <v>79</v>
      </c>
      <c r="D81" s="195">
        <v>3</v>
      </c>
      <c r="E81" s="195" t="s">
        <v>110</v>
      </c>
      <c r="F81" s="196">
        <v>44380</v>
      </c>
      <c r="G81" s="197" t="s">
        <v>9</v>
      </c>
      <c r="H81" s="198">
        <v>2127</v>
      </c>
      <c r="I81" s="196" t="s">
        <v>113</v>
      </c>
      <c r="J81" s="199">
        <v>700</v>
      </c>
      <c r="K81" s="198">
        <v>829</v>
      </c>
      <c r="L81" s="200">
        <v>1</v>
      </c>
      <c r="M81" s="201"/>
      <c r="N81" s="199">
        <v>2127</v>
      </c>
      <c r="O81" s="202">
        <v>3.4</v>
      </c>
      <c r="P81" s="203">
        <v>3.4</v>
      </c>
      <c r="Q81" s="203">
        <v>0</v>
      </c>
      <c r="R81" s="204">
        <v>3</v>
      </c>
      <c r="S81" s="203">
        <v>2.9</v>
      </c>
      <c r="T81" s="203">
        <v>0.1</v>
      </c>
      <c r="V81" s="198">
        <v>2127</v>
      </c>
      <c r="W81" s="202">
        <v>3.4</v>
      </c>
      <c r="X81" s="203">
        <v>3.4</v>
      </c>
      <c r="Y81" s="203">
        <v>0</v>
      </c>
      <c r="Z81" s="204">
        <v>2.9</v>
      </c>
      <c r="AA81" s="203">
        <v>2.9</v>
      </c>
      <c r="AB81" s="203">
        <v>0</v>
      </c>
      <c r="AD81" s="198">
        <v>2127</v>
      </c>
      <c r="AE81" s="202" t="s">
        <v>82</v>
      </c>
      <c r="AF81" s="203" t="s">
        <v>82</v>
      </c>
      <c r="AG81" s="203" t="s">
        <v>82</v>
      </c>
      <c r="AH81" s="204">
        <v>-0.10000000000000009</v>
      </c>
      <c r="AI81" s="203" t="s">
        <v>82</v>
      </c>
      <c r="AJ81" s="203">
        <v>-0.1</v>
      </c>
    </row>
    <row customFormat="1" r="82" s="205" spans="1:36" x14ac:dyDescent="0.2">
      <c r="A82" s="193">
        <v>78</v>
      </c>
      <c r="B82" s="194">
        <v>1</v>
      </c>
      <c r="C82" s="195" t="s">
        <v>79</v>
      </c>
      <c r="D82" s="195">
        <v>3</v>
      </c>
      <c r="E82" s="195" t="s">
        <v>110</v>
      </c>
      <c r="F82" s="196">
        <v>44387</v>
      </c>
      <c r="G82" s="197" t="s">
        <v>9</v>
      </c>
      <c r="H82" s="198">
        <v>2128</v>
      </c>
      <c r="I82" s="196" t="s">
        <v>113</v>
      </c>
      <c r="J82" s="199">
        <v>700</v>
      </c>
      <c r="K82" s="198">
        <v>829</v>
      </c>
      <c r="L82" s="200">
        <v>1</v>
      </c>
      <c r="M82" s="201"/>
      <c r="N82" s="199">
        <v>2128</v>
      </c>
      <c r="O82" s="202">
        <v>3.4</v>
      </c>
      <c r="P82" s="203">
        <v>3.4</v>
      </c>
      <c r="Q82" s="203">
        <v>0</v>
      </c>
      <c r="R82" s="204">
        <v>2.9</v>
      </c>
      <c r="S82" s="203">
        <v>2.8</v>
      </c>
      <c r="T82" s="203">
        <v>0.1</v>
      </c>
      <c r="V82" s="198">
        <v>2128</v>
      </c>
      <c r="W82" s="202">
        <v>3.4</v>
      </c>
      <c r="X82" s="203">
        <v>3.4</v>
      </c>
      <c r="Y82" s="203">
        <v>0</v>
      </c>
      <c r="Z82" s="204">
        <v>2.8</v>
      </c>
      <c r="AA82" s="203">
        <v>2.8</v>
      </c>
      <c r="AB82" s="203">
        <v>0</v>
      </c>
      <c r="AD82" s="198">
        <v>2128</v>
      </c>
      <c r="AE82" s="202" t="s">
        <v>82</v>
      </c>
      <c r="AF82" s="203" t="s">
        <v>82</v>
      </c>
      <c r="AG82" s="203" t="s">
        <v>82</v>
      </c>
      <c r="AH82" s="204">
        <v>-0.10000000000000009</v>
      </c>
      <c r="AI82" s="203" t="s">
        <v>82</v>
      </c>
      <c r="AJ82" s="203">
        <v>-0.1</v>
      </c>
    </row>
    <row customFormat="1" r="83" s="205" spans="1:36" x14ac:dyDescent="0.2">
      <c r="A83" s="193">
        <v>79</v>
      </c>
      <c r="B83" s="194">
        <v>1</v>
      </c>
      <c r="C83" s="195" t="s">
        <v>79</v>
      </c>
      <c r="D83" s="195">
        <v>3</v>
      </c>
      <c r="E83" s="195" t="s">
        <v>110</v>
      </c>
      <c r="F83" s="196">
        <v>44394</v>
      </c>
      <c r="G83" s="197" t="s">
        <v>9</v>
      </c>
      <c r="H83" s="198">
        <v>2129</v>
      </c>
      <c r="I83" s="196" t="s">
        <v>113</v>
      </c>
      <c r="J83" s="199">
        <v>700</v>
      </c>
      <c r="K83" s="198">
        <v>829</v>
      </c>
      <c r="L83" s="200">
        <v>1</v>
      </c>
      <c r="M83" s="201"/>
      <c r="N83" s="199">
        <v>2129</v>
      </c>
      <c r="O83" s="202">
        <v>3.4</v>
      </c>
      <c r="P83" s="203">
        <v>3.4</v>
      </c>
      <c r="Q83" s="203">
        <v>0</v>
      </c>
      <c r="R83" s="204">
        <v>3</v>
      </c>
      <c r="S83" s="203">
        <v>2.9</v>
      </c>
      <c r="T83" s="203">
        <v>0.1</v>
      </c>
      <c r="V83" s="198">
        <v>2129</v>
      </c>
      <c r="W83" s="202">
        <v>3.4</v>
      </c>
      <c r="X83" s="203">
        <v>3.4</v>
      </c>
      <c r="Y83" s="203">
        <v>0</v>
      </c>
      <c r="Z83" s="204">
        <v>2.9</v>
      </c>
      <c r="AA83" s="203">
        <v>2.9</v>
      </c>
      <c r="AB83" s="203">
        <v>0</v>
      </c>
      <c r="AD83" s="198">
        <v>2129</v>
      </c>
      <c r="AE83" s="202" t="s">
        <v>82</v>
      </c>
      <c r="AF83" s="203" t="s">
        <v>82</v>
      </c>
      <c r="AG83" s="203" t="s">
        <v>82</v>
      </c>
      <c r="AH83" s="204">
        <v>-0.10000000000000009</v>
      </c>
      <c r="AI83" s="203" t="s">
        <v>82</v>
      </c>
      <c r="AJ83" s="203">
        <v>-0.1</v>
      </c>
    </row>
    <row customFormat="1" r="84" s="205" spans="1:36" x14ac:dyDescent="0.2">
      <c r="A84" s="193">
        <v>80</v>
      </c>
      <c r="B84" s="194">
        <v>1</v>
      </c>
      <c r="C84" s="195" t="s">
        <v>79</v>
      </c>
      <c r="D84" s="195">
        <v>3</v>
      </c>
      <c r="E84" s="195" t="s">
        <v>110</v>
      </c>
      <c r="F84" s="196">
        <v>44401</v>
      </c>
      <c r="G84" s="197" t="s">
        <v>9</v>
      </c>
      <c r="H84" s="198">
        <v>2130</v>
      </c>
      <c r="I84" s="196" t="s">
        <v>113</v>
      </c>
      <c r="J84" s="199">
        <v>700</v>
      </c>
      <c r="K84" s="198">
        <v>829</v>
      </c>
      <c r="L84" s="200">
        <v>1</v>
      </c>
      <c r="M84" s="201"/>
      <c r="N84" s="199">
        <v>2130</v>
      </c>
      <c r="O84" s="202">
        <v>3.6</v>
      </c>
      <c r="P84" s="203">
        <v>3.6</v>
      </c>
      <c r="Q84" s="203">
        <v>0</v>
      </c>
      <c r="R84" s="204">
        <v>3.3</v>
      </c>
      <c r="S84" s="203">
        <v>3.2</v>
      </c>
      <c r="T84" s="203">
        <v>0.1</v>
      </c>
      <c r="V84" s="198">
        <v>2130</v>
      </c>
      <c r="W84" s="202">
        <v>3.6</v>
      </c>
      <c r="X84" s="203">
        <v>3.6</v>
      </c>
      <c r="Y84" s="203">
        <v>0</v>
      </c>
      <c r="Z84" s="204">
        <v>3.2</v>
      </c>
      <c r="AA84" s="203">
        <v>3.2</v>
      </c>
      <c r="AB84" s="203">
        <v>0</v>
      </c>
      <c r="AD84" s="198">
        <v>2130</v>
      </c>
      <c r="AE84" s="202" t="s">
        <v>82</v>
      </c>
      <c r="AF84" s="203" t="s">
        <v>82</v>
      </c>
      <c r="AG84" s="203" t="s">
        <v>82</v>
      </c>
      <c r="AH84" s="204">
        <v>-9.9999999999999645E-2</v>
      </c>
      <c r="AI84" s="203" t="s">
        <v>82</v>
      </c>
      <c r="AJ84" s="203">
        <v>-0.1</v>
      </c>
    </row>
    <row customFormat="1" r="85" s="205" spans="1:36" x14ac:dyDescent="0.2">
      <c r="A85" s="193">
        <v>81</v>
      </c>
      <c r="B85" s="194">
        <v>1</v>
      </c>
      <c r="C85" s="195" t="s">
        <v>79</v>
      </c>
      <c r="D85" s="195">
        <v>3</v>
      </c>
      <c r="E85" s="195" t="s">
        <v>110</v>
      </c>
      <c r="F85" s="196">
        <v>44420</v>
      </c>
      <c r="G85" s="197" t="s">
        <v>7</v>
      </c>
      <c r="H85" s="198">
        <v>2133</v>
      </c>
      <c r="I85" s="196" t="s">
        <v>114</v>
      </c>
      <c r="J85" s="199">
        <v>2300</v>
      </c>
      <c r="K85" s="198">
        <v>2339</v>
      </c>
      <c r="L85" s="200">
        <v>1</v>
      </c>
      <c r="M85" s="201"/>
      <c r="N85" s="199">
        <v>2133</v>
      </c>
      <c r="O85" s="202">
        <v>4.0999999999999996</v>
      </c>
      <c r="P85" s="203">
        <v>2.2000000000000002</v>
      </c>
      <c r="Q85" s="203">
        <v>1.9</v>
      </c>
      <c r="R85" s="204">
        <v>27.5</v>
      </c>
      <c r="S85" s="203">
        <v>1.9</v>
      </c>
      <c r="T85" s="203">
        <v>25.6</v>
      </c>
      <c r="V85" s="198">
        <v>2133</v>
      </c>
      <c r="W85" s="202">
        <v>2.4</v>
      </c>
      <c r="X85" s="203">
        <v>2.2000000000000002</v>
      </c>
      <c r="Y85" s="203">
        <v>0.2</v>
      </c>
      <c r="Z85" s="204">
        <v>1.9</v>
      </c>
      <c r="AA85" s="203">
        <v>1.9</v>
      </c>
      <c r="AB85" s="203">
        <v>0</v>
      </c>
      <c r="AD85" s="198">
        <v>2133</v>
      </c>
      <c r="AE85" s="202">
        <v>-1.6999999999999997</v>
      </c>
      <c r="AF85" s="203" t="s">
        <v>82</v>
      </c>
      <c r="AG85" s="203">
        <v>-1.7</v>
      </c>
      <c r="AH85" s="204">
        <v>-25.6</v>
      </c>
      <c r="AI85" s="203" t="s">
        <v>82</v>
      </c>
      <c r="AJ85" s="203">
        <v>-25.6</v>
      </c>
    </row>
    <row customFormat="1" r="86" s="205" spans="1:36" x14ac:dyDescent="0.2">
      <c r="A86" s="193">
        <v>82</v>
      </c>
      <c r="B86" s="194">
        <v>1</v>
      </c>
      <c r="C86" s="195" t="s">
        <v>79</v>
      </c>
      <c r="D86" s="195">
        <v>3</v>
      </c>
      <c r="E86" s="195" t="s">
        <v>110</v>
      </c>
      <c r="F86" s="196">
        <v>44427</v>
      </c>
      <c r="G86" s="197" t="s">
        <v>7</v>
      </c>
      <c r="H86" s="198">
        <v>2134</v>
      </c>
      <c r="I86" s="196" t="s">
        <v>114</v>
      </c>
      <c r="J86" s="199">
        <v>2300</v>
      </c>
      <c r="K86" s="198">
        <v>2339</v>
      </c>
      <c r="L86" s="200">
        <v>1</v>
      </c>
      <c r="M86" s="201"/>
      <c r="N86" s="199">
        <v>2134</v>
      </c>
      <c r="O86" s="202">
        <v>4</v>
      </c>
      <c r="P86" s="203">
        <v>2.1</v>
      </c>
      <c r="Q86" s="203">
        <v>1.9</v>
      </c>
      <c r="R86" s="204">
        <v>20.7</v>
      </c>
      <c r="S86" s="203">
        <v>1.5</v>
      </c>
      <c r="T86" s="203">
        <v>19.2</v>
      </c>
      <c r="V86" s="198">
        <v>2134</v>
      </c>
      <c r="W86" s="202">
        <v>2.2999999999999998</v>
      </c>
      <c r="X86" s="203">
        <v>2.1</v>
      </c>
      <c r="Y86" s="203">
        <v>0.2</v>
      </c>
      <c r="Z86" s="204">
        <v>1.6</v>
      </c>
      <c r="AA86" s="203">
        <v>1.5</v>
      </c>
      <c r="AB86" s="203">
        <v>0.1</v>
      </c>
      <c r="AD86" s="198">
        <v>2134</v>
      </c>
      <c r="AE86" s="202">
        <v>-1.7000000000000002</v>
      </c>
      <c r="AF86" s="203" t="s">
        <v>82</v>
      </c>
      <c r="AG86" s="203">
        <v>-1.7</v>
      </c>
      <c r="AH86" s="204">
        <v>-19.099999999999998</v>
      </c>
      <c r="AI86" s="203" t="s">
        <v>82</v>
      </c>
      <c r="AJ86" s="203">
        <v>-19.099999999999998</v>
      </c>
    </row>
    <row customFormat="1" r="87" s="205" spans="1:36" x14ac:dyDescent="0.2">
      <c r="A87" s="193">
        <v>83</v>
      </c>
      <c r="B87" s="194">
        <v>1</v>
      </c>
      <c r="C87" s="195" t="s">
        <v>79</v>
      </c>
      <c r="D87" s="195">
        <v>3</v>
      </c>
      <c r="E87" s="195" t="s">
        <v>110</v>
      </c>
      <c r="F87" s="196">
        <v>44434</v>
      </c>
      <c r="G87" s="197" t="s">
        <v>7</v>
      </c>
      <c r="H87" s="198">
        <v>2135</v>
      </c>
      <c r="I87" s="196" t="s">
        <v>114</v>
      </c>
      <c r="J87" s="199">
        <v>2300</v>
      </c>
      <c r="K87" s="198">
        <v>2339</v>
      </c>
      <c r="L87" s="200">
        <v>1</v>
      </c>
      <c r="M87" s="201"/>
      <c r="N87" s="199">
        <v>2135</v>
      </c>
      <c r="O87" s="202">
        <v>4</v>
      </c>
      <c r="P87" s="203">
        <v>2.1</v>
      </c>
      <c r="Q87" s="203">
        <v>1.9</v>
      </c>
      <c r="R87" s="204">
        <v>20.8</v>
      </c>
      <c r="S87" s="203">
        <v>1.6</v>
      </c>
      <c r="T87" s="203">
        <v>19.2</v>
      </c>
      <c r="V87" s="198">
        <v>2135</v>
      </c>
      <c r="W87" s="202">
        <v>2.2999999999999998</v>
      </c>
      <c r="X87" s="203">
        <v>2.1</v>
      </c>
      <c r="Y87" s="203">
        <v>0.2</v>
      </c>
      <c r="Z87" s="204">
        <v>1.7</v>
      </c>
      <c r="AA87" s="203">
        <v>1.6</v>
      </c>
      <c r="AB87" s="203">
        <v>0.1</v>
      </c>
      <c r="AD87" s="198">
        <v>2135</v>
      </c>
      <c r="AE87" s="202">
        <v>-1.7000000000000002</v>
      </c>
      <c r="AF87" s="203" t="s">
        <v>82</v>
      </c>
      <c r="AG87" s="203">
        <v>-1.7</v>
      </c>
      <c r="AH87" s="204">
        <v>-19.100000000000001</v>
      </c>
      <c r="AI87" s="203" t="s">
        <v>82</v>
      </c>
      <c r="AJ87" s="203">
        <v>-19.099999999999998</v>
      </c>
    </row>
    <row customFormat="1" r="88" s="205" spans="1:36" x14ac:dyDescent="0.2">
      <c r="A88" s="193">
        <v>84</v>
      </c>
      <c r="B88" s="194">
        <v>1</v>
      </c>
      <c r="C88" s="195" t="s">
        <v>79</v>
      </c>
      <c r="D88" s="195">
        <v>3</v>
      </c>
      <c r="E88" s="195" t="s">
        <v>110</v>
      </c>
      <c r="F88" s="196">
        <v>44441</v>
      </c>
      <c r="G88" s="197" t="s">
        <v>7</v>
      </c>
      <c r="H88" s="198">
        <v>2136</v>
      </c>
      <c r="I88" s="196" t="s">
        <v>114</v>
      </c>
      <c r="J88" s="199">
        <v>2300</v>
      </c>
      <c r="K88" s="198">
        <v>2339</v>
      </c>
      <c r="L88" s="200">
        <v>1</v>
      </c>
      <c r="M88" s="201"/>
      <c r="N88" s="199">
        <v>2136</v>
      </c>
      <c r="O88" s="202">
        <v>4.0999999999999996</v>
      </c>
      <c r="P88" s="203">
        <v>2.2000000000000002</v>
      </c>
      <c r="Q88" s="203">
        <v>1.9</v>
      </c>
      <c r="R88" s="204">
        <v>20.9</v>
      </c>
      <c r="S88" s="203">
        <v>1.7</v>
      </c>
      <c r="T88" s="203">
        <v>19.2</v>
      </c>
      <c r="V88" s="198">
        <v>2136</v>
      </c>
      <c r="W88" s="202">
        <v>2.4</v>
      </c>
      <c r="X88" s="203">
        <v>2.2000000000000002</v>
      </c>
      <c r="Y88" s="203">
        <v>0.2</v>
      </c>
      <c r="Z88" s="204">
        <v>1.8</v>
      </c>
      <c r="AA88" s="203">
        <v>1.7</v>
      </c>
      <c r="AB88" s="203">
        <v>0.1</v>
      </c>
      <c r="AD88" s="198">
        <v>2136</v>
      </c>
      <c r="AE88" s="202">
        <v>-1.6999999999999997</v>
      </c>
      <c r="AF88" s="203" t="s">
        <v>82</v>
      </c>
      <c r="AG88" s="203">
        <v>-1.7</v>
      </c>
      <c r="AH88" s="204">
        <v>-19.099999999999998</v>
      </c>
      <c r="AI88" s="203" t="s">
        <v>82</v>
      </c>
      <c r="AJ88" s="203">
        <v>-19.099999999999998</v>
      </c>
    </row>
    <row customFormat="1" r="89" s="205" spans="1:36" x14ac:dyDescent="0.2">
      <c r="A89" s="193">
        <v>85</v>
      </c>
      <c r="B89" s="194">
        <v>1</v>
      </c>
      <c r="C89" s="195" t="s">
        <v>79</v>
      </c>
      <c r="D89" s="195">
        <v>3</v>
      </c>
      <c r="E89" s="195" t="s">
        <v>110</v>
      </c>
      <c r="F89" s="196">
        <v>44455</v>
      </c>
      <c r="G89" s="197" t="s">
        <v>7</v>
      </c>
      <c r="H89" s="198">
        <v>2138</v>
      </c>
      <c r="I89" s="196" t="s">
        <v>115</v>
      </c>
      <c r="J89" s="199">
        <v>1445</v>
      </c>
      <c r="K89" s="198">
        <v>1544</v>
      </c>
      <c r="L89" s="200">
        <v>0</v>
      </c>
      <c r="M89" s="201"/>
      <c r="N89" s="199">
        <v>2138</v>
      </c>
      <c r="O89" s="202">
        <v>1.9</v>
      </c>
      <c r="P89" s="203">
        <v>1.5</v>
      </c>
      <c r="Q89" s="203">
        <v>0.4</v>
      </c>
      <c r="R89" s="204">
        <v>1.8</v>
      </c>
      <c r="S89" s="203">
        <v>1.8</v>
      </c>
      <c r="T89" s="203" t="s">
        <v>84</v>
      </c>
      <c r="V89" s="198">
        <v>2138</v>
      </c>
      <c r="W89" s="202">
        <v>1.8</v>
      </c>
      <c r="X89" s="203">
        <v>1.5</v>
      </c>
      <c r="Y89" s="203">
        <v>0.3</v>
      </c>
      <c r="Z89" s="204">
        <v>1.8</v>
      </c>
      <c r="AA89" s="203">
        <v>1.8</v>
      </c>
      <c r="AB89" s="203" t="s">
        <v>84</v>
      </c>
      <c r="AD89" s="198">
        <v>2138</v>
      </c>
      <c r="AE89" s="202">
        <v>-9.9999999999999867E-2</v>
      </c>
      <c r="AF89" s="203" t="s">
        <v>82</v>
      </c>
      <c r="AG89" s="203">
        <v>-0.10000000000000003</v>
      </c>
      <c r="AH89" s="204" t="s">
        <v>82</v>
      </c>
      <c r="AI89" s="203" t="s">
        <v>82</v>
      </c>
      <c r="AJ89" s="203" t="s">
        <v>82</v>
      </c>
    </row>
    <row customFormat="1" r="90" s="205" spans="1:36" x14ac:dyDescent="0.2">
      <c r="A90" s="193">
        <v>86</v>
      </c>
      <c r="B90" s="194">
        <v>1</v>
      </c>
      <c r="C90" s="195" t="s">
        <v>79</v>
      </c>
      <c r="D90" s="195">
        <v>3</v>
      </c>
      <c r="E90" s="195" t="s">
        <v>110</v>
      </c>
      <c r="F90" s="196">
        <v>44462</v>
      </c>
      <c r="G90" s="197" t="s">
        <v>7</v>
      </c>
      <c r="H90" s="198">
        <v>2139</v>
      </c>
      <c r="I90" s="196" t="s">
        <v>116</v>
      </c>
      <c r="J90" s="199">
        <v>1445</v>
      </c>
      <c r="K90" s="198">
        <v>1544</v>
      </c>
      <c r="L90" s="200">
        <v>0</v>
      </c>
      <c r="M90" s="201"/>
      <c r="N90" s="199">
        <v>2139</v>
      </c>
      <c r="O90" s="202">
        <v>2</v>
      </c>
      <c r="P90" s="203">
        <v>1.6</v>
      </c>
      <c r="Q90" s="203">
        <v>0.4</v>
      </c>
      <c r="R90" s="204">
        <v>2</v>
      </c>
      <c r="S90" s="203">
        <v>2</v>
      </c>
      <c r="T90" s="203" t="s">
        <v>84</v>
      </c>
      <c r="V90" s="198">
        <v>2139</v>
      </c>
      <c r="W90" s="202">
        <v>1.9</v>
      </c>
      <c r="X90" s="203">
        <v>1.6</v>
      </c>
      <c r="Y90" s="203">
        <v>0.3</v>
      </c>
      <c r="Z90" s="204">
        <v>2</v>
      </c>
      <c r="AA90" s="203">
        <v>2</v>
      </c>
      <c r="AB90" s="203" t="s">
        <v>84</v>
      </c>
      <c r="AD90" s="198">
        <v>2139</v>
      </c>
      <c r="AE90" s="202">
        <v>-0.10000000000000009</v>
      </c>
      <c r="AF90" s="203" t="s">
        <v>82</v>
      </c>
      <c r="AG90" s="203">
        <v>-0.10000000000000003</v>
      </c>
      <c r="AH90" s="204" t="s">
        <v>82</v>
      </c>
      <c r="AI90" s="203" t="s">
        <v>82</v>
      </c>
      <c r="AJ90" s="203" t="s">
        <v>82</v>
      </c>
    </row>
    <row customFormat="1" r="91" s="205" spans="1:36" x14ac:dyDescent="0.2">
      <c r="A91" s="193">
        <v>87</v>
      </c>
      <c r="B91" s="194">
        <v>1</v>
      </c>
      <c r="C91" s="195" t="s">
        <v>79</v>
      </c>
      <c r="D91" s="195">
        <v>3</v>
      </c>
      <c r="E91" s="195" t="s">
        <v>110</v>
      </c>
      <c r="F91" s="196">
        <v>44469</v>
      </c>
      <c r="G91" s="197" t="s">
        <v>7</v>
      </c>
      <c r="H91" s="198">
        <v>2140</v>
      </c>
      <c r="I91" s="196" t="s">
        <v>116</v>
      </c>
      <c r="J91" s="199">
        <v>1445</v>
      </c>
      <c r="K91" s="198">
        <v>1544</v>
      </c>
      <c r="L91" s="200">
        <v>0</v>
      </c>
      <c r="M91" s="201"/>
      <c r="N91" s="199">
        <v>2140</v>
      </c>
      <c r="O91" s="202">
        <v>2.2999999999999998</v>
      </c>
      <c r="P91" s="203">
        <v>1.9</v>
      </c>
      <c r="Q91" s="203">
        <v>0.4</v>
      </c>
      <c r="R91" s="204">
        <v>2.2999999999999998</v>
      </c>
      <c r="S91" s="203">
        <v>2.2999999999999998</v>
      </c>
      <c r="T91" s="203" t="s">
        <v>84</v>
      </c>
      <c r="V91" s="198">
        <v>2140</v>
      </c>
      <c r="W91" s="202">
        <v>2.2999999999999998</v>
      </c>
      <c r="X91" s="203">
        <v>1.9</v>
      </c>
      <c r="Y91" s="203">
        <v>0.4</v>
      </c>
      <c r="Z91" s="204">
        <v>2.2999999999999998</v>
      </c>
      <c r="AA91" s="203">
        <v>2.2999999999999998</v>
      </c>
      <c r="AB91" s="203" t="s">
        <v>84</v>
      </c>
      <c r="AD91" s="198">
        <v>2140</v>
      </c>
      <c r="AE91" s="202" t="s">
        <v>82</v>
      </c>
      <c r="AF91" s="203" t="s">
        <v>82</v>
      </c>
      <c r="AG91" s="203" t="s">
        <v>82</v>
      </c>
      <c r="AH91" s="204" t="s">
        <v>82</v>
      </c>
      <c r="AI91" s="203" t="s">
        <v>82</v>
      </c>
      <c r="AJ91" s="203" t="s">
        <v>82</v>
      </c>
    </row>
    <row customFormat="1" r="92" s="205" spans="1:36" x14ac:dyDescent="0.2">
      <c r="A92" s="193">
        <v>88</v>
      </c>
      <c r="B92" s="194">
        <v>1</v>
      </c>
      <c r="C92" s="195" t="s">
        <v>79</v>
      </c>
      <c r="D92" s="195">
        <v>3</v>
      </c>
      <c r="E92" s="195" t="s">
        <v>110</v>
      </c>
      <c r="F92" s="196">
        <v>44476</v>
      </c>
      <c r="G92" s="197" t="s">
        <v>7</v>
      </c>
      <c r="H92" s="198">
        <v>2141</v>
      </c>
      <c r="I92" s="196" t="s">
        <v>117</v>
      </c>
      <c r="J92" s="199">
        <v>1445</v>
      </c>
      <c r="K92" s="198">
        <v>1544</v>
      </c>
      <c r="L92" s="200">
        <v>0</v>
      </c>
      <c r="M92" s="201"/>
      <c r="N92" s="199">
        <v>2141</v>
      </c>
      <c r="O92" s="202">
        <v>2.1</v>
      </c>
      <c r="P92" s="203">
        <v>1.7</v>
      </c>
      <c r="Q92" s="203">
        <v>0.4</v>
      </c>
      <c r="R92" s="204">
        <v>2</v>
      </c>
      <c r="S92" s="203">
        <v>2</v>
      </c>
      <c r="T92" s="203" t="s">
        <v>84</v>
      </c>
      <c r="V92" s="198">
        <v>2141</v>
      </c>
      <c r="W92" s="202">
        <v>2.1</v>
      </c>
      <c r="X92" s="203">
        <v>1.7</v>
      </c>
      <c r="Y92" s="203">
        <v>0.4</v>
      </c>
      <c r="Z92" s="204">
        <v>2</v>
      </c>
      <c r="AA92" s="203">
        <v>2</v>
      </c>
      <c r="AB92" s="203" t="s">
        <v>84</v>
      </c>
      <c r="AD92" s="198">
        <v>2141</v>
      </c>
      <c r="AE92" s="202" t="s">
        <v>82</v>
      </c>
      <c r="AF92" s="203" t="s">
        <v>82</v>
      </c>
      <c r="AG92" s="203" t="s">
        <v>82</v>
      </c>
      <c r="AH92" s="204" t="s">
        <v>82</v>
      </c>
      <c r="AI92" s="203" t="s">
        <v>82</v>
      </c>
      <c r="AJ92" s="203" t="s">
        <v>82</v>
      </c>
    </row>
    <row customFormat="1" r="93" s="205" spans="1:36" x14ac:dyDescent="0.2">
      <c r="A93" s="193">
        <v>89</v>
      </c>
      <c r="B93" s="194">
        <v>1</v>
      </c>
      <c r="C93" s="195" t="s">
        <v>79</v>
      </c>
      <c r="D93" s="195">
        <v>3</v>
      </c>
      <c r="E93" s="195" t="s">
        <v>110</v>
      </c>
      <c r="F93" s="196">
        <v>44488</v>
      </c>
      <c r="G93" s="197" t="s">
        <v>5</v>
      </c>
      <c r="H93" s="198">
        <v>2143</v>
      </c>
      <c r="I93" s="196" t="s">
        <v>118</v>
      </c>
      <c r="J93" s="199">
        <v>1445</v>
      </c>
      <c r="K93" s="198">
        <v>1544</v>
      </c>
      <c r="L93" s="200">
        <v>0</v>
      </c>
      <c r="M93" s="201"/>
      <c r="N93" s="199">
        <v>2143</v>
      </c>
      <c r="O93" s="202">
        <v>1.3</v>
      </c>
      <c r="P93" s="203">
        <v>1.1000000000000001</v>
      </c>
      <c r="Q93" s="203">
        <v>0.2</v>
      </c>
      <c r="R93" s="204">
        <v>1.2</v>
      </c>
      <c r="S93" s="203">
        <v>1.2</v>
      </c>
      <c r="T93" s="203" t="s">
        <v>84</v>
      </c>
      <c r="V93" s="198">
        <v>2143</v>
      </c>
      <c r="W93" s="202">
        <v>1.3</v>
      </c>
      <c r="X93" s="203">
        <v>1.1000000000000001</v>
      </c>
      <c r="Y93" s="203">
        <v>0.2</v>
      </c>
      <c r="Z93" s="204">
        <v>1.2</v>
      </c>
      <c r="AA93" s="203">
        <v>1.2</v>
      </c>
      <c r="AB93" s="203" t="s">
        <v>84</v>
      </c>
      <c r="AD93" s="198">
        <v>2143</v>
      </c>
      <c r="AE93" s="202" t="s">
        <v>82</v>
      </c>
      <c r="AF93" s="203" t="s">
        <v>82</v>
      </c>
      <c r="AG93" s="203" t="s">
        <v>82</v>
      </c>
      <c r="AH93" s="204" t="s">
        <v>82</v>
      </c>
      <c r="AI93" s="203" t="s">
        <v>82</v>
      </c>
      <c r="AJ93" s="203" t="s">
        <v>82</v>
      </c>
    </row>
    <row customFormat="1" r="94" s="205" spans="1:36" x14ac:dyDescent="0.2">
      <c r="A94" s="193">
        <v>90</v>
      </c>
      <c r="B94" s="194">
        <v>1</v>
      </c>
      <c r="C94" s="195" t="s">
        <v>79</v>
      </c>
      <c r="D94" s="195">
        <v>3</v>
      </c>
      <c r="E94" s="195" t="s">
        <v>110</v>
      </c>
      <c r="F94" s="196">
        <v>44495</v>
      </c>
      <c r="G94" s="197" t="s">
        <v>5</v>
      </c>
      <c r="H94" s="198">
        <v>2144</v>
      </c>
      <c r="I94" s="196" t="s">
        <v>119</v>
      </c>
      <c r="J94" s="199">
        <v>1445</v>
      </c>
      <c r="K94" s="198">
        <v>1544</v>
      </c>
      <c r="L94" s="200">
        <v>0</v>
      </c>
      <c r="M94" s="201"/>
      <c r="N94" s="199">
        <v>2144</v>
      </c>
      <c r="O94" s="202">
        <v>1.2</v>
      </c>
      <c r="P94" s="203">
        <v>1</v>
      </c>
      <c r="Q94" s="203">
        <v>0.2</v>
      </c>
      <c r="R94" s="204">
        <v>1.1000000000000001</v>
      </c>
      <c r="S94" s="203">
        <v>1.1000000000000001</v>
      </c>
      <c r="T94" s="203" t="s">
        <v>84</v>
      </c>
      <c r="V94" s="198">
        <v>2144</v>
      </c>
      <c r="W94" s="202">
        <v>1.2</v>
      </c>
      <c r="X94" s="203">
        <v>1</v>
      </c>
      <c r="Y94" s="203">
        <v>0.2</v>
      </c>
      <c r="Z94" s="204">
        <v>1.1000000000000001</v>
      </c>
      <c r="AA94" s="203">
        <v>1.1000000000000001</v>
      </c>
      <c r="AB94" s="203" t="s">
        <v>84</v>
      </c>
      <c r="AD94" s="198">
        <v>2144</v>
      </c>
      <c r="AE94" s="202" t="s">
        <v>82</v>
      </c>
      <c r="AF94" s="203" t="s">
        <v>82</v>
      </c>
      <c r="AG94" s="203" t="s">
        <v>82</v>
      </c>
      <c r="AH94" s="204" t="s">
        <v>82</v>
      </c>
      <c r="AI94" s="203" t="s">
        <v>82</v>
      </c>
      <c r="AJ94" s="203" t="s">
        <v>82</v>
      </c>
    </row>
    <row customFormat="1" r="95" s="205" spans="1:36" x14ac:dyDescent="0.2">
      <c r="A95" s="193">
        <v>91</v>
      </c>
      <c r="B95" s="194">
        <v>1</v>
      </c>
      <c r="C95" s="195" t="s">
        <v>79</v>
      </c>
      <c r="D95" s="195">
        <v>3</v>
      </c>
      <c r="E95" s="195" t="s">
        <v>110</v>
      </c>
      <c r="F95" s="196">
        <v>44501</v>
      </c>
      <c r="G95" s="197" t="s">
        <v>4</v>
      </c>
      <c r="H95" s="198">
        <v>2145</v>
      </c>
      <c r="I95" s="196" t="s">
        <v>120</v>
      </c>
      <c r="J95" s="199">
        <v>1545</v>
      </c>
      <c r="K95" s="198">
        <v>1649</v>
      </c>
      <c r="L95" s="200">
        <v>0</v>
      </c>
      <c r="M95" s="201"/>
      <c r="N95" s="199">
        <v>2145</v>
      </c>
      <c r="O95" s="202">
        <v>1</v>
      </c>
      <c r="P95" s="203">
        <v>1</v>
      </c>
      <c r="Q95" s="203">
        <v>0</v>
      </c>
      <c r="R95" s="204">
        <v>1.5</v>
      </c>
      <c r="S95" s="203">
        <v>1.5</v>
      </c>
      <c r="T95" s="203" t="s">
        <v>84</v>
      </c>
      <c r="V95" s="198">
        <v>2145</v>
      </c>
      <c r="W95" s="202">
        <v>1</v>
      </c>
      <c r="X95" s="203">
        <v>1</v>
      </c>
      <c r="Y95" s="203">
        <v>0</v>
      </c>
      <c r="Z95" s="204">
        <v>1.5</v>
      </c>
      <c r="AA95" s="203">
        <v>1.5</v>
      </c>
      <c r="AB95" s="203" t="s">
        <v>84</v>
      </c>
      <c r="AD95" s="198">
        <v>2145</v>
      </c>
      <c r="AE95" s="202" t="s">
        <v>82</v>
      </c>
      <c r="AF95" s="203" t="s">
        <v>82</v>
      </c>
      <c r="AG95" s="203" t="s">
        <v>82</v>
      </c>
      <c r="AH95" s="204" t="s">
        <v>82</v>
      </c>
      <c r="AI95" s="203" t="s">
        <v>82</v>
      </c>
      <c r="AJ95" s="203" t="s">
        <v>82</v>
      </c>
    </row>
    <row customFormat="1" r="96" s="205" spans="1:36" x14ac:dyDescent="0.2">
      <c r="A96" s="193">
        <v>92</v>
      </c>
      <c r="B96" s="194">
        <v>1</v>
      </c>
      <c r="C96" s="195" t="s">
        <v>79</v>
      </c>
      <c r="D96" s="195">
        <v>3</v>
      </c>
      <c r="E96" s="195" t="s">
        <v>110</v>
      </c>
      <c r="F96" s="196">
        <v>44502</v>
      </c>
      <c r="G96" s="197" t="s">
        <v>5</v>
      </c>
      <c r="H96" s="198">
        <v>2145</v>
      </c>
      <c r="I96" s="196" t="s">
        <v>119</v>
      </c>
      <c r="J96" s="199">
        <v>1445</v>
      </c>
      <c r="K96" s="198">
        <v>1544</v>
      </c>
      <c r="L96" s="200">
        <v>0</v>
      </c>
      <c r="M96" s="201"/>
      <c r="N96" s="199">
        <v>2145</v>
      </c>
      <c r="O96" s="202">
        <v>1.1000000000000001</v>
      </c>
      <c r="P96" s="203">
        <v>0.9</v>
      </c>
      <c r="Q96" s="203">
        <v>0.2</v>
      </c>
      <c r="R96" s="204">
        <v>1</v>
      </c>
      <c r="S96" s="203">
        <v>1</v>
      </c>
      <c r="T96" s="203" t="s">
        <v>84</v>
      </c>
      <c r="V96" s="198">
        <v>2145</v>
      </c>
      <c r="W96" s="202">
        <v>1.1000000000000001</v>
      </c>
      <c r="X96" s="203">
        <v>0.9</v>
      </c>
      <c r="Y96" s="203">
        <v>0.2</v>
      </c>
      <c r="Z96" s="204">
        <v>1</v>
      </c>
      <c r="AA96" s="203">
        <v>1</v>
      </c>
      <c r="AB96" s="203" t="s">
        <v>84</v>
      </c>
      <c r="AD96" s="198">
        <v>2145</v>
      </c>
      <c r="AE96" s="202" t="s">
        <v>82</v>
      </c>
      <c r="AF96" s="203" t="s">
        <v>82</v>
      </c>
      <c r="AG96" s="203" t="s">
        <v>82</v>
      </c>
      <c r="AH96" s="204" t="s">
        <v>82</v>
      </c>
      <c r="AI96" s="203" t="s">
        <v>82</v>
      </c>
      <c r="AJ96" s="203" t="s">
        <v>82</v>
      </c>
    </row>
    <row customFormat="1" r="97" s="205" spans="1:36" x14ac:dyDescent="0.2">
      <c r="A97" s="193">
        <v>93</v>
      </c>
      <c r="B97" s="194">
        <v>1</v>
      </c>
      <c r="C97" s="195" t="s">
        <v>79</v>
      </c>
      <c r="D97" s="195">
        <v>3</v>
      </c>
      <c r="E97" s="195" t="s">
        <v>110</v>
      </c>
      <c r="F97" s="196">
        <v>44508</v>
      </c>
      <c r="G97" s="197" t="s">
        <v>4</v>
      </c>
      <c r="H97" s="198">
        <v>2146</v>
      </c>
      <c r="I97" s="196" t="s">
        <v>120</v>
      </c>
      <c r="J97" s="199">
        <v>1545</v>
      </c>
      <c r="K97" s="198">
        <v>1649</v>
      </c>
      <c r="L97" s="200">
        <v>0</v>
      </c>
      <c r="M97" s="201"/>
      <c r="N97" s="199">
        <v>2146</v>
      </c>
      <c r="O97" s="202">
        <v>1</v>
      </c>
      <c r="P97" s="203">
        <v>1</v>
      </c>
      <c r="Q97" s="203">
        <v>0</v>
      </c>
      <c r="R97" s="204">
        <v>1.6</v>
      </c>
      <c r="S97" s="203">
        <v>1.6</v>
      </c>
      <c r="T97" s="203" t="s">
        <v>84</v>
      </c>
      <c r="V97" s="198">
        <v>2146</v>
      </c>
      <c r="W97" s="202">
        <v>1</v>
      </c>
      <c r="X97" s="203">
        <v>1</v>
      </c>
      <c r="Y97" s="203">
        <v>0</v>
      </c>
      <c r="Z97" s="204">
        <v>1.6</v>
      </c>
      <c r="AA97" s="203">
        <v>1.6</v>
      </c>
      <c r="AB97" s="203" t="s">
        <v>84</v>
      </c>
      <c r="AD97" s="198">
        <v>2146</v>
      </c>
      <c r="AE97" s="202" t="s">
        <v>82</v>
      </c>
      <c r="AF97" s="203" t="s">
        <v>82</v>
      </c>
      <c r="AG97" s="203" t="s">
        <v>82</v>
      </c>
      <c r="AH97" s="204" t="s">
        <v>82</v>
      </c>
      <c r="AI97" s="203" t="s">
        <v>82</v>
      </c>
      <c r="AJ97" s="203" t="s">
        <v>82</v>
      </c>
    </row>
    <row customFormat="1" r="98" s="205" spans="1:36" x14ac:dyDescent="0.2">
      <c r="A98" s="193">
        <v>94</v>
      </c>
      <c r="B98" s="194">
        <v>1</v>
      </c>
      <c r="C98" s="195" t="s">
        <v>79</v>
      </c>
      <c r="D98" s="195">
        <v>3</v>
      </c>
      <c r="E98" s="195" t="s">
        <v>110</v>
      </c>
      <c r="F98" s="196">
        <v>44509</v>
      </c>
      <c r="G98" s="197" t="s">
        <v>5</v>
      </c>
      <c r="H98" s="198">
        <v>2146</v>
      </c>
      <c r="I98" s="196" t="s">
        <v>121</v>
      </c>
      <c r="J98" s="199">
        <v>1445</v>
      </c>
      <c r="K98" s="198">
        <v>1544</v>
      </c>
      <c r="L98" s="200">
        <v>0</v>
      </c>
      <c r="M98" s="201"/>
      <c r="N98" s="199">
        <v>2146</v>
      </c>
      <c r="O98" s="202">
        <v>1</v>
      </c>
      <c r="P98" s="203">
        <v>0.8</v>
      </c>
      <c r="Q98" s="203">
        <v>0.2</v>
      </c>
      <c r="R98" s="204">
        <v>0.8</v>
      </c>
      <c r="S98" s="203">
        <v>0.8</v>
      </c>
      <c r="T98" s="203" t="s">
        <v>84</v>
      </c>
      <c r="V98" s="198">
        <v>2146</v>
      </c>
      <c r="W98" s="202">
        <v>0.9</v>
      </c>
      <c r="X98" s="203">
        <v>0.8</v>
      </c>
      <c r="Y98" s="203">
        <v>0.1</v>
      </c>
      <c r="Z98" s="204">
        <v>0.8</v>
      </c>
      <c r="AA98" s="203">
        <v>0.8</v>
      </c>
      <c r="AB98" s="203" t="s">
        <v>84</v>
      </c>
      <c r="AD98" s="198">
        <v>2146</v>
      </c>
      <c r="AE98" s="202">
        <v>-9.9999999999999978E-2</v>
      </c>
      <c r="AF98" s="203" t="s">
        <v>82</v>
      </c>
      <c r="AG98" s="203">
        <v>-0.1</v>
      </c>
      <c r="AH98" s="204" t="s">
        <v>82</v>
      </c>
      <c r="AI98" s="203" t="s">
        <v>82</v>
      </c>
      <c r="AJ98" s="203" t="s">
        <v>82</v>
      </c>
    </row>
    <row customFormat="1" r="99" s="205" spans="1:36" x14ac:dyDescent="0.2">
      <c r="A99" s="193">
        <v>95</v>
      </c>
      <c r="B99" s="194">
        <v>1</v>
      </c>
      <c r="C99" s="195" t="s">
        <v>79</v>
      </c>
      <c r="D99" s="195">
        <v>3</v>
      </c>
      <c r="E99" s="195" t="s">
        <v>110</v>
      </c>
      <c r="F99" s="196">
        <v>44515</v>
      </c>
      <c r="G99" s="197" t="s">
        <v>4</v>
      </c>
      <c r="H99" s="198">
        <v>2147</v>
      </c>
      <c r="I99" s="196" t="s">
        <v>120</v>
      </c>
      <c r="J99" s="199">
        <v>1545</v>
      </c>
      <c r="K99" s="198">
        <v>1649</v>
      </c>
      <c r="L99" s="200">
        <v>0</v>
      </c>
      <c r="M99" s="201"/>
      <c r="N99" s="199">
        <v>2147</v>
      </c>
      <c r="O99" s="202">
        <v>1.1000000000000001</v>
      </c>
      <c r="P99" s="203">
        <v>1.1000000000000001</v>
      </c>
      <c r="Q99" s="203">
        <v>0</v>
      </c>
      <c r="R99" s="204">
        <v>1.6</v>
      </c>
      <c r="S99" s="203">
        <v>1.6</v>
      </c>
      <c r="T99" s="203" t="s">
        <v>84</v>
      </c>
      <c r="V99" s="198">
        <v>2147</v>
      </c>
      <c r="W99" s="202">
        <v>1.1000000000000001</v>
      </c>
      <c r="X99" s="203">
        <v>1.1000000000000001</v>
      </c>
      <c r="Y99" s="203">
        <v>0</v>
      </c>
      <c r="Z99" s="204">
        <v>1.6</v>
      </c>
      <c r="AA99" s="203">
        <v>1.6</v>
      </c>
      <c r="AB99" s="203" t="s">
        <v>84</v>
      </c>
      <c r="AD99" s="198">
        <v>2147</v>
      </c>
      <c r="AE99" s="202" t="s">
        <v>82</v>
      </c>
      <c r="AF99" s="203" t="s">
        <v>82</v>
      </c>
      <c r="AG99" s="203" t="s">
        <v>82</v>
      </c>
      <c r="AH99" s="204" t="s">
        <v>82</v>
      </c>
      <c r="AI99" s="203" t="s">
        <v>82</v>
      </c>
      <c r="AJ99" s="203" t="s">
        <v>82</v>
      </c>
    </row>
    <row customFormat="1" r="100" s="205" spans="1:36" x14ac:dyDescent="0.2">
      <c r="A100" s="193">
        <v>96</v>
      </c>
      <c r="B100" s="194">
        <v>1</v>
      </c>
      <c r="C100" s="195" t="s">
        <v>79</v>
      </c>
      <c r="D100" s="195">
        <v>3</v>
      </c>
      <c r="E100" s="195" t="s">
        <v>110</v>
      </c>
      <c r="F100" s="196">
        <v>44522</v>
      </c>
      <c r="G100" s="197" t="s">
        <v>4</v>
      </c>
      <c r="H100" s="198">
        <v>2148</v>
      </c>
      <c r="I100" s="196" t="s">
        <v>120</v>
      </c>
      <c r="J100" s="199">
        <v>1545</v>
      </c>
      <c r="K100" s="198">
        <v>1649</v>
      </c>
      <c r="L100" s="200">
        <v>0</v>
      </c>
      <c r="M100" s="201"/>
      <c r="N100" s="199">
        <v>2148</v>
      </c>
      <c r="O100" s="202">
        <v>1.2</v>
      </c>
      <c r="P100" s="203">
        <v>1.1000000000000001</v>
      </c>
      <c r="Q100" s="203">
        <v>0.1</v>
      </c>
      <c r="R100" s="204">
        <v>1.6</v>
      </c>
      <c r="S100" s="203">
        <v>1.6</v>
      </c>
      <c r="T100" s="203" t="s">
        <v>84</v>
      </c>
      <c r="V100" s="198">
        <v>2148</v>
      </c>
      <c r="W100" s="202">
        <v>1.1000000000000001</v>
      </c>
      <c r="X100" s="203">
        <v>1.1000000000000001</v>
      </c>
      <c r="Y100" s="203">
        <v>0</v>
      </c>
      <c r="Z100" s="204">
        <v>1.6</v>
      </c>
      <c r="AA100" s="203">
        <v>1.6</v>
      </c>
      <c r="AB100" s="203" t="s">
        <v>84</v>
      </c>
      <c r="AD100" s="198">
        <v>2148</v>
      </c>
      <c r="AE100" s="202">
        <v>-9.9999999999999867E-2</v>
      </c>
      <c r="AF100" s="203" t="s">
        <v>82</v>
      </c>
      <c r="AG100" s="203">
        <v>-0.1</v>
      </c>
      <c r="AH100" s="204" t="s">
        <v>82</v>
      </c>
      <c r="AI100" s="203" t="s">
        <v>82</v>
      </c>
      <c r="AJ100" s="203" t="s">
        <v>82</v>
      </c>
    </row>
    <row customFormat="1" r="101" s="205" spans="1:36" x14ac:dyDescent="0.2">
      <c r="A101" s="193">
        <v>97</v>
      </c>
      <c r="B101" s="194">
        <v>1</v>
      </c>
      <c r="C101" s="195" t="s">
        <v>79</v>
      </c>
      <c r="D101" s="195">
        <v>3</v>
      </c>
      <c r="E101" s="195" t="s">
        <v>110</v>
      </c>
      <c r="F101" s="196">
        <v>44554</v>
      </c>
      <c r="G101" s="197" t="s">
        <v>8</v>
      </c>
      <c r="H101" s="198">
        <v>2152</v>
      </c>
      <c r="I101" s="196" t="s">
        <v>122</v>
      </c>
      <c r="J101" s="199">
        <v>1445</v>
      </c>
      <c r="K101" s="198">
        <v>1544</v>
      </c>
      <c r="L101" s="200">
        <v>0</v>
      </c>
      <c r="M101" s="201"/>
      <c r="N101" s="199">
        <v>2152</v>
      </c>
      <c r="O101" s="202">
        <v>1.2</v>
      </c>
      <c r="P101" s="203">
        <v>1.1000000000000001</v>
      </c>
      <c r="Q101" s="203">
        <v>0.1</v>
      </c>
      <c r="R101" s="204">
        <v>1.3</v>
      </c>
      <c r="S101" s="203">
        <v>1.3</v>
      </c>
      <c r="T101" s="203" t="s">
        <v>84</v>
      </c>
      <c r="V101" s="198">
        <v>2152</v>
      </c>
      <c r="W101" s="202">
        <v>1.2</v>
      </c>
      <c r="X101" s="203">
        <v>1.1000000000000001</v>
      </c>
      <c r="Y101" s="203">
        <v>0.1</v>
      </c>
      <c r="Z101" s="204">
        <v>1.3</v>
      </c>
      <c r="AA101" s="203">
        <v>1.3</v>
      </c>
      <c r="AB101" s="203" t="s">
        <v>84</v>
      </c>
      <c r="AD101" s="198">
        <v>2152</v>
      </c>
      <c r="AE101" s="202"/>
      <c r="AF101" s="203" t="s">
        <v>82</v>
      </c>
      <c r="AG101" s="203" t="s">
        <v>82</v>
      </c>
      <c r="AH101" s="204" t="s">
        <v>82</v>
      </c>
      <c r="AI101" s="203" t="s">
        <v>82</v>
      </c>
      <c r="AJ101" s="203" t="s">
        <v>82</v>
      </c>
    </row>
    <row customFormat="1" r="102" s="205" spans="1:36" x14ac:dyDescent="0.2">
      <c r="A102" s="193">
        <v>98</v>
      </c>
      <c r="B102" s="194">
        <v>1</v>
      </c>
      <c r="C102" s="195" t="s">
        <v>79</v>
      </c>
      <c r="D102" s="195">
        <v>3</v>
      </c>
      <c r="E102" s="195" t="s">
        <v>110</v>
      </c>
      <c r="F102" s="196">
        <v>44561</v>
      </c>
      <c r="G102" s="197" t="s">
        <v>8</v>
      </c>
      <c r="H102" s="198">
        <v>2201</v>
      </c>
      <c r="I102" s="196" t="s">
        <v>123</v>
      </c>
      <c r="J102" s="199">
        <v>1445</v>
      </c>
      <c r="K102" s="198">
        <v>1544</v>
      </c>
      <c r="L102" s="200">
        <v>0</v>
      </c>
      <c r="M102" s="201"/>
      <c r="N102" s="199">
        <v>2201</v>
      </c>
      <c r="O102" s="202">
        <v>1.3</v>
      </c>
      <c r="P102" s="203">
        <v>1.2</v>
      </c>
      <c r="Q102" s="203">
        <v>0.1</v>
      </c>
      <c r="R102" s="204">
        <v>1.4</v>
      </c>
      <c r="S102" s="203">
        <v>1.4</v>
      </c>
      <c r="T102" s="203" t="s">
        <v>84</v>
      </c>
      <c r="V102" s="198">
        <v>2201</v>
      </c>
      <c r="W102" s="202">
        <v>1.3</v>
      </c>
      <c r="X102" s="203">
        <v>1.2</v>
      </c>
      <c r="Y102" s="203">
        <v>0.1</v>
      </c>
      <c r="Z102" s="204">
        <v>1.4</v>
      </c>
      <c r="AA102" s="203">
        <v>1.4</v>
      </c>
      <c r="AB102" s="203" t="s">
        <v>84</v>
      </c>
      <c r="AD102" s="198">
        <v>2201</v>
      </c>
      <c r="AE102" s="202" t="s">
        <v>82</v>
      </c>
      <c r="AF102" s="203" t="s">
        <v>82</v>
      </c>
      <c r="AG102" s="203" t="s">
        <v>82</v>
      </c>
      <c r="AH102" s="204" t="s">
        <v>82</v>
      </c>
      <c r="AI102" s="203" t="s">
        <v>82</v>
      </c>
      <c r="AJ102" s="203" t="s">
        <v>82</v>
      </c>
    </row>
    <row customFormat="1" r="103" s="205" spans="1:36" x14ac:dyDescent="0.2">
      <c r="A103" s="193">
        <v>99</v>
      </c>
      <c r="B103" s="194">
        <v>1</v>
      </c>
      <c r="C103" s="195" t="s">
        <v>79</v>
      </c>
      <c r="D103" s="195">
        <v>3</v>
      </c>
      <c r="E103" s="195" t="s">
        <v>110</v>
      </c>
      <c r="F103" s="196">
        <v>44568</v>
      </c>
      <c r="G103" s="197" t="s">
        <v>8</v>
      </c>
      <c r="H103" s="198">
        <v>2202</v>
      </c>
      <c r="I103" s="196" t="s">
        <v>124</v>
      </c>
      <c r="J103" s="199">
        <v>1445</v>
      </c>
      <c r="K103" s="198">
        <v>1544</v>
      </c>
      <c r="L103" s="200">
        <v>0</v>
      </c>
      <c r="M103" s="201"/>
      <c r="N103" s="199">
        <v>2202</v>
      </c>
      <c r="O103" s="202">
        <v>1.5</v>
      </c>
      <c r="P103" s="203">
        <v>1.4</v>
      </c>
      <c r="Q103" s="203">
        <v>0.1</v>
      </c>
      <c r="R103" s="204">
        <v>1.5</v>
      </c>
      <c r="S103" s="203">
        <v>1.5</v>
      </c>
      <c r="T103" s="203">
        <v>0</v>
      </c>
      <c r="V103" s="198">
        <v>2202</v>
      </c>
      <c r="W103" s="202">
        <v>1.5</v>
      </c>
      <c r="X103" s="203">
        <v>1.4</v>
      </c>
      <c r="Y103" s="203">
        <v>0.1</v>
      </c>
      <c r="Z103" s="204">
        <v>1.5</v>
      </c>
      <c r="AA103" s="203">
        <v>1.5</v>
      </c>
      <c r="AB103" s="203">
        <v>0</v>
      </c>
      <c r="AD103" s="198">
        <v>2202</v>
      </c>
      <c r="AE103" s="202" t="s">
        <v>82</v>
      </c>
      <c r="AF103" s="203" t="s">
        <v>82</v>
      </c>
      <c r="AG103" s="203" t="s">
        <v>82</v>
      </c>
      <c r="AH103" s="204" t="s">
        <v>82</v>
      </c>
      <c r="AI103" s="203" t="s">
        <v>82</v>
      </c>
      <c r="AJ103" s="203" t="s">
        <v>82</v>
      </c>
    </row>
    <row customFormat="1" r="104" s="205" spans="1:36" x14ac:dyDescent="0.2">
      <c r="A104" s="193">
        <v>100</v>
      </c>
      <c r="B104" s="194">
        <v>1</v>
      </c>
      <c r="C104" s="195" t="s">
        <v>79</v>
      </c>
      <c r="D104" s="195">
        <v>3</v>
      </c>
      <c r="E104" s="195" t="s">
        <v>110</v>
      </c>
      <c r="F104" s="196">
        <v>44575</v>
      </c>
      <c r="G104" s="197" t="s">
        <v>8</v>
      </c>
      <c r="H104" s="198">
        <v>2203</v>
      </c>
      <c r="I104" s="196" t="s">
        <v>124</v>
      </c>
      <c r="J104" s="199">
        <v>1445</v>
      </c>
      <c r="K104" s="198">
        <v>1544</v>
      </c>
      <c r="L104" s="200">
        <v>0</v>
      </c>
      <c r="M104" s="201"/>
      <c r="N104" s="199">
        <v>2203</v>
      </c>
      <c r="O104" s="202">
        <v>1.6</v>
      </c>
      <c r="P104" s="203">
        <v>1.4</v>
      </c>
      <c r="Q104" s="203">
        <v>0.2</v>
      </c>
      <c r="R104" s="204">
        <v>1.6</v>
      </c>
      <c r="S104" s="203">
        <v>1.6</v>
      </c>
      <c r="T104" s="203">
        <v>0</v>
      </c>
      <c r="V104" s="198">
        <v>2203</v>
      </c>
      <c r="W104" s="202">
        <v>1.6</v>
      </c>
      <c r="X104" s="203">
        <v>1.4</v>
      </c>
      <c r="Y104" s="203">
        <v>0.2</v>
      </c>
      <c r="Z104" s="204">
        <v>1.6</v>
      </c>
      <c r="AA104" s="203">
        <v>1.6</v>
      </c>
      <c r="AB104" s="203">
        <v>0</v>
      </c>
      <c r="AD104" s="198">
        <v>2203</v>
      </c>
      <c r="AE104" s="202"/>
      <c r="AF104" s="203" t="s">
        <v>82</v>
      </c>
      <c r="AG104" s="203" t="s">
        <v>82</v>
      </c>
      <c r="AH104" s="204" t="s">
        <v>82</v>
      </c>
      <c r="AI104" s="203" t="s">
        <v>82</v>
      </c>
      <c r="AJ104" s="203" t="s">
        <v>82</v>
      </c>
    </row>
    <row customFormat="1" r="105" s="205" spans="1:36" x14ac:dyDescent="0.2">
      <c r="A105" s="193">
        <v>101</v>
      </c>
      <c r="B105" s="194">
        <v>1</v>
      </c>
      <c r="C105" s="195" t="s">
        <v>79</v>
      </c>
      <c r="D105" s="195">
        <v>3</v>
      </c>
      <c r="E105" s="195" t="s">
        <v>110</v>
      </c>
      <c r="F105" s="196">
        <v>44579</v>
      </c>
      <c r="G105" s="197" t="s">
        <v>5</v>
      </c>
      <c r="H105" s="198">
        <v>2204</v>
      </c>
      <c r="I105" s="196" t="s">
        <v>125</v>
      </c>
      <c r="J105" s="199">
        <v>610</v>
      </c>
      <c r="K105" s="198">
        <v>759</v>
      </c>
      <c r="L105" s="200">
        <v>0</v>
      </c>
      <c r="M105" s="201"/>
      <c r="N105" s="199">
        <v>2204</v>
      </c>
      <c r="O105" s="202">
        <v>4.4000000000000004</v>
      </c>
      <c r="P105" s="203">
        <v>4.4000000000000004</v>
      </c>
      <c r="Q105" s="203">
        <v>0</v>
      </c>
      <c r="R105" s="204">
        <v>4.5999999999999996</v>
      </c>
      <c r="S105" s="203">
        <v>4.5999999999999996</v>
      </c>
      <c r="T105" s="203" t="s">
        <v>84</v>
      </c>
      <c r="V105" s="198">
        <v>2204</v>
      </c>
      <c r="W105" s="202">
        <v>4.4000000000000004</v>
      </c>
      <c r="X105" s="203">
        <v>4.4000000000000004</v>
      </c>
      <c r="Y105" s="203">
        <v>0</v>
      </c>
      <c r="Z105" s="204">
        <v>4.5999999999999996</v>
      </c>
      <c r="AA105" s="203">
        <v>4.5999999999999996</v>
      </c>
      <c r="AB105" s="203" t="s">
        <v>84</v>
      </c>
      <c r="AD105" s="198">
        <v>2204</v>
      </c>
      <c r="AE105" s="202" t="s">
        <v>82</v>
      </c>
      <c r="AF105" s="203" t="s">
        <v>82</v>
      </c>
      <c r="AG105" s="203" t="s">
        <v>82</v>
      </c>
      <c r="AH105" s="204" t="s">
        <v>82</v>
      </c>
      <c r="AI105" s="203" t="s">
        <v>82</v>
      </c>
      <c r="AJ105" s="203" t="s">
        <v>82</v>
      </c>
    </row>
    <row customFormat="1" r="106" s="205" spans="1:36" x14ac:dyDescent="0.2">
      <c r="A106" s="193">
        <v>102</v>
      </c>
      <c r="B106" s="194">
        <v>1</v>
      </c>
      <c r="C106" s="195" t="s">
        <v>79</v>
      </c>
      <c r="D106" s="195">
        <v>3</v>
      </c>
      <c r="E106" s="195" t="s">
        <v>110</v>
      </c>
      <c r="F106" s="196">
        <v>44586</v>
      </c>
      <c r="G106" s="197" t="s">
        <v>5</v>
      </c>
      <c r="H106" s="198">
        <v>2205</v>
      </c>
      <c r="I106" s="196" t="s">
        <v>125</v>
      </c>
      <c r="J106" s="199">
        <v>610</v>
      </c>
      <c r="K106" s="198">
        <v>759</v>
      </c>
      <c r="L106" s="200">
        <v>0</v>
      </c>
      <c r="M106" s="201"/>
      <c r="N106" s="199">
        <v>2205</v>
      </c>
      <c r="O106" s="202">
        <v>4.3</v>
      </c>
      <c r="P106" s="203">
        <v>4.3</v>
      </c>
      <c r="Q106" s="203">
        <v>0</v>
      </c>
      <c r="R106" s="204">
        <v>4.4000000000000004</v>
      </c>
      <c r="S106" s="203">
        <v>4.4000000000000004</v>
      </c>
      <c r="T106" s="203" t="s">
        <v>84</v>
      </c>
      <c r="V106" s="198">
        <v>2205</v>
      </c>
      <c r="W106" s="202">
        <v>4.3</v>
      </c>
      <c r="X106" s="203">
        <v>4.3</v>
      </c>
      <c r="Y106" s="203">
        <v>0</v>
      </c>
      <c r="Z106" s="204">
        <v>4.4000000000000004</v>
      </c>
      <c r="AA106" s="203">
        <v>4.4000000000000004</v>
      </c>
      <c r="AB106" s="203" t="s">
        <v>84</v>
      </c>
      <c r="AD106" s="198">
        <v>2205</v>
      </c>
      <c r="AE106" s="202" t="s">
        <v>82</v>
      </c>
      <c r="AF106" s="203" t="s">
        <v>82</v>
      </c>
      <c r="AG106" s="203" t="s">
        <v>82</v>
      </c>
      <c r="AH106" s="204" t="s">
        <v>82</v>
      </c>
      <c r="AI106" s="203" t="s">
        <v>82</v>
      </c>
      <c r="AJ106" s="203" t="s">
        <v>82</v>
      </c>
    </row>
    <row customFormat="1" r="107" s="205" spans="1:36" x14ac:dyDescent="0.2">
      <c r="A107" s="193">
        <v>103</v>
      </c>
      <c r="B107" s="194">
        <v>1</v>
      </c>
      <c r="C107" s="195" t="s">
        <v>79</v>
      </c>
      <c r="D107" s="195">
        <v>3</v>
      </c>
      <c r="E107" s="195" t="s">
        <v>110</v>
      </c>
      <c r="F107" s="196">
        <v>44593</v>
      </c>
      <c r="G107" s="197" t="s">
        <v>5</v>
      </c>
      <c r="H107" s="198">
        <v>2206</v>
      </c>
      <c r="I107" s="196" t="s">
        <v>125</v>
      </c>
      <c r="J107" s="199">
        <v>610</v>
      </c>
      <c r="K107" s="198">
        <v>759</v>
      </c>
      <c r="L107" s="200">
        <v>0</v>
      </c>
      <c r="M107" s="201"/>
      <c r="N107" s="199">
        <v>2206</v>
      </c>
      <c r="O107" s="202">
        <v>4.0999999999999996</v>
      </c>
      <c r="P107" s="203">
        <v>4.0999999999999996</v>
      </c>
      <c r="Q107" s="203">
        <v>0</v>
      </c>
      <c r="R107" s="204">
        <v>4.2</v>
      </c>
      <c r="S107" s="203">
        <v>4.2</v>
      </c>
      <c r="T107" s="203" t="s">
        <v>84</v>
      </c>
      <c r="V107" s="198">
        <v>2206</v>
      </c>
      <c r="W107" s="202">
        <v>4.0999999999999996</v>
      </c>
      <c r="X107" s="203">
        <v>4.0999999999999996</v>
      </c>
      <c r="Y107" s="203">
        <v>0</v>
      </c>
      <c r="Z107" s="204">
        <v>4.2</v>
      </c>
      <c r="AA107" s="203">
        <v>4.2</v>
      </c>
      <c r="AB107" s="203" t="s">
        <v>84</v>
      </c>
      <c r="AD107" s="198">
        <v>2206</v>
      </c>
      <c r="AE107" s="202" t="s">
        <v>82</v>
      </c>
      <c r="AF107" s="203" t="s">
        <v>82</v>
      </c>
      <c r="AG107" s="203" t="s">
        <v>82</v>
      </c>
      <c r="AH107" s="204" t="s">
        <v>82</v>
      </c>
      <c r="AI107" s="203" t="s">
        <v>82</v>
      </c>
      <c r="AJ107" s="203" t="s">
        <v>82</v>
      </c>
    </row>
    <row customFormat="1" r="108" s="205" spans="1:36" x14ac:dyDescent="0.2">
      <c r="A108" s="193">
        <v>104</v>
      </c>
      <c r="B108" s="194">
        <v>1</v>
      </c>
      <c r="C108" s="195" t="s">
        <v>79</v>
      </c>
      <c r="D108" s="195">
        <v>3</v>
      </c>
      <c r="E108" s="195" t="s">
        <v>110</v>
      </c>
      <c r="F108" s="196">
        <v>44600</v>
      </c>
      <c r="G108" s="197" t="s">
        <v>5</v>
      </c>
      <c r="H108" s="198">
        <v>2207</v>
      </c>
      <c r="I108" s="196" t="s">
        <v>125</v>
      </c>
      <c r="J108" s="199">
        <v>610</v>
      </c>
      <c r="K108" s="198">
        <v>759</v>
      </c>
      <c r="L108" s="200">
        <v>0</v>
      </c>
      <c r="M108" s="201"/>
      <c r="N108" s="199">
        <v>2207</v>
      </c>
      <c r="O108" s="202">
        <v>4.4000000000000004</v>
      </c>
      <c r="P108" s="203">
        <v>4.4000000000000004</v>
      </c>
      <c r="Q108" s="203">
        <v>0</v>
      </c>
      <c r="R108" s="204">
        <v>4.2</v>
      </c>
      <c r="S108" s="203">
        <v>4.2</v>
      </c>
      <c r="T108" s="203" t="s">
        <v>84</v>
      </c>
      <c r="V108" s="198">
        <v>2207</v>
      </c>
      <c r="W108" s="202">
        <v>4.4000000000000004</v>
      </c>
      <c r="X108" s="203">
        <v>4.4000000000000004</v>
      </c>
      <c r="Y108" s="203">
        <v>0</v>
      </c>
      <c r="Z108" s="204">
        <v>4.2</v>
      </c>
      <c r="AA108" s="203">
        <v>4.2</v>
      </c>
      <c r="AB108" s="203" t="s">
        <v>84</v>
      </c>
      <c r="AD108" s="198">
        <v>2207</v>
      </c>
      <c r="AE108" s="202" t="s">
        <v>82</v>
      </c>
      <c r="AF108" s="203" t="s">
        <v>82</v>
      </c>
      <c r="AG108" s="203" t="s">
        <v>82</v>
      </c>
      <c r="AH108" s="204" t="s">
        <v>82</v>
      </c>
      <c r="AI108" s="203" t="s">
        <v>82</v>
      </c>
      <c r="AJ108" s="203" t="s">
        <v>82</v>
      </c>
    </row>
    <row customFormat="1" r="109" s="205" spans="1:36" x14ac:dyDescent="0.2">
      <c r="A109" s="193">
        <v>105</v>
      </c>
      <c r="B109" s="194">
        <v>1</v>
      </c>
      <c r="C109" s="195" t="s">
        <v>79</v>
      </c>
      <c r="D109" s="195">
        <v>4</v>
      </c>
      <c r="E109" s="195" t="s">
        <v>126</v>
      </c>
      <c r="F109" s="196">
        <v>42956</v>
      </c>
      <c r="G109" s="197" t="s">
        <v>6</v>
      </c>
      <c r="H109" s="198">
        <v>1733</v>
      </c>
      <c r="I109" s="196" t="s">
        <v>127</v>
      </c>
      <c r="J109" s="199">
        <v>2310</v>
      </c>
      <c r="K109" s="198">
        <v>2339</v>
      </c>
      <c r="L109" s="200">
        <v>0</v>
      </c>
      <c r="M109" s="201"/>
      <c r="N109" s="199">
        <v>1733</v>
      </c>
      <c r="O109" s="202">
        <v>3.6</v>
      </c>
      <c r="P109" s="203">
        <v>3.4</v>
      </c>
      <c r="Q109" s="203">
        <v>0.2</v>
      </c>
      <c r="R109" s="204">
        <v>3.6</v>
      </c>
      <c r="S109" s="203">
        <v>3.6</v>
      </c>
      <c r="T109" s="203" t="s">
        <v>84</v>
      </c>
      <c r="V109" s="198">
        <v>1733</v>
      </c>
      <c r="W109" s="202">
        <v>3.5</v>
      </c>
      <c r="X109" s="203">
        <v>3.4</v>
      </c>
      <c r="Y109" s="203">
        <v>0.1</v>
      </c>
      <c r="Z109" s="204">
        <v>3.6</v>
      </c>
      <c r="AA109" s="203">
        <v>3.6</v>
      </c>
      <c r="AB109" s="203" t="s">
        <v>84</v>
      </c>
      <c r="AD109" s="198">
        <v>1733</v>
      </c>
      <c r="AE109" s="202">
        <v>-0.10000000000000009</v>
      </c>
      <c r="AF109" s="203" t="s">
        <v>82</v>
      </c>
      <c r="AG109" s="203">
        <v>-0.1</v>
      </c>
      <c r="AH109" s="204" t="s">
        <v>82</v>
      </c>
      <c r="AI109" s="203" t="s">
        <v>82</v>
      </c>
      <c r="AJ109" s="203" t="s">
        <v>82</v>
      </c>
    </row>
    <row customFormat="1" r="110" s="205" spans="1:36" x14ac:dyDescent="0.2">
      <c r="A110" s="193">
        <v>106</v>
      </c>
      <c r="B110" s="194">
        <v>1</v>
      </c>
      <c r="C110" s="195" t="s">
        <v>79</v>
      </c>
      <c r="D110" s="195">
        <v>4</v>
      </c>
      <c r="E110" s="195" t="s">
        <v>126</v>
      </c>
      <c r="F110" s="196">
        <v>42963</v>
      </c>
      <c r="G110" s="197" t="s">
        <v>6</v>
      </c>
      <c r="H110" s="198">
        <v>1734</v>
      </c>
      <c r="I110" s="196" t="s">
        <v>127</v>
      </c>
      <c r="J110" s="199">
        <v>2310</v>
      </c>
      <c r="K110" s="198">
        <v>2339</v>
      </c>
      <c r="L110" s="200">
        <v>0</v>
      </c>
      <c r="M110" s="201"/>
      <c r="N110" s="199">
        <v>1734</v>
      </c>
      <c r="O110" s="202">
        <v>3.4</v>
      </c>
      <c r="P110" s="203">
        <v>3.2</v>
      </c>
      <c r="Q110" s="203">
        <v>0.2</v>
      </c>
      <c r="R110" s="204">
        <v>3.3</v>
      </c>
      <c r="S110" s="203">
        <v>3.2</v>
      </c>
      <c r="T110" s="203">
        <v>0.1</v>
      </c>
      <c r="V110" s="198">
        <v>1734</v>
      </c>
      <c r="W110" s="202">
        <v>3.4</v>
      </c>
      <c r="X110" s="203">
        <v>3.2</v>
      </c>
      <c r="Y110" s="203">
        <v>0.2</v>
      </c>
      <c r="Z110" s="204">
        <v>3.3</v>
      </c>
      <c r="AA110" s="203">
        <v>3.2</v>
      </c>
      <c r="AB110" s="203">
        <v>0.1</v>
      </c>
      <c r="AD110" s="198">
        <v>1734</v>
      </c>
      <c r="AE110" s="202"/>
      <c r="AF110" s="203" t="s">
        <v>82</v>
      </c>
      <c r="AG110" s="203" t="s">
        <v>82</v>
      </c>
      <c r="AH110" s="204"/>
      <c r="AI110" s="203" t="s">
        <v>82</v>
      </c>
      <c r="AJ110" s="203" t="s">
        <v>82</v>
      </c>
    </row>
    <row customFormat="1" r="111" s="205" spans="1:36" x14ac:dyDescent="0.2">
      <c r="A111" s="193">
        <v>107</v>
      </c>
      <c r="B111" s="194">
        <v>1</v>
      </c>
      <c r="C111" s="195" t="s">
        <v>79</v>
      </c>
      <c r="D111" s="195">
        <v>4</v>
      </c>
      <c r="E111" s="195" t="s">
        <v>126</v>
      </c>
      <c r="F111" s="196">
        <v>42970</v>
      </c>
      <c r="G111" s="197" t="s">
        <v>6</v>
      </c>
      <c r="H111" s="198">
        <v>1735</v>
      </c>
      <c r="I111" s="196" t="s">
        <v>127</v>
      </c>
      <c r="J111" s="199">
        <v>2310</v>
      </c>
      <c r="K111" s="198">
        <v>2339</v>
      </c>
      <c r="L111" s="200">
        <v>0</v>
      </c>
      <c r="M111" s="201"/>
      <c r="N111" s="199">
        <v>1735</v>
      </c>
      <c r="O111" s="202">
        <v>3.3</v>
      </c>
      <c r="P111" s="203">
        <v>3</v>
      </c>
      <c r="Q111" s="203">
        <v>0.3</v>
      </c>
      <c r="R111" s="204">
        <v>3</v>
      </c>
      <c r="S111" s="203">
        <v>2.9</v>
      </c>
      <c r="T111" s="203">
        <v>0.1</v>
      </c>
      <c r="V111" s="198">
        <v>1735</v>
      </c>
      <c r="W111" s="202">
        <v>3.2</v>
      </c>
      <c r="X111" s="203">
        <v>3</v>
      </c>
      <c r="Y111" s="203">
        <v>0.2</v>
      </c>
      <c r="Z111" s="204">
        <v>3</v>
      </c>
      <c r="AA111" s="203">
        <v>2.9</v>
      </c>
      <c r="AB111" s="203">
        <v>0.1</v>
      </c>
      <c r="AD111" s="198">
        <v>1735</v>
      </c>
      <c r="AE111" s="202">
        <v>-9.9999999999999645E-2</v>
      </c>
      <c r="AF111" s="203" t="s">
        <v>82</v>
      </c>
      <c r="AG111" s="203">
        <v>-9.9999999999999978E-2</v>
      </c>
      <c r="AH111" s="204" t="s">
        <v>82</v>
      </c>
      <c r="AI111" s="203" t="s">
        <v>82</v>
      </c>
      <c r="AJ111" s="203" t="s">
        <v>82</v>
      </c>
    </row>
    <row customFormat="1" r="112" s="205" spans="1:36" x14ac:dyDescent="0.2">
      <c r="A112" s="193">
        <v>108</v>
      </c>
      <c r="B112" s="194">
        <v>1</v>
      </c>
      <c r="C112" s="195" t="s">
        <v>79</v>
      </c>
      <c r="D112" s="195">
        <v>4</v>
      </c>
      <c r="E112" s="195" t="s">
        <v>126</v>
      </c>
      <c r="F112" s="196">
        <v>42977</v>
      </c>
      <c r="G112" s="197" t="s">
        <v>6</v>
      </c>
      <c r="H112" s="198">
        <v>1736</v>
      </c>
      <c r="I112" s="196" t="s">
        <v>128</v>
      </c>
      <c r="J112" s="199">
        <v>2315</v>
      </c>
      <c r="K112" s="198">
        <v>2414</v>
      </c>
      <c r="L112" s="200">
        <v>0</v>
      </c>
      <c r="M112" s="201"/>
      <c r="N112" s="199">
        <v>1736</v>
      </c>
      <c r="O112" s="202">
        <v>3.4</v>
      </c>
      <c r="P112" s="203">
        <v>3.1</v>
      </c>
      <c r="Q112" s="203">
        <v>0.3</v>
      </c>
      <c r="R112" s="204">
        <v>3</v>
      </c>
      <c r="S112" s="203">
        <v>2.9</v>
      </c>
      <c r="T112" s="203">
        <v>0.1</v>
      </c>
      <c r="V112" s="198">
        <v>1736</v>
      </c>
      <c r="W112" s="202">
        <v>3.3</v>
      </c>
      <c r="X112" s="203">
        <v>3.1</v>
      </c>
      <c r="Y112" s="203">
        <v>0.2</v>
      </c>
      <c r="Z112" s="204">
        <v>3</v>
      </c>
      <c r="AA112" s="203">
        <v>2.9</v>
      </c>
      <c r="AB112" s="203">
        <v>0.1</v>
      </c>
      <c r="AD112" s="198">
        <v>1736</v>
      </c>
      <c r="AE112" s="202">
        <v>-0.10000000000000009</v>
      </c>
      <c r="AF112" s="203" t="s">
        <v>82</v>
      </c>
      <c r="AG112" s="203">
        <v>-9.9999999999999978E-2</v>
      </c>
      <c r="AH112" s="204" t="s">
        <v>82</v>
      </c>
      <c r="AI112" s="203" t="s">
        <v>82</v>
      </c>
      <c r="AJ112" s="203" t="s">
        <v>82</v>
      </c>
    </row>
    <row customFormat="1" r="113" s="205" spans="1:36" x14ac:dyDescent="0.2">
      <c r="A113" s="193">
        <v>109</v>
      </c>
      <c r="B113" s="194">
        <v>1</v>
      </c>
      <c r="C113" s="195" t="s">
        <v>79</v>
      </c>
      <c r="D113" s="195">
        <v>4</v>
      </c>
      <c r="E113" s="195" t="s">
        <v>126</v>
      </c>
      <c r="F113" s="196">
        <v>43628</v>
      </c>
      <c r="G113" s="197" t="s">
        <v>6</v>
      </c>
      <c r="H113" s="198">
        <v>1924</v>
      </c>
      <c r="I113" s="196" t="s">
        <v>129</v>
      </c>
      <c r="J113" s="199">
        <v>600</v>
      </c>
      <c r="K113" s="198">
        <v>659</v>
      </c>
      <c r="L113" s="200">
        <v>0</v>
      </c>
      <c r="M113" s="201"/>
      <c r="N113" s="199">
        <v>1924</v>
      </c>
      <c r="O113" s="202">
        <v>4.3</v>
      </c>
      <c r="P113" s="203">
        <v>4.3</v>
      </c>
      <c r="Q113" s="203">
        <v>0</v>
      </c>
      <c r="R113" s="204">
        <v>5.2</v>
      </c>
      <c r="S113" s="203">
        <v>5.2</v>
      </c>
      <c r="T113" s="203" t="s">
        <v>84</v>
      </c>
      <c r="V113" s="198">
        <v>1924</v>
      </c>
      <c r="W113" s="202">
        <v>4.3</v>
      </c>
      <c r="X113" s="203">
        <v>4.3</v>
      </c>
      <c r="Y113" s="203">
        <v>0</v>
      </c>
      <c r="Z113" s="204">
        <v>5.2</v>
      </c>
      <c r="AA113" s="203">
        <v>5.2</v>
      </c>
      <c r="AB113" s="203" t="s">
        <v>84</v>
      </c>
      <c r="AD113" s="198">
        <v>1924</v>
      </c>
      <c r="AE113" s="202" t="s">
        <v>82</v>
      </c>
      <c r="AF113" s="203" t="s">
        <v>82</v>
      </c>
      <c r="AG113" s="203" t="s">
        <v>82</v>
      </c>
      <c r="AH113" s="204" t="s">
        <v>82</v>
      </c>
      <c r="AI113" s="203" t="s">
        <v>82</v>
      </c>
      <c r="AJ113" s="203" t="s">
        <v>82</v>
      </c>
    </row>
    <row customFormat="1" r="114" s="205" spans="1:36" x14ac:dyDescent="0.2">
      <c r="A114" s="193">
        <v>110</v>
      </c>
      <c r="B114" s="194">
        <v>1</v>
      </c>
      <c r="C114" s="195" t="s">
        <v>79</v>
      </c>
      <c r="D114" s="195">
        <v>4</v>
      </c>
      <c r="E114" s="195" t="s">
        <v>126</v>
      </c>
      <c r="F114" s="196">
        <v>43635</v>
      </c>
      <c r="G114" s="197" t="s">
        <v>6</v>
      </c>
      <c r="H114" s="198">
        <v>1925</v>
      </c>
      <c r="I114" s="196" t="s">
        <v>129</v>
      </c>
      <c r="J114" s="199">
        <v>600</v>
      </c>
      <c r="K114" s="198">
        <v>659</v>
      </c>
      <c r="L114" s="200">
        <v>0</v>
      </c>
      <c r="M114" s="201"/>
      <c r="N114" s="199">
        <v>1925</v>
      </c>
      <c r="O114" s="202">
        <v>4.4000000000000004</v>
      </c>
      <c r="P114" s="203">
        <v>4.4000000000000004</v>
      </c>
      <c r="Q114" s="203">
        <v>0</v>
      </c>
      <c r="R114" s="204">
        <v>5.2</v>
      </c>
      <c r="S114" s="203">
        <v>5.2</v>
      </c>
      <c r="T114" s="203" t="s">
        <v>84</v>
      </c>
      <c r="V114" s="198">
        <v>1925</v>
      </c>
      <c r="W114" s="202">
        <v>4.4000000000000004</v>
      </c>
      <c r="X114" s="203">
        <v>4.4000000000000004</v>
      </c>
      <c r="Y114" s="203">
        <v>0</v>
      </c>
      <c r="Z114" s="204">
        <v>5.2</v>
      </c>
      <c r="AA114" s="203">
        <v>5.2</v>
      </c>
      <c r="AB114" s="203" t="s">
        <v>84</v>
      </c>
      <c r="AD114" s="198">
        <v>1925</v>
      </c>
      <c r="AE114" s="202" t="s">
        <v>82</v>
      </c>
      <c r="AF114" s="203" t="s">
        <v>82</v>
      </c>
      <c r="AG114" s="203" t="s">
        <v>82</v>
      </c>
      <c r="AH114" s="204" t="s">
        <v>82</v>
      </c>
      <c r="AI114" s="203" t="s">
        <v>82</v>
      </c>
      <c r="AJ114" s="203" t="s">
        <v>82</v>
      </c>
    </row>
    <row customFormat="1" r="115" s="205" spans="1:36" x14ac:dyDescent="0.2">
      <c r="A115" s="193">
        <v>111</v>
      </c>
      <c r="B115" s="194">
        <v>1</v>
      </c>
      <c r="C115" s="195" t="s">
        <v>79</v>
      </c>
      <c r="D115" s="195">
        <v>4</v>
      </c>
      <c r="E115" s="195" t="s">
        <v>126</v>
      </c>
      <c r="F115" s="196">
        <v>43642</v>
      </c>
      <c r="G115" s="197" t="s">
        <v>6</v>
      </c>
      <c r="H115" s="198">
        <v>1926</v>
      </c>
      <c r="I115" s="196" t="s">
        <v>129</v>
      </c>
      <c r="J115" s="199">
        <v>600</v>
      </c>
      <c r="K115" s="198">
        <v>659</v>
      </c>
      <c r="L115" s="200">
        <v>0</v>
      </c>
      <c r="M115" s="201"/>
      <c r="N115" s="199">
        <v>1926</v>
      </c>
      <c r="O115" s="202">
        <v>4.4000000000000004</v>
      </c>
      <c r="P115" s="203">
        <v>4.4000000000000004</v>
      </c>
      <c r="Q115" s="203">
        <v>0</v>
      </c>
      <c r="R115" s="204">
        <v>5.2</v>
      </c>
      <c r="S115" s="203">
        <v>5.2</v>
      </c>
      <c r="T115" s="203" t="s">
        <v>84</v>
      </c>
      <c r="V115" s="198">
        <v>1926</v>
      </c>
      <c r="W115" s="202">
        <v>4.4000000000000004</v>
      </c>
      <c r="X115" s="203">
        <v>4.4000000000000004</v>
      </c>
      <c r="Y115" s="203">
        <v>0</v>
      </c>
      <c r="Z115" s="204">
        <v>5.2</v>
      </c>
      <c r="AA115" s="203">
        <v>5.2</v>
      </c>
      <c r="AB115" s="203" t="s">
        <v>84</v>
      </c>
      <c r="AD115" s="198">
        <v>1926</v>
      </c>
      <c r="AE115" s="202" t="s">
        <v>82</v>
      </c>
      <c r="AF115" s="203" t="s">
        <v>82</v>
      </c>
      <c r="AG115" s="203" t="s">
        <v>82</v>
      </c>
      <c r="AH115" s="204" t="s">
        <v>82</v>
      </c>
      <c r="AI115" s="203" t="s">
        <v>82</v>
      </c>
      <c r="AJ115" s="203" t="s">
        <v>82</v>
      </c>
    </row>
    <row customFormat="1" r="116" s="205" spans="1:36" x14ac:dyDescent="0.2">
      <c r="A116" s="193">
        <v>112</v>
      </c>
      <c r="B116" s="194">
        <v>1</v>
      </c>
      <c r="C116" s="195" t="s">
        <v>79</v>
      </c>
      <c r="D116" s="195">
        <v>4</v>
      </c>
      <c r="E116" s="195" t="s">
        <v>126</v>
      </c>
      <c r="F116" s="196">
        <v>43649</v>
      </c>
      <c r="G116" s="197" t="s">
        <v>6</v>
      </c>
      <c r="H116" s="198">
        <v>1927</v>
      </c>
      <c r="I116" s="196" t="s">
        <v>129</v>
      </c>
      <c r="J116" s="199">
        <v>600</v>
      </c>
      <c r="K116" s="198">
        <v>659</v>
      </c>
      <c r="L116" s="200">
        <v>0</v>
      </c>
      <c r="M116" s="201"/>
      <c r="N116" s="199">
        <v>1927</v>
      </c>
      <c r="O116" s="202">
        <v>4.3</v>
      </c>
      <c r="P116" s="203">
        <v>4.3</v>
      </c>
      <c r="Q116" s="203">
        <v>0</v>
      </c>
      <c r="R116" s="204">
        <v>5.0999999999999996</v>
      </c>
      <c r="S116" s="203">
        <v>5.0999999999999996</v>
      </c>
      <c r="T116" s="203" t="s">
        <v>84</v>
      </c>
      <c r="V116" s="198">
        <v>1927</v>
      </c>
      <c r="W116" s="202">
        <v>4.3</v>
      </c>
      <c r="X116" s="203">
        <v>4.3</v>
      </c>
      <c r="Y116" s="203">
        <v>0</v>
      </c>
      <c r="Z116" s="204">
        <v>5.0999999999999996</v>
      </c>
      <c r="AA116" s="203">
        <v>5.0999999999999996</v>
      </c>
      <c r="AB116" s="203" t="s">
        <v>84</v>
      </c>
      <c r="AD116" s="198">
        <v>1927</v>
      </c>
      <c r="AE116" s="202" t="s">
        <v>82</v>
      </c>
      <c r="AF116" s="203" t="s">
        <v>82</v>
      </c>
      <c r="AG116" s="203" t="s">
        <v>82</v>
      </c>
      <c r="AH116" s="204" t="s">
        <v>82</v>
      </c>
      <c r="AI116" s="203" t="s">
        <v>82</v>
      </c>
      <c r="AJ116" s="203" t="s">
        <v>82</v>
      </c>
    </row>
    <row customFormat="1" r="117" s="205" spans="1:36" x14ac:dyDescent="0.2">
      <c r="A117" s="193">
        <v>113</v>
      </c>
      <c r="B117" s="194">
        <v>1</v>
      </c>
      <c r="C117" s="195" t="s">
        <v>79</v>
      </c>
      <c r="D117" s="195">
        <v>4</v>
      </c>
      <c r="E117" s="195" t="s">
        <v>126</v>
      </c>
      <c r="F117" s="196">
        <v>43856</v>
      </c>
      <c r="G117" s="197" t="s">
        <v>10</v>
      </c>
      <c r="H117" s="198">
        <v>2004</v>
      </c>
      <c r="I117" s="196" t="s">
        <v>130</v>
      </c>
      <c r="J117" s="199">
        <v>2100</v>
      </c>
      <c r="K117" s="198">
        <v>2304</v>
      </c>
      <c r="L117" s="200">
        <v>0</v>
      </c>
      <c r="M117" s="201"/>
      <c r="N117" s="199">
        <v>2004</v>
      </c>
      <c r="O117" s="202">
        <v>7.4</v>
      </c>
      <c r="P117" s="203">
        <v>6.7</v>
      </c>
      <c r="Q117" s="203">
        <v>0.7</v>
      </c>
      <c r="R117" s="204">
        <v>3.8</v>
      </c>
      <c r="S117" s="203">
        <v>3.7</v>
      </c>
      <c r="T117" s="203">
        <v>0.1</v>
      </c>
      <c r="V117" s="198">
        <v>2004</v>
      </c>
      <c r="W117" s="202">
        <v>7.4</v>
      </c>
      <c r="X117" s="203">
        <v>6.7</v>
      </c>
      <c r="Y117" s="203">
        <v>0.7</v>
      </c>
      <c r="Z117" s="204">
        <v>3.8</v>
      </c>
      <c r="AA117" s="203">
        <v>3.7</v>
      </c>
      <c r="AB117" s="203">
        <v>0.1</v>
      </c>
      <c r="AD117" s="198">
        <v>2004</v>
      </c>
      <c r="AE117" s="202" t="s">
        <v>82</v>
      </c>
      <c r="AF117" s="203" t="s">
        <v>82</v>
      </c>
      <c r="AG117" s="203" t="s">
        <v>82</v>
      </c>
      <c r="AH117" s="204"/>
      <c r="AI117" s="203" t="s">
        <v>82</v>
      </c>
      <c r="AJ117" s="203" t="s">
        <v>82</v>
      </c>
    </row>
    <row customFormat="1" r="118" s="205" spans="1:36" x14ac:dyDescent="0.2">
      <c r="A118" s="193">
        <v>114</v>
      </c>
      <c r="B118" s="194">
        <v>1</v>
      </c>
      <c r="C118" s="195" t="s">
        <v>79</v>
      </c>
      <c r="D118" s="195">
        <v>4</v>
      </c>
      <c r="E118" s="195" t="s">
        <v>126</v>
      </c>
      <c r="F118" s="196">
        <v>43863</v>
      </c>
      <c r="G118" s="197" t="s">
        <v>10</v>
      </c>
      <c r="H118" s="198">
        <v>2005</v>
      </c>
      <c r="I118" s="196" t="s">
        <v>131</v>
      </c>
      <c r="J118" s="199">
        <v>2100</v>
      </c>
      <c r="K118" s="198">
        <v>2304</v>
      </c>
      <c r="L118" s="200">
        <v>0</v>
      </c>
      <c r="M118" s="201"/>
      <c r="N118" s="199">
        <v>2005</v>
      </c>
      <c r="O118" s="202">
        <v>7</v>
      </c>
      <c r="P118" s="203">
        <v>6.2</v>
      </c>
      <c r="Q118" s="203">
        <v>0.8</v>
      </c>
      <c r="R118" s="204">
        <v>3.8</v>
      </c>
      <c r="S118" s="203">
        <v>3.6</v>
      </c>
      <c r="T118" s="203">
        <v>0.2</v>
      </c>
      <c r="V118" s="198">
        <v>2005</v>
      </c>
      <c r="W118" s="202">
        <v>6.9</v>
      </c>
      <c r="X118" s="203">
        <v>6.2</v>
      </c>
      <c r="Y118" s="203">
        <v>0.7</v>
      </c>
      <c r="Z118" s="204">
        <v>3.8</v>
      </c>
      <c r="AA118" s="203">
        <v>3.6</v>
      </c>
      <c r="AB118" s="203">
        <v>0.2</v>
      </c>
      <c r="AD118" s="198">
        <v>2005</v>
      </c>
      <c r="AE118" s="202">
        <v>-9.9999999999999645E-2</v>
      </c>
      <c r="AF118" s="203" t="s">
        <v>82</v>
      </c>
      <c r="AG118" s="203">
        <v>-0.10000000000000009</v>
      </c>
      <c r="AH118" s="204"/>
      <c r="AI118" s="203" t="s">
        <v>82</v>
      </c>
      <c r="AJ118" s="203" t="s">
        <v>82</v>
      </c>
    </row>
    <row customFormat="1" r="119" s="205" spans="1:36" x14ac:dyDescent="0.2">
      <c r="A119" s="193">
        <v>115</v>
      </c>
      <c r="B119" s="194">
        <v>1</v>
      </c>
      <c r="C119" s="195" t="s">
        <v>79</v>
      </c>
      <c r="D119" s="195">
        <v>4</v>
      </c>
      <c r="E119" s="195" t="s">
        <v>126</v>
      </c>
      <c r="F119" s="196">
        <v>43870</v>
      </c>
      <c r="G119" s="197" t="s">
        <v>10</v>
      </c>
      <c r="H119" s="198">
        <v>2006</v>
      </c>
      <c r="I119" s="196" t="s">
        <v>132</v>
      </c>
      <c r="J119" s="199">
        <v>2100</v>
      </c>
      <c r="K119" s="198">
        <v>2304</v>
      </c>
      <c r="L119" s="200">
        <v>0</v>
      </c>
      <c r="M119" s="201"/>
      <c r="N119" s="199">
        <v>2006</v>
      </c>
      <c r="O119" s="202">
        <v>6.5</v>
      </c>
      <c r="P119" s="203">
        <v>5.8</v>
      </c>
      <c r="Q119" s="203">
        <v>0.7</v>
      </c>
      <c r="R119" s="204">
        <v>3.6</v>
      </c>
      <c r="S119" s="203">
        <v>3.5</v>
      </c>
      <c r="T119" s="203">
        <v>0.1</v>
      </c>
      <c r="V119" s="198">
        <v>2006</v>
      </c>
      <c r="W119" s="202">
        <v>6.5</v>
      </c>
      <c r="X119" s="203">
        <v>5.8</v>
      </c>
      <c r="Y119" s="203">
        <v>0.7</v>
      </c>
      <c r="Z119" s="204">
        <v>3.6</v>
      </c>
      <c r="AA119" s="203">
        <v>3.5</v>
      </c>
      <c r="AB119" s="203">
        <v>0.1</v>
      </c>
      <c r="AD119" s="198">
        <v>2006</v>
      </c>
      <c r="AE119" s="202" t="s">
        <v>82</v>
      </c>
      <c r="AF119" s="203" t="s">
        <v>82</v>
      </c>
      <c r="AG119" s="203" t="s">
        <v>82</v>
      </c>
      <c r="AH119" s="204" t="s">
        <v>82</v>
      </c>
      <c r="AI119" s="203" t="s">
        <v>82</v>
      </c>
      <c r="AJ119" s="203" t="s">
        <v>82</v>
      </c>
    </row>
    <row customFormat="1" r="120" s="205" spans="1:36" x14ac:dyDescent="0.2">
      <c r="A120" s="193">
        <v>116</v>
      </c>
      <c r="B120" s="194">
        <v>1</v>
      </c>
      <c r="C120" s="195" t="s">
        <v>79</v>
      </c>
      <c r="D120" s="195">
        <v>4</v>
      </c>
      <c r="E120" s="195" t="s">
        <v>126</v>
      </c>
      <c r="F120" s="196">
        <v>43877</v>
      </c>
      <c r="G120" s="197" t="s">
        <v>10</v>
      </c>
      <c r="H120" s="198">
        <v>2007</v>
      </c>
      <c r="I120" s="196" t="s">
        <v>133</v>
      </c>
      <c r="J120" s="199">
        <v>2100</v>
      </c>
      <c r="K120" s="198">
        <v>2304</v>
      </c>
      <c r="L120" s="200">
        <v>0</v>
      </c>
      <c r="M120" s="201"/>
      <c r="N120" s="199">
        <v>2007</v>
      </c>
      <c r="O120" s="202">
        <v>6.4</v>
      </c>
      <c r="P120" s="203">
        <v>5.5</v>
      </c>
      <c r="Q120" s="203">
        <v>0.9</v>
      </c>
      <c r="R120" s="204">
        <v>3</v>
      </c>
      <c r="S120" s="203">
        <v>2.8</v>
      </c>
      <c r="T120" s="203">
        <v>0.2</v>
      </c>
      <c r="V120" s="198">
        <v>2007</v>
      </c>
      <c r="W120" s="202">
        <v>6.3</v>
      </c>
      <c r="X120" s="203">
        <v>5.5</v>
      </c>
      <c r="Y120" s="203">
        <v>0.8</v>
      </c>
      <c r="Z120" s="204">
        <v>3</v>
      </c>
      <c r="AA120" s="203">
        <v>2.8</v>
      </c>
      <c r="AB120" s="203">
        <v>0.2</v>
      </c>
      <c r="AD120" s="198">
        <v>2007</v>
      </c>
      <c r="AE120" s="202">
        <v>-0.10000000000000053</v>
      </c>
      <c r="AF120" s="203" t="s">
        <v>82</v>
      </c>
      <c r="AG120" s="203">
        <v>-9.9999999999999978E-2</v>
      </c>
      <c r="AH120" s="204" t="s">
        <v>82</v>
      </c>
      <c r="AI120" s="203" t="s">
        <v>82</v>
      </c>
      <c r="AJ120" s="203" t="s">
        <v>82</v>
      </c>
    </row>
    <row customFormat="1" r="121" s="205" spans="1:36" x14ac:dyDescent="0.2">
      <c r="A121" s="193">
        <v>117</v>
      </c>
      <c r="B121" s="194">
        <v>1</v>
      </c>
      <c r="C121" s="195" t="s">
        <v>79</v>
      </c>
      <c r="D121" s="195">
        <v>4</v>
      </c>
      <c r="E121" s="195" t="s">
        <v>126</v>
      </c>
      <c r="F121" s="196">
        <v>44067</v>
      </c>
      <c r="G121" s="197" t="s">
        <v>4</v>
      </c>
      <c r="H121" s="198">
        <v>2035</v>
      </c>
      <c r="I121" s="196" t="s">
        <v>134</v>
      </c>
      <c r="J121" s="199">
        <v>1900</v>
      </c>
      <c r="K121" s="198">
        <v>2029</v>
      </c>
      <c r="L121" s="200">
        <v>0</v>
      </c>
      <c r="M121" s="201"/>
      <c r="N121" s="199">
        <v>2035</v>
      </c>
      <c r="O121" s="202">
        <v>7.2</v>
      </c>
      <c r="P121" s="203">
        <v>7</v>
      </c>
      <c r="Q121" s="203">
        <v>0.2</v>
      </c>
      <c r="R121" s="204">
        <v>8.8000000000000007</v>
      </c>
      <c r="S121" s="203">
        <v>8.8000000000000007</v>
      </c>
      <c r="T121" s="203" t="s">
        <v>84</v>
      </c>
      <c r="V121" s="198">
        <v>2035</v>
      </c>
      <c r="W121" s="202">
        <v>7.2</v>
      </c>
      <c r="X121" s="203">
        <v>7</v>
      </c>
      <c r="Y121" s="203">
        <v>0.2</v>
      </c>
      <c r="Z121" s="204">
        <v>8.8000000000000007</v>
      </c>
      <c r="AA121" s="203">
        <v>8.8000000000000007</v>
      </c>
      <c r="AB121" s="203" t="s">
        <v>84</v>
      </c>
      <c r="AD121" s="198">
        <v>2035</v>
      </c>
      <c r="AE121" s="202" t="s">
        <v>82</v>
      </c>
      <c r="AF121" s="203" t="s">
        <v>82</v>
      </c>
      <c r="AG121" s="203" t="s">
        <v>82</v>
      </c>
      <c r="AH121" s="204" t="s">
        <v>82</v>
      </c>
      <c r="AI121" s="203" t="s">
        <v>82</v>
      </c>
      <c r="AJ121" s="203" t="s">
        <v>82</v>
      </c>
    </row>
    <row customFormat="1" r="122" s="205" spans="1:36" x14ac:dyDescent="0.2">
      <c r="A122" s="193">
        <v>118</v>
      </c>
      <c r="B122" s="194">
        <v>1</v>
      </c>
      <c r="C122" s="195" t="s">
        <v>79</v>
      </c>
      <c r="D122" s="195">
        <v>4</v>
      </c>
      <c r="E122" s="195" t="s">
        <v>126</v>
      </c>
      <c r="F122" s="196">
        <v>44071</v>
      </c>
      <c r="G122" s="197" t="s">
        <v>8</v>
      </c>
      <c r="H122" s="198">
        <v>2035</v>
      </c>
      <c r="I122" s="196" t="s">
        <v>135</v>
      </c>
      <c r="J122" s="199">
        <v>700</v>
      </c>
      <c r="K122" s="198">
        <v>759</v>
      </c>
      <c r="L122" s="200">
        <v>0</v>
      </c>
      <c r="M122" s="201"/>
      <c r="N122" s="199">
        <v>2035</v>
      </c>
      <c r="O122" s="202">
        <v>4.7</v>
      </c>
      <c r="P122" s="203">
        <v>4.7</v>
      </c>
      <c r="Q122" s="203">
        <v>0</v>
      </c>
      <c r="R122" s="204">
        <v>5.4</v>
      </c>
      <c r="S122" s="203">
        <v>5.4</v>
      </c>
      <c r="T122" s="203" t="s">
        <v>84</v>
      </c>
      <c r="V122" s="198">
        <v>2035</v>
      </c>
      <c r="W122" s="202">
        <v>4.7</v>
      </c>
      <c r="X122" s="203">
        <v>4.7</v>
      </c>
      <c r="Y122" s="203">
        <v>0</v>
      </c>
      <c r="Z122" s="204">
        <v>5.4</v>
      </c>
      <c r="AA122" s="203">
        <v>5.4</v>
      </c>
      <c r="AB122" s="203" t="s">
        <v>84</v>
      </c>
      <c r="AD122" s="198">
        <v>2035</v>
      </c>
      <c r="AE122" s="202" t="s">
        <v>82</v>
      </c>
      <c r="AF122" s="203" t="s">
        <v>82</v>
      </c>
      <c r="AG122" s="203" t="s">
        <v>82</v>
      </c>
      <c r="AH122" s="204" t="s">
        <v>82</v>
      </c>
      <c r="AI122" s="203" t="s">
        <v>82</v>
      </c>
      <c r="AJ122" s="203" t="s">
        <v>82</v>
      </c>
    </row>
    <row customFormat="1" r="123" s="205" spans="1:36" x14ac:dyDescent="0.2">
      <c r="A123" s="193">
        <v>119</v>
      </c>
      <c r="B123" s="194">
        <v>1</v>
      </c>
      <c r="C123" s="195" t="s">
        <v>79</v>
      </c>
      <c r="D123" s="195">
        <v>4</v>
      </c>
      <c r="E123" s="195" t="s">
        <v>126</v>
      </c>
      <c r="F123" s="196">
        <v>44074</v>
      </c>
      <c r="G123" s="197" t="s">
        <v>4</v>
      </c>
      <c r="H123" s="198">
        <v>2036</v>
      </c>
      <c r="I123" s="196" t="s">
        <v>136</v>
      </c>
      <c r="J123" s="199">
        <v>1900</v>
      </c>
      <c r="K123" s="198">
        <v>2147</v>
      </c>
      <c r="L123" s="200">
        <v>0</v>
      </c>
      <c r="M123" s="201"/>
      <c r="N123" s="199">
        <v>2036</v>
      </c>
      <c r="O123" s="202">
        <v>6.7</v>
      </c>
      <c r="P123" s="203">
        <v>6.5</v>
      </c>
      <c r="Q123" s="203">
        <v>0.2</v>
      </c>
      <c r="R123" s="204">
        <v>4.7</v>
      </c>
      <c r="S123" s="203">
        <v>4.5999999999999996</v>
      </c>
      <c r="T123" s="203">
        <v>0.1</v>
      </c>
      <c r="V123" s="198">
        <v>2036</v>
      </c>
      <c r="W123" s="202">
        <v>6.7</v>
      </c>
      <c r="X123" s="203">
        <v>6.5</v>
      </c>
      <c r="Y123" s="203">
        <v>0.2</v>
      </c>
      <c r="Z123" s="204">
        <v>4.7</v>
      </c>
      <c r="AA123" s="203">
        <v>4.5999999999999996</v>
      </c>
      <c r="AB123" s="203">
        <v>0.1</v>
      </c>
      <c r="AD123" s="198">
        <v>2036</v>
      </c>
      <c r="AE123" s="202" t="s">
        <v>82</v>
      </c>
      <c r="AF123" s="203" t="s">
        <v>82</v>
      </c>
      <c r="AG123" s="203" t="s">
        <v>82</v>
      </c>
      <c r="AH123" s="204"/>
      <c r="AI123" s="203" t="s">
        <v>82</v>
      </c>
      <c r="AJ123" s="203" t="s">
        <v>82</v>
      </c>
    </row>
    <row customFormat="1" r="124" s="205" spans="1:36" x14ac:dyDescent="0.2">
      <c r="A124" s="193">
        <v>120</v>
      </c>
      <c r="B124" s="194">
        <v>1</v>
      </c>
      <c r="C124" s="195" t="s">
        <v>79</v>
      </c>
      <c r="D124" s="195">
        <v>4</v>
      </c>
      <c r="E124" s="195" t="s">
        <v>126</v>
      </c>
      <c r="F124" s="196">
        <v>44078</v>
      </c>
      <c r="G124" s="197" t="s">
        <v>8</v>
      </c>
      <c r="H124" s="198">
        <v>2036</v>
      </c>
      <c r="I124" s="196" t="s">
        <v>135</v>
      </c>
      <c r="J124" s="199">
        <v>700</v>
      </c>
      <c r="K124" s="198">
        <v>759</v>
      </c>
      <c r="L124" s="200">
        <v>0</v>
      </c>
      <c r="M124" s="201"/>
      <c r="N124" s="199">
        <v>2036</v>
      </c>
      <c r="O124" s="202">
        <v>4.7</v>
      </c>
      <c r="P124" s="203">
        <v>4.7</v>
      </c>
      <c r="Q124" s="203">
        <v>0</v>
      </c>
      <c r="R124" s="204">
        <v>5.5</v>
      </c>
      <c r="S124" s="203">
        <v>5.5</v>
      </c>
      <c r="T124" s="203" t="s">
        <v>84</v>
      </c>
      <c r="V124" s="198">
        <v>2036</v>
      </c>
      <c r="W124" s="202">
        <v>4.7</v>
      </c>
      <c r="X124" s="203">
        <v>4.7</v>
      </c>
      <c r="Y124" s="203">
        <v>0</v>
      </c>
      <c r="Z124" s="204">
        <v>5.5</v>
      </c>
      <c r="AA124" s="203">
        <v>5.5</v>
      </c>
      <c r="AB124" s="203" t="s">
        <v>84</v>
      </c>
      <c r="AD124" s="198">
        <v>2036</v>
      </c>
      <c r="AE124" s="202" t="s">
        <v>82</v>
      </c>
      <c r="AF124" s="203" t="s">
        <v>82</v>
      </c>
      <c r="AG124" s="203" t="s">
        <v>82</v>
      </c>
      <c r="AH124" s="204" t="s">
        <v>82</v>
      </c>
      <c r="AI124" s="203" t="s">
        <v>82</v>
      </c>
      <c r="AJ124" s="203" t="s">
        <v>82</v>
      </c>
    </row>
    <row customFormat="1" r="125" s="205" spans="1:36" x14ac:dyDescent="0.2">
      <c r="A125" s="193">
        <v>121</v>
      </c>
      <c r="B125" s="194">
        <v>1</v>
      </c>
      <c r="C125" s="195" t="s">
        <v>79</v>
      </c>
      <c r="D125" s="195">
        <v>4</v>
      </c>
      <c r="E125" s="195" t="s">
        <v>126</v>
      </c>
      <c r="F125" s="196">
        <v>44081</v>
      </c>
      <c r="G125" s="197" t="s">
        <v>4</v>
      </c>
      <c r="H125" s="198">
        <v>2037</v>
      </c>
      <c r="I125" s="196" t="s">
        <v>134</v>
      </c>
      <c r="J125" s="199">
        <v>1900</v>
      </c>
      <c r="K125" s="198">
        <v>2029</v>
      </c>
      <c r="L125" s="200">
        <v>0</v>
      </c>
      <c r="M125" s="201"/>
      <c r="N125" s="199">
        <v>2037</v>
      </c>
      <c r="O125" s="202">
        <v>7</v>
      </c>
      <c r="P125" s="203">
        <v>6.8</v>
      </c>
      <c r="Q125" s="203">
        <v>0.2</v>
      </c>
      <c r="R125" s="204">
        <v>8.4</v>
      </c>
      <c r="S125" s="203">
        <v>8.4</v>
      </c>
      <c r="T125" s="203" t="s">
        <v>84</v>
      </c>
      <c r="V125" s="198">
        <v>2037</v>
      </c>
      <c r="W125" s="202">
        <v>7</v>
      </c>
      <c r="X125" s="203">
        <v>6.8</v>
      </c>
      <c r="Y125" s="203">
        <v>0.2</v>
      </c>
      <c r="Z125" s="204">
        <v>8.4</v>
      </c>
      <c r="AA125" s="203">
        <v>8.4</v>
      </c>
      <c r="AB125" s="203" t="s">
        <v>84</v>
      </c>
      <c r="AD125" s="198">
        <v>2037</v>
      </c>
      <c r="AE125" s="202" t="s">
        <v>82</v>
      </c>
      <c r="AF125" s="203" t="s">
        <v>82</v>
      </c>
      <c r="AG125" s="203" t="s">
        <v>82</v>
      </c>
      <c r="AH125" s="204" t="s">
        <v>82</v>
      </c>
      <c r="AI125" s="203" t="s">
        <v>82</v>
      </c>
      <c r="AJ125" s="203" t="s">
        <v>82</v>
      </c>
    </row>
    <row customFormat="1" r="126" s="205" spans="1:36" x14ac:dyDescent="0.2">
      <c r="A126" s="193">
        <v>122</v>
      </c>
      <c r="B126" s="194">
        <v>1</v>
      </c>
      <c r="C126" s="195" t="s">
        <v>79</v>
      </c>
      <c r="D126" s="195">
        <v>4</v>
      </c>
      <c r="E126" s="195" t="s">
        <v>126</v>
      </c>
      <c r="F126" s="196">
        <v>44085</v>
      </c>
      <c r="G126" s="197" t="s">
        <v>8</v>
      </c>
      <c r="H126" s="198">
        <v>2037</v>
      </c>
      <c r="I126" s="196" t="s">
        <v>135</v>
      </c>
      <c r="J126" s="199">
        <v>700</v>
      </c>
      <c r="K126" s="198">
        <v>759</v>
      </c>
      <c r="L126" s="200">
        <v>0</v>
      </c>
      <c r="M126" s="201"/>
      <c r="N126" s="199">
        <v>2037</v>
      </c>
      <c r="O126" s="202">
        <v>4.8</v>
      </c>
      <c r="P126" s="203">
        <v>4.8</v>
      </c>
      <c r="Q126" s="203">
        <v>0</v>
      </c>
      <c r="R126" s="204">
        <v>5.6</v>
      </c>
      <c r="S126" s="203">
        <v>5.6</v>
      </c>
      <c r="T126" s="203" t="s">
        <v>84</v>
      </c>
      <c r="V126" s="198">
        <v>2037</v>
      </c>
      <c r="W126" s="202">
        <v>4.8</v>
      </c>
      <c r="X126" s="203">
        <v>4.8</v>
      </c>
      <c r="Y126" s="203">
        <v>0</v>
      </c>
      <c r="Z126" s="204">
        <v>5.6</v>
      </c>
      <c r="AA126" s="203">
        <v>5.6</v>
      </c>
      <c r="AB126" s="203" t="s">
        <v>84</v>
      </c>
      <c r="AD126" s="198">
        <v>2037</v>
      </c>
      <c r="AE126" s="202" t="s">
        <v>82</v>
      </c>
      <c r="AF126" s="203" t="s">
        <v>82</v>
      </c>
      <c r="AG126" s="203" t="s">
        <v>82</v>
      </c>
      <c r="AH126" s="204" t="s">
        <v>82</v>
      </c>
      <c r="AI126" s="203" t="s">
        <v>82</v>
      </c>
      <c r="AJ126" s="203" t="s">
        <v>82</v>
      </c>
    </row>
    <row customFormat="1" r="127" s="205" spans="1:36" x14ac:dyDescent="0.2">
      <c r="A127" s="193">
        <v>123</v>
      </c>
      <c r="B127" s="194">
        <v>1</v>
      </c>
      <c r="C127" s="195" t="s">
        <v>79</v>
      </c>
      <c r="D127" s="195">
        <v>4</v>
      </c>
      <c r="E127" s="195" t="s">
        <v>126</v>
      </c>
      <c r="F127" s="196">
        <v>44088</v>
      </c>
      <c r="G127" s="197" t="s">
        <v>4</v>
      </c>
      <c r="H127" s="198">
        <v>2038</v>
      </c>
      <c r="I127" s="196" t="s">
        <v>134</v>
      </c>
      <c r="J127" s="199">
        <v>1900</v>
      </c>
      <c r="K127" s="198">
        <v>2029</v>
      </c>
      <c r="L127" s="200">
        <v>0</v>
      </c>
      <c r="M127" s="201"/>
      <c r="N127" s="199">
        <v>2038</v>
      </c>
      <c r="O127" s="202">
        <v>6.7</v>
      </c>
      <c r="P127" s="203">
        <v>6.5</v>
      </c>
      <c r="Q127" s="203">
        <v>0.2</v>
      </c>
      <c r="R127" s="204">
        <v>8.1</v>
      </c>
      <c r="S127" s="203">
        <v>8.1</v>
      </c>
      <c r="T127" s="203" t="s">
        <v>84</v>
      </c>
      <c r="V127" s="198">
        <v>2038</v>
      </c>
      <c r="W127" s="202">
        <v>6.7</v>
      </c>
      <c r="X127" s="203">
        <v>6.5</v>
      </c>
      <c r="Y127" s="203">
        <v>0.2</v>
      </c>
      <c r="Z127" s="204">
        <v>8.1</v>
      </c>
      <c r="AA127" s="203">
        <v>8.1</v>
      </c>
      <c r="AB127" s="203" t="s">
        <v>84</v>
      </c>
      <c r="AD127" s="198">
        <v>2038</v>
      </c>
      <c r="AE127" s="202" t="s">
        <v>82</v>
      </c>
      <c r="AF127" s="203" t="s">
        <v>82</v>
      </c>
      <c r="AG127" s="203" t="s">
        <v>82</v>
      </c>
      <c r="AH127" s="204" t="s">
        <v>82</v>
      </c>
      <c r="AI127" s="203" t="s">
        <v>82</v>
      </c>
      <c r="AJ127" s="203" t="s">
        <v>82</v>
      </c>
    </row>
    <row customFormat="1" r="128" s="205" spans="1:36" x14ac:dyDescent="0.2">
      <c r="A128" s="193">
        <v>124</v>
      </c>
      <c r="B128" s="194">
        <v>1</v>
      </c>
      <c r="C128" s="195" t="s">
        <v>79</v>
      </c>
      <c r="D128" s="195">
        <v>4</v>
      </c>
      <c r="E128" s="195" t="s">
        <v>126</v>
      </c>
      <c r="F128" s="196">
        <v>44092</v>
      </c>
      <c r="G128" s="197" t="s">
        <v>8</v>
      </c>
      <c r="H128" s="198">
        <v>2038</v>
      </c>
      <c r="I128" s="196" t="s">
        <v>135</v>
      </c>
      <c r="J128" s="199">
        <v>700</v>
      </c>
      <c r="K128" s="198">
        <v>759</v>
      </c>
      <c r="L128" s="200">
        <v>0</v>
      </c>
      <c r="M128" s="201"/>
      <c r="N128" s="199">
        <v>2038</v>
      </c>
      <c r="O128" s="202">
        <v>5</v>
      </c>
      <c r="P128" s="203">
        <v>5</v>
      </c>
      <c r="Q128" s="203">
        <v>0</v>
      </c>
      <c r="R128" s="204">
        <v>5.6</v>
      </c>
      <c r="S128" s="203">
        <v>5.6</v>
      </c>
      <c r="T128" s="203" t="s">
        <v>84</v>
      </c>
      <c r="V128" s="198">
        <v>2038</v>
      </c>
      <c r="W128" s="202">
        <v>5</v>
      </c>
      <c r="X128" s="203">
        <v>5</v>
      </c>
      <c r="Y128" s="203">
        <v>0</v>
      </c>
      <c r="Z128" s="204">
        <v>5.6</v>
      </c>
      <c r="AA128" s="203">
        <v>5.6</v>
      </c>
      <c r="AB128" s="203" t="s">
        <v>84</v>
      </c>
      <c r="AD128" s="198">
        <v>2038</v>
      </c>
      <c r="AE128" s="202" t="s">
        <v>82</v>
      </c>
      <c r="AF128" s="203" t="s">
        <v>82</v>
      </c>
      <c r="AG128" s="203" t="s">
        <v>82</v>
      </c>
      <c r="AH128" s="204" t="s">
        <v>82</v>
      </c>
      <c r="AI128" s="203" t="s">
        <v>82</v>
      </c>
      <c r="AJ128" s="203" t="s">
        <v>82</v>
      </c>
    </row>
    <row customFormat="1" r="129" s="205" spans="1:36" x14ac:dyDescent="0.2">
      <c r="A129" s="193">
        <v>125</v>
      </c>
      <c r="B129" s="194">
        <v>1</v>
      </c>
      <c r="C129" s="195" t="s">
        <v>79</v>
      </c>
      <c r="D129" s="195">
        <v>4</v>
      </c>
      <c r="E129" s="195" t="s">
        <v>126</v>
      </c>
      <c r="F129" s="196">
        <v>44452</v>
      </c>
      <c r="G129" s="197" t="s">
        <v>4</v>
      </c>
      <c r="H129" s="198">
        <v>2138</v>
      </c>
      <c r="I129" s="196" t="s">
        <v>137</v>
      </c>
      <c r="J129" s="199">
        <v>500</v>
      </c>
      <c r="K129" s="198">
        <v>559</v>
      </c>
      <c r="L129" s="200">
        <v>0</v>
      </c>
      <c r="M129" s="201"/>
      <c r="N129" s="199">
        <v>2138</v>
      </c>
      <c r="O129" s="202">
        <v>1.4</v>
      </c>
      <c r="P129" s="203">
        <v>1.4</v>
      </c>
      <c r="Q129" s="203">
        <v>0</v>
      </c>
      <c r="R129" s="204">
        <v>2</v>
      </c>
      <c r="S129" s="203">
        <v>2</v>
      </c>
      <c r="T129" s="203" t="s">
        <v>84</v>
      </c>
      <c r="V129" s="198">
        <v>2138</v>
      </c>
      <c r="W129" s="202">
        <v>1.4</v>
      </c>
      <c r="X129" s="203">
        <v>1.4</v>
      </c>
      <c r="Y129" s="203">
        <v>0</v>
      </c>
      <c r="Z129" s="204">
        <v>2</v>
      </c>
      <c r="AA129" s="203">
        <v>2</v>
      </c>
      <c r="AB129" s="203" t="s">
        <v>84</v>
      </c>
      <c r="AD129" s="198">
        <v>2138</v>
      </c>
      <c r="AE129" s="202" t="s">
        <v>82</v>
      </c>
      <c r="AF129" s="203" t="s">
        <v>82</v>
      </c>
      <c r="AG129" s="203" t="s">
        <v>82</v>
      </c>
      <c r="AH129" s="204" t="s">
        <v>82</v>
      </c>
      <c r="AI129" s="203" t="s">
        <v>82</v>
      </c>
      <c r="AJ129" s="203" t="s">
        <v>82</v>
      </c>
    </row>
    <row customFormat="1" r="130" s="205" spans="1:36" x14ac:dyDescent="0.2">
      <c r="A130" s="193">
        <v>126</v>
      </c>
      <c r="B130" s="194">
        <v>1</v>
      </c>
      <c r="C130" s="195" t="s">
        <v>79</v>
      </c>
      <c r="D130" s="195">
        <v>4</v>
      </c>
      <c r="E130" s="195" t="s">
        <v>126</v>
      </c>
      <c r="F130" s="196">
        <v>44459</v>
      </c>
      <c r="G130" s="197" t="s">
        <v>4</v>
      </c>
      <c r="H130" s="198">
        <v>2139</v>
      </c>
      <c r="I130" s="196" t="s">
        <v>137</v>
      </c>
      <c r="J130" s="199">
        <v>500</v>
      </c>
      <c r="K130" s="198">
        <v>559</v>
      </c>
      <c r="L130" s="200">
        <v>0</v>
      </c>
      <c r="M130" s="201"/>
      <c r="N130" s="199">
        <v>2139</v>
      </c>
      <c r="O130" s="202">
        <v>1.3</v>
      </c>
      <c r="P130" s="203">
        <v>1.3</v>
      </c>
      <c r="Q130" s="203">
        <v>0</v>
      </c>
      <c r="R130" s="204">
        <v>2</v>
      </c>
      <c r="S130" s="203">
        <v>2</v>
      </c>
      <c r="T130" s="203" t="s">
        <v>84</v>
      </c>
      <c r="V130" s="198">
        <v>2139</v>
      </c>
      <c r="W130" s="202">
        <v>1.3</v>
      </c>
      <c r="X130" s="203">
        <v>1.3</v>
      </c>
      <c r="Y130" s="203">
        <v>0</v>
      </c>
      <c r="Z130" s="204">
        <v>2</v>
      </c>
      <c r="AA130" s="203">
        <v>2</v>
      </c>
      <c r="AB130" s="203" t="s">
        <v>84</v>
      </c>
      <c r="AD130" s="198">
        <v>2139</v>
      </c>
      <c r="AE130" s="202" t="s">
        <v>82</v>
      </c>
      <c r="AF130" s="203" t="s">
        <v>82</v>
      </c>
      <c r="AG130" s="203" t="s">
        <v>82</v>
      </c>
      <c r="AH130" s="204" t="s">
        <v>82</v>
      </c>
      <c r="AI130" s="203" t="s">
        <v>82</v>
      </c>
      <c r="AJ130" s="203" t="s">
        <v>82</v>
      </c>
    </row>
    <row customFormat="1" r="131" s="205" spans="1:36" x14ac:dyDescent="0.2">
      <c r="A131" s="193">
        <v>127</v>
      </c>
      <c r="B131" s="194">
        <v>1</v>
      </c>
      <c r="C131" s="195" t="s">
        <v>79</v>
      </c>
      <c r="D131" s="195">
        <v>4</v>
      </c>
      <c r="E131" s="195" t="s">
        <v>126</v>
      </c>
      <c r="F131" s="196">
        <v>44466</v>
      </c>
      <c r="G131" s="197" t="s">
        <v>4</v>
      </c>
      <c r="H131" s="198">
        <v>2140</v>
      </c>
      <c r="I131" s="196" t="s">
        <v>137</v>
      </c>
      <c r="J131" s="199">
        <v>500</v>
      </c>
      <c r="K131" s="198">
        <v>559</v>
      </c>
      <c r="L131" s="200">
        <v>0</v>
      </c>
      <c r="M131" s="201"/>
      <c r="N131" s="199">
        <v>2140</v>
      </c>
      <c r="O131" s="202">
        <v>1.3</v>
      </c>
      <c r="P131" s="203">
        <v>1.3</v>
      </c>
      <c r="Q131" s="203">
        <v>0</v>
      </c>
      <c r="R131" s="204">
        <v>1.9</v>
      </c>
      <c r="S131" s="203">
        <v>1.9</v>
      </c>
      <c r="T131" s="203" t="s">
        <v>84</v>
      </c>
      <c r="V131" s="198">
        <v>2140</v>
      </c>
      <c r="W131" s="202">
        <v>1.3</v>
      </c>
      <c r="X131" s="203">
        <v>1.3</v>
      </c>
      <c r="Y131" s="203">
        <v>0</v>
      </c>
      <c r="Z131" s="204">
        <v>1.9</v>
      </c>
      <c r="AA131" s="203">
        <v>1.9</v>
      </c>
      <c r="AB131" s="203" t="s">
        <v>84</v>
      </c>
      <c r="AD131" s="198">
        <v>2140</v>
      </c>
      <c r="AE131" s="202" t="s">
        <v>82</v>
      </c>
      <c r="AF131" s="203" t="s">
        <v>82</v>
      </c>
      <c r="AG131" s="203" t="s">
        <v>82</v>
      </c>
      <c r="AH131" s="204" t="s">
        <v>82</v>
      </c>
      <c r="AI131" s="203" t="s">
        <v>82</v>
      </c>
      <c r="AJ131" s="203" t="s">
        <v>82</v>
      </c>
    </row>
    <row customFormat="1" r="132" s="205" spans="1:36" x14ac:dyDescent="0.2">
      <c r="A132" s="193">
        <v>128</v>
      </c>
      <c r="B132" s="194">
        <v>1</v>
      </c>
      <c r="C132" s="195" t="s">
        <v>79</v>
      </c>
      <c r="D132" s="195">
        <v>4</v>
      </c>
      <c r="E132" s="195" t="s">
        <v>126</v>
      </c>
      <c r="F132" s="196">
        <v>44473</v>
      </c>
      <c r="G132" s="197" t="s">
        <v>4</v>
      </c>
      <c r="H132" s="198">
        <v>2141</v>
      </c>
      <c r="I132" s="196" t="s">
        <v>137</v>
      </c>
      <c r="J132" s="199">
        <v>500</v>
      </c>
      <c r="K132" s="198">
        <v>559</v>
      </c>
      <c r="L132" s="200">
        <v>0</v>
      </c>
      <c r="M132" s="201"/>
      <c r="N132" s="199">
        <v>2141</v>
      </c>
      <c r="O132" s="202">
        <v>1.3</v>
      </c>
      <c r="P132" s="203">
        <v>1.3</v>
      </c>
      <c r="Q132" s="203">
        <v>0</v>
      </c>
      <c r="R132" s="204">
        <v>1.8</v>
      </c>
      <c r="S132" s="203">
        <v>1.8</v>
      </c>
      <c r="T132" s="203" t="s">
        <v>84</v>
      </c>
      <c r="V132" s="198">
        <v>2141</v>
      </c>
      <c r="W132" s="202">
        <v>1.3</v>
      </c>
      <c r="X132" s="203">
        <v>1.3</v>
      </c>
      <c r="Y132" s="203">
        <v>0</v>
      </c>
      <c r="Z132" s="204">
        <v>1.8</v>
      </c>
      <c r="AA132" s="203">
        <v>1.8</v>
      </c>
      <c r="AB132" s="203" t="s">
        <v>84</v>
      </c>
      <c r="AD132" s="198">
        <v>2141</v>
      </c>
      <c r="AE132" s="202" t="s">
        <v>82</v>
      </c>
      <c r="AF132" s="203" t="s">
        <v>82</v>
      </c>
      <c r="AG132" s="203" t="s">
        <v>82</v>
      </c>
      <c r="AH132" s="204" t="s">
        <v>82</v>
      </c>
      <c r="AI132" s="203" t="s">
        <v>82</v>
      </c>
      <c r="AJ132" s="203" t="s">
        <v>82</v>
      </c>
    </row>
    <row customFormat="1" r="133" s="205" spans="1:36" x14ac:dyDescent="0.2">
      <c r="A133" s="193">
        <v>129</v>
      </c>
      <c r="B133" s="194">
        <v>1</v>
      </c>
      <c r="C133" s="195" t="s">
        <v>79</v>
      </c>
      <c r="D133" s="195">
        <v>4</v>
      </c>
      <c r="E133" s="195" t="s">
        <v>126</v>
      </c>
      <c r="F133" s="196">
        <v>44537</v>
      </c>
      <c r="G133" s="197" t="s">
        <v>5</v>
      </c>
      <c r="H133" s="198">
        <v>2150</v>
      </c>
      <c r="I133" s="196" t="s">
        <v>129</v>
      </c>
      <c r="J133" s="199">
        <v>600</v>
      </c>
      <c r="K133" s="198">
        <v>659</v>
      </c>
      <c r="L133" s="200">
        <v>0</v>
      </c>
      <c r="M133" s="201"/>
      <c r="N133" s="199">
        <v>2150</v>
      </c>
      <c r="O133" s="202">
        <v>2.8</v>
      </c>
      <c r="P133" s="203">
        <v>2.8</v>
      </c>
      <c r="Q133" s="203">
        <v>0</v>
      </c>
      <c r="R133" s="204">
        <v>3.8</v>
      </c>
      <c r="S133" s="203">
        <v>3.8</v>
      </c>
      <c r="T133" s="203" t="s">
        <v>84</v>
      </c>
      <c r="V133" s="198">
        <v>2150</v>
      </c>
      <c r="W133" s="202">
        <v>2.8</v>
      </c>
      <c r="X133" s="203">
        <v>2.8</v>
      </c>
      <c r="Y133" s="203">
        <v>0</v>
      </c>
      <c r="Z133" s="204">
        <v>3.8</v>
      </c>
      <c r="AA133" s="203">
        <v>3.8</v>
      </c>
      <c r="AB133" s="203" t="s">
        <v>84</v>
      </c>
      <c r="AD133" s="198">
        <v>2150</v>
      </c>
      <c r="AE133" s="202" t="s">
        <v>82</v>
      </c>
      <c r="AF133" s="203" t="s">
        <v>82</v>
      </c>
      <c r="AG133" s="203" t="s">
        <v>82</v>
      </c>
      <c r="AH133" s="204" t="s">
        <v>82</v>
      </c>
      <c r="AI133" s="203" t="s">
        <v>82</v>
      </c>
      <c r="AJ133" s="203" t="s">
        <v>82</v>
      </c>
    </row>
    <row customFormat="1" r="134" s="205" spans="1:36" x14ac:dyDescent="0.2">
      <c r="A134" s="193">
        <v>130</v>
      </c>
      <c r="B134" s="194">
        <v>1</v>
      </c>
      <c r="C134" s="195" t="s">
        <v>79</v>
      </c>
      <c r="D134" s="195">
        <v>4</v>
      </c>
      <c r="E134" s="195" t="s">
        <v>126</v>
      </c>
      <c r="F134" s="196">
        <v>44544</v>
      </c>
      <c r="G134" s="197" t="s">
        <v>5</v>
      </c>
      <c r="H134" s="198">
        <v>2151</v>
      </c>
      <c r="I134" s="196" t="s">
        <v>129</v>
      </c>
      <c r="J134" s="199">
        <v>600</v>
      </c>
      <c r="K134" s="198">
        <v>659</v>
      </c>
      <c r="L134" s="200">
        <v>0</v>
      </c>
      <c r="M134" s="201"/>
      <c r="N134" s="199">
        <v>2151</v>
      </c>
      <c r="O134" s="202">
        <v>2.8</v>
      </c>
      <c r="P134" s="203">
        <v>2.8</v>
      </c>
      <c r="Q134" s="203">
        <v>0</v>
      </c>
      <c r="R134" s="204">
        <v>3.7</v>
      </c>
      <c r="S134" s="203">
        <v>3.7</v>
      </c>
      <c r="T134" s="203" t="s">
        <v>84</v>
      </c>
      <c r="V134" s="198">
        <v>2151</v>
      </c>
      <c r="W134" s="202">
        <v>2.8</v>
      </c>
      <c r="X134" s="203">
        <v>2.8</v>
      </c>
      <c r="Y134" s="203">
        <v>0</v>
      </c>
      <c r="Z134" s="204">
        <v>3.7</v>
      </c>
      <c r="AA134" s="203">
        <v>3.7</v>
      </c>
      <c r="AB134" s="203" t="s">
        <v>84</v>
      </c>
      <c r="AD134" s="198">
        <v>2151</v>
      </c>
      <c r="AE134" s="202" t="s">
        <v>82</v>
      </c>
      <c r="AF134" s="203" t="s">
        <v>82</v>
      </c>
      <c r="AG134" s="203" t="s">
        <v>82</v>
      </c>
      <c r="AH134" s="204" t="s">
        <v>82</v>
      </c>
      <c r="AI134" s="203" t="s">
        <v>82</v>
      </c>
      <c r="AJ134" s="203" t="s">
        <v>82</v>
      </c>
    </row>
    <row customFormat="1" r="135" s="205" spans="1:36" x14ac:dyDescent="0.2">
      <c r="A135" s="193">
        <v>131</v>
      </c>
      <c r="B135" s="194">
        <v>1</v>
      </c>
      <c r="C135" s="195" t="s">
        <v>79</v>
      </c>
      <c r="D135" s="195">
        <v>4</v>
      </c>
      <c r="E135" s="195" t="s">
        <v>126</v>
      </c>
      <c r="F135" s="196">
        <v>44551</v>
      </c>
      <c r="G135" s="197" t="s">
        <v>5</v>
      </c>
      <c r="H135" s="198">
        <v>2152</v>
      </c>
      <c r="I135" s="196" t="s">
        <v>129</v>
      </c>
      <c r="J135" s="199">
        <v>600</v>
      </c>
      <c r="K135" s="198">
        <v>659</v>
      </c>
      <c r="L135" s="200">
        <v>0</v>
      </c>
      <c r="M135" s="201"/>
      <c r="N135" s="199">
        <v>2152</v>
      </c>
      <c r="O135" s="202">
        <v>2.8</v>
      </c>
      <c r="P135" s="203">
        <v>2.8</v>
      </c>
      <c r="Q135" s="203">
        <v>0</v>
      </c>
      <c r="R135" s="204">
        <v>3.7</v>
      </c>
      <c r="S135" s="203">
        <v>3.7</v>
      </c>
      <c r="T135" s="203" t="s">
        <v>84</v>
      </c>
      <c r="V135" s="198">
        <v>2152</v>
      </c>
      <c r="W135" s="202">
        <v>2.8</v>
      </c>
      <c r="X135" s="203">
        <v>2.8</v>
      </c>
      <c r="Y135" s="203">
        <v>0</v>
      </c>
      <c r="Z135" s="204">
        <v>3.7</v>
      </c>
      <c r="AA135" s="203">
        <v>3.7</v>
      </c>
      <c r="AB135" s="203" t="s">
        <v>84</v>
      </c>
      <c r="AD135" s="198">
        <v>2152</v>
      </c>
      <c r="AE135" s="202" t="s">
        <v>82</v>
      </c>
      <c r="AF135" s="203" t="s">
        <v>82</v>
      </c>
      <c r="AG135" s="203" t="s">
        <v>82</v>
      </c>
      <c r="AH135" s="204" t="s">
        <v>82</v>
      </c>
      <c r="AI135" s="203" t="s">
        <v>82</v>
      </c>
      <c r="AJ135" s="203" t="s">
        <v>82</v>
      </c>
    </row>
    <row customFormat="1" r="136" s="205" spans="1:36" x14ac:dyDescent="0.2">
      <c r="A136" s="193">
        <v>132</v>
      </c>
      <c r="B136" s="194">
        <v>1</v>
      </c>
      <c r="C136" s="195" t="s">
        <v>79</v>
      </c>
      <c r="D136" s="195">
        <v>4</v>
      </c>
      <c r="E136" s="195" t="s">
        <v>126</v>
      </c>
      <c r="F136" s="196">
        <v>44558</v>
      </c>
      <c r="G136" s="197" t="s">
        <v>5</v>
      </c>
      <c r="H136" s="198">
        <v>2201</v>
      </c>
      <c r="I136" s="196" t="s">
        <v>129</v>
      </c>
      <c r="J136" s="199">
        <v>600</v>
      </c>
      <c r="K136" s="198">
        <v>659</v>
      </c>
      <c r="L136" s="200">
        <v>0</v>
      </c>
      <c r="M136" s="201"/>
      <c r="N136" s="199">
        <v>2201</v>
      </c>
      <c r="O136" s="202">
        <v>3</v>
      </c>
      <c r="P136" s="203">
        <v>3</v>
      </c>
      <c r="Q136" s="203">
        <v>0</v>
      </c>
      <c r="R136" s="204">
        <v>3.7</v>
      </c>
      <c r="S136" s="203">
        <v>3.7</v>
      </c>
      <c r="T136" s="203" t="s">
        <v>84</v>
      </c>
      <c r="V136" s="198">
        <v>2201</v>
      </c>
      <c r="W136" s="202">
        <v>3</v>
      </c>
      <c r="X136" s="203">
        <v>3</v>
      </c>
      <c r="Y136" s="203">
        <v>0</v>
      </c>
      <c r="Z136" s="204">
        <v>3.7</v>
      </c>
      <c r="AA136" s="203">
        <v>3.7</v>
      </c>
      <c r="AB136" s="203" t="s">
        <v>84</v>
      </c>
      <c r="AD136" s="198">
        <v>2201</v>
      </c>
      <c r="AE136" s="202" t="s">
        <v>82</v>
      </c>
      <c r="AF136" s="203" t="s">
        <v>82</v>
      </c>
      <c r="AG136" s="203" t="s">
        <v>82</v>
      </c>
      <c r="AH136" s="204" t="s">
        <v>82</v>
      </c>
      <c r="AI136" s="203" t="s">
        <v>82</v>
      </c>
      <c r="AJ136" s="203" t="s">
        <v>82</v>
      </c>
    </row>
    <row customFormat="1" r="137" s="205" spans="1:36" x14ac:dyDescent="0.2">
      <c r="A137" s="193">
        <v>133</v>
      </c>
      <c r="B137" s="194">
        <v>1</v>
      </c>
      <c r="C137" s="195" t="s">
        <v>79</v>
      </c>
      <c r="D137" s="195">
        <v>4</v>
      </c>
      <c r="E137" s="195" t="s">
        <v>126</v>
      </c>
      <c r="F137" s="196">
        <v>44645</v>
      </c>
      <c r="G137" s="197" t="s">
        <v>8</v>
      </c>
      <c r="H137" s="198">
        <v>2213</v>
      </c>
      <c r="I137" s="196" t="s">
        <v>129</v>
      </c>
      <c r="J137" s="199">
        <v>600</v>
      </c>
      <c r="K137" s="198">
        <v>659</v>
      </c>
      <c r="L137" s="200">
        <v>0</v>
      </c>
      <c r="M137" s="201"/>
      <c r="N137" s="199">
        <v>2213</v>
      </c>
      <c r="O137" s="202">
        <v>2.9</v>
      </c>
      <c r="P137" s="203">
        <v>2.9</v>
      </c>
      <c r="Q137" s="203">
        <v>0</v>
      </c>
      <c r="R137" s="204">
        <v>3.8</v>
      </c>
      <c r="S137" s="203">
        <v>3.8</v>
      </c>
      <c r="T137" s="203" t="s">
        <v>84</v>
      </c>
      <c r="V137" s="198">
        <v>2213</v>
      </c>
      <c r="W137" s="202">
        <v>2.9</v>
      </c>
      <c r="X137" s="203">
        <v>2.9</v>
      </c>
      <c r="Y137" s="203">
        <v>0</v>
      </c>
      <c r="Z137" s="204">
        <v>3.8</v>
      </c>
      <c r="AA137" s="203">
        <v>3.8</v>
      </c>
      <c r="AB137" s="203" t="s">
        <v>84</v>
      </c>
      <c r="AD137" s="198">
        <v>2213</v>
      </c>
      <c r="AE137" s="202" t="s">
        <v>82</v>
      </c>
      <c r="AF137" s="203" t="s">
        <v>82</v>
      </c>
      <c r="AG137" s="203" t="s">
        <v>82</v>
      </c>
      <c r="AH137" s="204" t="s">
        <v>82</v>
      </c>
      <c r="AI137" s="203" t="s">
        <v>82</v>
      </c>
      <c r="AJ137" s="203" t="s">
        <v>82</v>
      </c>
    </row>
    <row customFormat="1" r="138" s="205" spans="1:36" x14ac:dyDescent="0.2">
      <c r="A138" s="193">
        <v>134</v>
      </c>
      <c r="B138" s="194">
        <v>1</v>
      </c>
      <c r="C138" s="195" t="s">
        <v>79</v>
      </c>
      <c r="D138" s="195">
        <v>4</v>
      </c>
      <c r="E138" s="195" t="s">
        <v>126</v>
      </c>
      <c r="F138" s="196">
        <v>44652</v>
      </c>
      <c r="G138" s="197" t="s">
        <v>8</v>
      </c>
      <c r="H138" s="198">
        <v>2214</v>
      </c>
      <c r="I138" s="196" t="s">
        <v>129</v>
      </c>
      <c r="J138" s="199">
        <v>600</v>
      </c>
      <c r="K138" s="198">
        <v>659</v>
      </c>
      <c r="L138" s="200">
        <v>0</v>
      </c>
      <c r="M138" s="201"/>
      <c r="N138" s="199">
        <v>2214</v>
      </c>
      <c r="O138" s="202">
        <v>2.9</v>
      </c>
      <c r="P138" s="203">
        <v>2.9</v>
      </c>
      <c r="Q138" s="203">
        <v>0</v>
      </c>
      <c r="R138" s="204">
        <v>3.9</v>
      </c>
      <c r="S138" s="203">
        <v>3.9</v>
      </c>
      <c r="T138" s="203" t="s">
        <v>84</v>
      </c>
      <c r="V138" s="198">
        <v>2214</v>
      </c>
      <c r="W138" s="202">
        <v>2.9</v>
      </c>
      <c r="X138" s="203">
        <v>2.9</v>
      </c>
      <c r="Y138" s="203">
        <v>0</v>
      </c>
      <c r="Z138" s="204">
        <v>3.9</v>
      </c>
      <c r="AA138" s="203">
        <v>3.9</v>
      </c>
      <c r="AB138" s="203" t="s">
        <v>84</v>
      </c>
      <c r="AD138" s="198">
        <v>2214</v>
      </c>
      <c r="AE138" s="202" t="s">
        <v>82</v>
      </c>
      <c r="AF138" s="203" t="s">
        <v>82</v>
      </c>
      <c r="AG138" s="203" t="s">
        <v>82</v>
      </c>
      <c r="AH138" s="204" t="s">
        <v>82</v>
      </c>
      <c r="AI138" s="203" t="s">
        <v>82</v>
      </c>
      <c r="AJ138" s="203" t="s">
        <v>82</v>
      </c>
    </row>
    <row customFormat="1" r="139" s="205" spans="1:36" x14ac:dyDescent="0.2">
      <c r="A139" s="193">
        <v>135</v>
      </c>
      <c r="B139" s="194">
        <v>1</v>
      </c>
      <c r="C139" s="195" t="s">
        <v>79</v>
      </c>
      <c r="D139" s="195">
        <v>4</v>
      </c>
      <c r="E139" s="195" t="s">
        <v>126</v>
      </c>
      <c r="F139" s="196">
        <v>44659</v>
      </c>
      <c r="G139" s="197" t="s">
        <v>8</v>
      </c>
      <c r="H139" s="198">
        <v>2215</v>
      </c>
      <c r="I139" s="196" t="s">
        <v>129</v>
      </c>
      <c r="J139" s="199">
        <v>600</v>
      </c>
      <c r="K139" s="198">
        <v>659</v>
      </c>
      <c r="L139" s="200">
        <v>0</v>
      </c>
      <c r="M139" s="201"/>
      <c r="N139" s="199">
        <v>2215</v>
      </c>
      <c r="O139" s="202">
        <v>2.9</v>
      </c>
      <c r="P139" s="203">
        <v>2.9</v>
      </c>
      <c r="Q139" s="203">
        <v>0</v>
      </c>
      <c r="R139" s="204">
        <v>3.8</v>
      </c>
      <c r="S139" s="203">
        <v>3.8</v>
      </c>
      <c r="T139" s="203" t="s">
        <v>84</v>
      </c>
      <c r="V139" s="198">
        <v>2215</v>
      </c>
      <c r="W139" s="202">
        <v>2.9</v>
      </c>
      <c r="X139" s="203">
        <v>2.9</v>
      </c>
      <c r="Y139" s="203">
        <v>0</v>
      </c>
      <c r="Z139" s="204">
        <v>3.8</v>
      </c>
      <c r="AA139" s="203">
        <v>3.8</v>
      </c>
      <c r="AB139" s="203" t="s">
        <v>84</v>
      </c>
      <c r="AD139" s="198">
        <v>2215</v>
      </c>
      <c r="AE139" s="202" t="s">
        <v>82</v>
      </c>
      <c r="AF139" s="203" t="s">
        <v>82</v>
      </c>
      <c r="AG139" s="203" t="s">
        <v>82</v>
      </c>
      <c r="AH139" s="204" t="s">
        <v>82</v>
      </c>
      <c r="AI139" s="203" t="s">
        <v>82</v>
      </c>
      <c r="AJ139" s="203" t="s">
        <v>82</v>
      </c>
    </row>
    <row customFormat="1" r="140" s="205" spans="1:36" x14ac:dyDescent="0.2">
      <c r="A140" s="193">
        <v>136</v>
      </c>
      <c r="B140" s="194">
        <v>1</v>
      </c>
      <c r="C140" s="195" t="s">
        <v>79</v>
      </c>
      <c r="D140" s="195">
        <v>4</v>
      </c>
      <c r="E140" s="195" t="s">
        <v>126</v>
      </c>
      <c r="F140" s="196">
        <v>44666</v>
      </c>
      <c r="G140" s="197" t="s">
        <v>8</v>
      </c>
      <c r="H140" s="198">
        <v>2216</v>
      </c>
      <c r="I140" s="196" t="s">
        <v>129</v>
      </c>
      <c r="J140" s="199">
        <v>600</v>
      </c>
      <c r="K140" s="198">
        <v>659</v>
      </c>
      <c r="L140" s="200">
        <v>0</v>
      </c>
      <c r="M140" s="201"/>
      <c r="N140" s="199">
        <v>2216</v>
      </c>
      <c r="O140" s="202">
        <v>3</v>
      </c>
      <c r="P140" s="203">
        <v>3</v>
      </c>
      <c r="Q140" s="203">
        <v>0</v>
      </c>
      <c r="R140" s="204">
        <v>3.9</v>
      </c>
      <c r="S140" s="203">
        <v>3.9</v>
      </c>
      <c r="T140" s="203" t="s">
        <v>84</v>
      </c>
      <c r="V140" s="198">
        <v>2216</v>
      </c>
      <c r="W140" s="202">
        <v>3</v>
      </c>
      <c r="X140" s="203">
        <v>3</v>
      </c>
      <c r="Y140" s="203">
        <v>0</v>
      </c>
      <c r="Z140" s="204">
        <v>3.9</v>
      </c>
      <c r="AA140" s="203">
        <v>3.9</v>
      </c>
      <c r="AB140" s="203" t="s">
        <v>84</v>
      </c>
      <c r="AD140" s="198">
        <v>2216</v>
      </c>
      <c r="AE140" s="202" t="s">
        <v>82</v>
      </c>
      <c r="AF140" s="203" t="s">
        <v>82</v>
      </c>
      <c r="AG140" s="203" t="s">
        <v>82</v>
      </c>
      <c r="AH140" s="204" t="s">
        <v>82</v>
      </c>
      <c r="AI140" s="203" t="s">
        <v>82</v>
      </c>
      <c r="AJ140" s="203" t="s">
        <v>82</v>
      </c>
    </row>
    <row customFormat="1" r="141" s="205" spans="1:36" x14ac:dyDescent="0.2">
      <c r="A141" s="193">
        <v>137</v>
      </c>
      <c r="B141" s="215">
        <v>2</v>
      </c>
      <c r="C141" s="195" t="s">
        <v>138</v>
      </c>
      <c r="D141" s="195">
        <v>1</v>
      </c>
      <c r="E141" s="195" t="s">
        <v>139</v>
      </c>
      <c r="F141" s="196">
        <v>44452</v>
      </c>
      <c r="G141" s="197" t="s">
        <v>4</v>
      </c>
      <c r="H141" s="198">
        <v>2138</v>
      </c>
      <c r="I141" s="196" t="s">
        <v>140</v>
      </c>
      <c r="J141" s="199">
        <v>600</v>
      </c>
      <c r="K141" s="198">
        <v>659</v>
      </c>
      <c r="L141" s="200">
        <v>0</v>
      </c>
      <c r="M141" s="201"/>
      <c r="N141" s="199">
        <v>2138</v>
      </c>
      <c r="O141" s="202">
        <v>1.3</v>
      </c>
      <c r="P141" s="203">
        <v>1.3</v>
      </c>
      <c r="Q141" s="203">
        <v>0</v>
      </c>
      <c r="R141" s="204">
        <v>2.1</v>
      </c>
      <c r="S141" s="203">
        <v>2.1</v>
      </c>
      <c r="T141" s="203" t="s">
        <v>84</v>
      </c>
      <c r="V141" s="198">
        <v>2138</v>
      </c>
      <c r="W141" s="202">
        <v>1.3</v>
      </c>
      <c r="X141" s="203">
        <v>1.3</v>
      </c>
      <c r="Y141" s="203">
        <v>0</v>
      </c>
      <c r="Z141" s="204">
        <v>2.1</v>
      </c>
      <c r="AA141" s="203">
        <v>2.1</v>
      </c>
      <c r="AB141" s="203" t="s">
        <v>84</v>
      </c>
      <c r="AD141" s="198">
        <v>2138</v>
      </c>
      <c r="AE141" s="202" t="s">
        <v>82</v>
      </c>
      <c r="AF141" s="203" t="s">
        <v>82</v>
      </c>
      <c r="AG141" s="203" t="s">
        <v>82</v>
      </c>
      <c r="AH141" s="204" t="s">
        <v>82</v>
      </c>
      <c r="AI141" s="203" t="s">
        <v>82</v>
      </c>
      <c r="AJ141" s="203" t="s">
        <v>82</v>
      </c>
    </row>
    <row customFormat="1" r="142" s="205" spans="1:36" x14ac:dyDescent="0.2">
      <c r="A142" s="193">
        <v>138</v>
      </c>
      <c r="B142" s="215">
        <v>2</v>
      </c>
      <c r="C142" s="195" t="s">
        <v>138</v>
      </c>
      <c r="D142" s="195">
        <v>1</v>
      </c>
      <c r="E142" s="195" t="s">
        <v>139</v>
      </c>
      <c r="F142" s="196">
        <v>44454</v>
      </c>
      <c r="G142" s="197" t="s">
        <v>6</v>
      </c>
      <c r="H142" s="198">
        <v>2138</v>
      </c>
      <c r="I142" s="196" t="s">
        <v>141</v>
      </c>
      <c r="J142" s="199">
        <v>2559</v>
      </c>
      <c r="K142" s="198">
        <v>2629</v>
      </c>
      <c r="L142" s="200">
        <v>0</v>
      </c>
      <c r="M142" s="201"/>
      <c r="N142" s="199">
        <v>2138</v>
      </c>
      <c r="O142" s="202">
        <v>0.9</v>
      </c>
      <c r="P142" s="203">
        <v>0.7</v>
      </c>
      <c r="Q142" s="203">
        <v>0.2</v>
      </c>
      <c r="R142" s="204">
        <v>0.6</v>
      </c>
      <c r="S142" s="203">
        <v>0.6</v>
      </c>
      <c r="T142" s="203">
        <v>0</v>
      </c>
      <c r="V142" s="198">
        <v>2138</v>
      </c>
      <c r="W142" s="202">
        <v>0.7</v>
      </c>
      <c r="X142" s="203">
        <v>0.7</v>
      </c>
      <c r="Y142" s="203">
        <v>0</v>
      </c>
      <c r="Z142" s="204">
        <v>0.6</v>
      </c>
      <c r="AA142" s="203">
        <v>0.6</v>
      </c>
      <c r="AB142" s="203">
        <v>0</v>
      </c>
      <c r="AD142" s="198">
        <v>2138</v>
      </c>
      <c r="AE142" s="202">
        <v>-0.20000000000000007</v>
      </c>
      <c r="AF142" s="203" t="s">
        <v>82</v>
      </c>
      <c r="AG142" s="203">
        <v>-0.2</v>
      </c>
      <c r="AH142" s="204" t="s">
        <v>82</v>
      </c>
      <c r="AI142" s="203" t="s">
        <v>82</v>
      </c>
      <c r="AJ142" s="203" t="s">
        <v>82</v>
      </c>
    </row>
    <row customFormat="1" r="143" s="205" spans="1:36" x14ac:dyDescent="0.2">
      <c r="A143" s="193">
        <v>139</v>
      </c>
      <c r="B143" s="215">
        <v>2</v>
      </c>
      <c r="C143" s="195" t="s">
        <v>138</v>
      </c>
      <c r="D143" s="195">
        <v>1</v>
      </c>
      <c r="E143" s="195" t="s">
        <v>139</v>
      </c>
      <c r="F143" s="196">
        <v>44459</v>
      </c>
      <c r="G143" s="197" t="s">
        <v>4</v>
      </c>
      <c r="H143" s="198">
        <v>2139</v>
      </c>
      <c r="I143" s="196" t="s">
        <v>140</v>
      </c>
      <c r="J143" s="199">
        <v>600</v>
      </c>
      <c r="K143" s="198">
        <v>659</v>
      </c>
      <c r="L143" s="200">
        <v>0</v>
      </c>
      <c r="M143" s="201"/>
      <c r="N143" s="199">
        <v>2139</v>
      </c>
      <c r="O143" s="202">
        <v>1.4</v>
      </c>
      <c r="P143" s="203">
        <v>1.4</v>
      </c>
      <c r="Q143" s="203">
        <v>0</v>
      </c>
      <c r="R143" s="204">
        <v>2.2000000000000002</v>
      </c>
      <c r="S143" s="203">
        <v>2.2000000000000002</v>
      </c>
      <c r="T143" s="203" t="s">
        <v>84</v>
      </c>
      <c r="V143" s="198">
        <v>2139</v>
      </c>
      <c r="W143" s="202">
        <v>1.4</v>
      </c>
      <c r="X143" s="203">
        <v>1.4</v>
      </c>
      <c r="Y143" s="203">
        <v>0</v>
      </c>
      <c r="Z143" s="204">
        <v>2.2000000000000002</v>
      </c>
      <c r="AA143" s="203">
        <v>2.2000000000000002</v>
      </c>
      <c r="AB143" s="203" t="s">
        <v>84</v>
      </c>
      <c r="AD143" s="198">
        <v>2139</v>
      </c>
      <c r="AE143" s="202" t="s">
        <v>82</v>
      </c>
      <c r="AF143" s="203" t="s">
        <v>82</v>
      </c>
      <c r="AG143" s="203" t="s">
        <v>82</v>
      </c>
      <c r="AH143" s="204" t="s">
        <v>82</v>
      </c>
      <c r="AI143" s="203" t="s">
        <v>82</v>
      </c>
      <c r="AJ143" s="203" t="s">
        <v>82</v>
      </c>
    </row>
    <row customFormat="1" r="144" s="205" spans="1:36" x14ac:dyDescent="0.2">
      <c r="A144" s="193">
        <v>140</v>
      </c>
      <c r="B144" s="215">
        <v>2</v>
      </c>
      <c r="C144" s="195" t="s">
        <v>138</v>
      </c>
      <c r="D144" s="195">
        <v>1</v>
      </c>
      <c r="E144" s="195" t="s">
        <v>139</v>
      </c>
      <c r="F144" s="196">
        <v>44461</v>
      </c>
      <c r="G144" s="197" t="s">
        <v>6</v>
      </c>
      <c r="H144" s="198">
        <v>2139</v>
      </c>
      <c r="I144" s="196" t="s">
        <v>142</v>
      </c>
      <c r="J144" s="199">
        <v>2625</v>
      </c>
      <c r="K144" s="198">
        <v>2628</v>
      </c>
      <c r="L144" s="200">
        <v>0</v>
      </c>
      <c r="M144" s="201"/>
      <c r="N144" s="199">
        <v>2139</v>
      </c>
      <c r="O144" s="202">
        <v>1</v>
      </c>
      <c r="P144" s="203">
        <v>0.6</v>
      </c>
      <c r="Q144" s="203">
        <v>0.4</v>
      </c>
      <c r="R144" s="204">
        <v>0.7</v>
      </c>
      <c r="S144" s="203">
        <v>0.6</v>
      </c>
      <c r="T144" s="203">
        <v>0.1</v>
      </c>
      <c r="V144" s="198">
        <v>2139</v>
      </c>
      <c r="W144" s="202">
        <v>0.6</v>
      </c>
      <c r="X144" s="203">
        <v>0.6</v>
      </c>
      <c r="Y144" s="203">
        <v>0</v>
      </c>
      <c r="Z144" s="204">
        <v>0.7</v>
      </c>
      <c r="AA144" s="203">
        <v>0.6</v>
      </c>
      <c r="AB144" s="203">
        <v>0.1</v>
      </c>
      <c r="AD144" s="198">
        <v>2139</v>
      </c>
      <c r="AE144" s="202">
        <v>-0.4</v>
      </c>
      <c r="AF144" s="203" t="s">
        <v>82</v>
      </c>
      <c r="AG144" s="203">
        <v>-0.4</v>
      </c>
      <c r="AH144" s="204" t="s">
        <v>82</v>
      </c>
      <c r="AI144" s="203" t="s">
        <v>82</v>
      </c>
      <c r="AJ144" s="203" t="s">
        <v>82</v>
      </c>
    </row>
    <row customFormat="1" r="145" s="205" spans="1:36" x14ac:dyDescent="0.2">
      <c r="A145" s="193">
        <v>141</v>
      </c>
      <c r="B145" s="215">
        <v>2</v>
      </c>
      <c r="C145" s="195" t="s">
        <v>138</v>
      </c>
      <c r="D145" s="195">
        <v>1</v>
      </c>
      <c r="E145" s="195" t="s">
        <v>139</v>
      </c>
      <c r="F145" s="196">
        <v>44466</v>
      </c>
      <c r="G145" s="197" t="s">
        <v>4</v>
      </c>
      <c r="H145" s="198">
        <v>2140</v>
      </c>
      <c r="I145" s="196" t="s">
        <v>140</v>
      </c>
      <c r="J145" s="199">
        <v>600</v>
      </c>
      <c r="K145" s="198">
        <v>659</v>
      </c>
      <c r="L145" s="200">
        <v>0</v>
      </c>
      <c r="M145" s="201"/>
      <c r="N145" s="199">
        <v>2140</v>
      </c>
      <c r="O145" s="202">
        <v>1.4</v>
      </c>
      <c r="P145" s="203">
        <v>1.4</v>
      </c>
      <c r="Q145" s="203">
        <v>0</v>
      </c>
      <c r="R145" s="204">
        <v>2.2000000000000002</v>
      </c>
      <c r="S145" s="203">
        <v>2.2000000000000002</v>
      </c>
      <c r="T145" s="203" t="s">
        <v>84</v>
      </c>
      <c r="V145" s="198">
        <v>2140</v>
      </c>
      <c r="W145" s="202">
        <v>1.4</v>
      </c>
      <c r="X145" s="203">
        <v>1.4</v>
      </c>
      <c r="Y145" s="203">
        <v>0</v>
      </c>
      <c r="Z145" s="204">
        <v>2.2000000000000002</v>
      </c>
      <c r="AA145" s="203">
        <v>2.2000000000000002</v>
      </c>
      <c r="AB145" s="203" t="s">
        <v>84</v>
      </c>
      <c r="AD145" s="198">
        <v>2140</v>
      </c>
      <c r="AE145" s="202" t="s">
        <v>82</v>
      </c>
      <c r="AF145" s="203" t="s">
        <v>82</v>
      </c>
      <c r="AG145" s="203" t="s">
        <v>82</v>
      </c>
      <c r="AH145" s="204" t="s">
        <v>82</v>
      </c>
      <c r="AI145" s="203" t="s">
        <v>82</v>
      </c>
      <c r="AJ145" s="203" t="s">
        <v>82</v>
      </c>
    </row>
    <row customFormat="1" r="146" s="205" spans="1:36" x14ac:dyDescent="0.2">
      <c r="A146" s="193">
        <v>142</v>
      </c>
      <c r="B146" s="215">
        <v>2</v>
      </c>
      <c r="C146" s="195" t="s">
        <v>138</v>
      </c>
      <c r="D146" s="195">
        <v>1</v>
      </c>
      <c r="E146" s="195" t="s">
        <v>139</v>
      </c>
      <c r="F146" s="196">
        <v>44468</v>
      </c>
      <c r="G146" s="197" t="s">
        <v>6</v>
      </c>
      <c r="H146" s="198">
        <v>2140</v>
      </c>
      <c r="I146" s="196" t="s">
        <v>141</v>
      </c>
      <c r="J146" s="199">
        <v>2559</v>
      </c>
      <c r="K146" s="198">
        <v>2629</v>
      </c>
      <c r="L146" s="200">
        <v>0</v>
      </c>
      <c r="M146" s="201"/>
      <c r="N146" s="199">
        <v>2140</v>
      </c>
      <c r="O146" s="202">
        <v>0.7</v>
      </c>
      <c r="P146" s="203">
        <v>0.6</v>
      </c>
      <c r="Q146" s="203">
        <v>0.1</v>
      </c>
      <c r="R146" s="204">
        <v>0.6</v>
      </c>
      <c r="S146" s="203">
        <v>0.6</v>
      </c>
      <c r="T146" s="203">
        <v>0</v>
      </c>
      <c r="V146" s="198">
        <v>2140</v>
      </c>
      <c r="W146" s="202">
        <v>0.6</v>
      </c>
      <c r="X146" s="203">
        <v>0.6</v>
      </c>
      <c r="Y146" s="203">
        <v>0</v>
      </c>
      <c r="Z146" s="204">
        <v>0.6</v>
      </c>
      <c r="AA146" s="203">
        <v>0.6</v>
      </c>
      <c r="AB146" s="203">
        <v>0</v>
      </c>
      <c r="AD146" s="198">
        <v>2140</v>
      </c>
      <c r="AE146" s="202">
        <v>-9.9999999999999978E-2</v>
      </c>
      <c r="AF146" s="203" t="s">
        <v>82</v>
      </c>
      <c r="AG146" s="203">
        <v>-0.1</v>
      </c>
      <c r="AH146" s="204" t="s">
        <v>82</v>
      </c>
      <c r="AI146" s="203" t="s">
        <v>82</v>
      </c>
      <c r="AJ146" s="203" t="s">
        <v>82</v>
      </c>
    </row>
    <row customFormat="1" r="147" s="205" spans="1:36" x14ac:dyDescent="0.2">
      <c r="A147" s="193">
        <v>143</v>
      </c>
      <c r="B147" s="215">
        <v>2</v>
      </c>
      <c r="C147" s="195" t="s">
        <v>138</v>
      </c>
      <c r="D147" s="195">
        <v>1</v>
      </c>
      <c r="E147" s="195" t="s">
        <v>139</v>
      </c>
      <c r="F147" s="196">
        <v>44473</v>
      </c>
      <c r="G147" s="197" t="s">
        <v>4</v>
      </c>
      <c r="H147" s="198">
        <v>2141</v>
      </c>
      <c r="I147" s="196" t="s">
        <v>109</v>
      </c>
      <c r="J147" s="199">
        <v>600</v>
      </c>
      <c r="K147" s="198">
        <v>659</v>
      </c>
      <c r="L147" s="200">
        <v>0</v>
      </c>
      <c r="M147" s="201"/>
      <c r="N147" s="199">
        <v>2141</v>
      </c>
      <c r="O147" s="202">
        <v>1.4</v>
      </c>
      <c r="P147" s="203">
        <v>1.4</v>
      </c>
      <c r="Q147" s="203">
        <v>0</v>
      </c>
      <c r="R147" s="204">
        <v>2.1</v>
      </c>
      <c r="S147" s="203">
        <v>2.1</v>
      </c>
      <c r="T147" s="203" t="s">
        <v>84</v>
      </c>
      <c r="V147" s="198">
        <v>2141</v>
      </c>
      <c r="W147" s="202">
        <v>1.4</v>
      </c>
      <c r="X147" s="203">
        <v>1.4</v>
      </c>
      <c r="Y147" s="203">
        <v>0</v>
      </c>
      <c r="Z147" s="204">
        <v>2.1</v>
      </c>
      <c r="AA147" s="203">
        <v>2.1</v>
      </c>
      <c r="AB147" s="203" t="s">
        <v>84</v>
      </c>
      <c r="AD147" s="198">
        <v>2141</v>
      </c>
      <c r="AE147" s="202" t="s">
        <v>82</v>
      </c>
      <c r="AF147" s="203" t="s">
        <v>82</v>
      </c>
      <c r="AG147" s="203" t="s">
        <v>82</v>
      </c>
      <c r="AH147" s="204" t="s">
        <v>82</v>
      </c>
      <c r="AI147" s="203" t="s">
        <v>82</v>
      </c>
      <c r="AJ147" s="203" t="s">
        <v>82</v>
      </c>
    </row>
    <row customFormat="1" r="148" s="205" spans="1:36" x14ac:dyDescent="0.2">
      <c r="A148" s="193">
        <v>144</v>
      </c>
      <c r="B148" s="215">
        <v>2</v>
      </c>
      <c r="C148" s="195" t="s">
        <v>138</v>
      </c>
      <c r="D148" s="195">
        <v>1</v>
      </c>
      <c r="E148" s="195" t="s">
        <v>139</v>
      </c>
      <c r="F148" s="196">
        <v>44475</v>
      </c>
      <c r="G148" s="197" t="s">
        <v>6</v>
      </c>
      <c r="H148" s="198">
        <v>2141</v>
      </c>
      <c r="I148" s="196" t="s">
        <v>143</v>
      </c>
      <c r="J148" s="199">
        <v>2529</v>
      </c>
      <c r="K148" s="198">
        <v>2629</v>
      </c>
      <c r="L148" s="200">
        <v>0</v>
      </c>
      <c r="M148" s="201"/>
      <c r="N148" s="199">
        <v>2141</v>
      </c>
      <c r="O148" s="202">
        <v>0.7</v>
      </c>
      <c r="P148" s="203">
        <v>0.6</v>
      </c>
      <c r="Q148" s="203">
        <v>0.1</v>
      </c>
      <c r="R148" s="204">
        <v>0.6</v>
      </c>
      <c r="S148" s="203">
        <v>0.6</v>
      </c>
      <c r="T148" s="203">
        <v>0</v>
      </c>
      <c r="V148" s="198">
        <v>2141</v>
      </c>
      <c r="W148" s="202">
        <v>0.6</v>
      </c>
      <c r="X148" s="203">
        <v>0.6</v>
      </c>
      <c r="Y148" s="203">
        <v>0</v>
      </c>
      <c r="Z148" s="204">
        <v>0.6</v>
      </c>
      <c r="AA148" s="203">
        <v>0.6</v>
      </c>
      <c r="AB148" s="203">
        <v>0</v>
      </c>
      <c r="AD148" s="198">
        <v>2141</v>
      </c>
      <c r="AE148" s="202">
        <v>-9.9999999999999978E-2</v>
      </c>
      <c r="AF148" s="203" t="s">
        <v>82</v>
      </c>
      <c r="AG148" s="203">
        <v>-0.1</v>
      </c>
      <c r="AH148" s="204" t="s">
        <v>82</v>
      </c>
      <c r="AI148" s="203" t="s">
        <v>82</v>
      </c>
      <c r="AJ148" s="203" t="s">
        <v>82</v>
      </c>
    </row>
    <row customFormat="1" r="149" s="205" spans="1:36" x14ac:dyDescent="0.2">
      <c r="A149" s="193">
        <v>145</v>
      </c>
      <c r="B149" s="215">
        <v>2</v>
      </c>
      <c r="C149" s="195" t="s">
        <v>138</v>
      </c>
      <c r="D149" s="195">
        <v>2</v>
      </c>
      <c r="E149" s="195" t="s">
        <v>144</v>
      </c>
      <c r="F149" s="196">
        <v>44633</v>
      </c>
      <c r="G149" s="197" t="s">
        <v>10</v>
      </c>
      <c r="H149" s="198">
        <v>2211</v>
      </c>
      <c r="I149" s="196" t="s">
        <v>145</v>
      </c>
      <c r="J149" s="199">
        <v>1900</v>
      </c>
      <c r="K149" s="198">
        <v>1957</v>
      </c>
      <c r="L149" s="200">
        <v>0</v>
      </c>
      <c r="M149" s="201"/>
      <c r="N149" s="199">
        <v>2211</v>
      </c>
      <c r="O149" s="202">
        <v>7.5</v>
      </c>
      <c r="P149" s="203">
        <v>7.3</v>
      </c>
      <c r="Q149" s="203">
        <v>0.2</v>
      </c>
      <c r="R149" s="204">
        <v>9.1</v>
      </c>
      <c r="S149" s="203">
        <v>9.1</v>
      </c>
      <c r="T149" s="203" t="s">
        <v>84</v>
      </c>
      <c r="V149" s="198">
        <v>2211</v>
      </c>
      <c r="W149" s="202">
        <v>7.5</v>
      </c>
      <c r="X149" s="203">
        <v>7.3</v>
      </c>
      <c r="Y149" s="203">
        <v>0.2</v>
      </c>
      <c r="Z149" s="204">
        <v>9.1</v>
      </c>
      <c r="AA149" s="203">
        <v>9.1</v>
      </c>
      <c r="AB149" s="203" t="s">
        <v>84</v>
      </c>
      <c r="AD149" s="198">
        <v>2211</v>
      </c>
      <c r="AE149" s="202" t="s">
        <v>82</v>
      </c>
      <c r="AF149" s="203" t="s">
        <v>82</v>
      </c>
      <c r="AG149" s="203" t="s">
        <v>82</v>
      </c>
      <c r="AH149" s="204" t="s">
        <v>82</v>
      </c>
      <c r="AI149" s="203" t="s">
        <v>82</v>
      </c>
      <c r="AJ149" s="203" t="s">
        <v>82</v>
      </c>
    </row>
    <row customFormat="1" r="150" s="205" spans="1:36" x14ac:dyDescent="0.2">
      <c r="A150" s="193">
        <v>146</v>
      </c>
      <c r="B150" s="215">
        <v>2</v>
      </c>
      <c r="C150" s="195" t="s">
        <v>138</v>
      </c>
      <c r="D150" s="195">
        <v>2</v>
      </c>
      <c r="E150" s="195" t="s">
        <v>144</v>
      </c>
      <c r="F150" s="196">
        <v>44640</v>
      </c>
      <c r="G150" s="197" t="s">
        <v>10</v>
      </c>
      <c r="H150" s="198">
        <v>2212</v>
      </c>
      <c r="I150" s="196" t="s">
        <v>145</v>
      </c>
      <c r="J150" s="199">
        <v>1900</v>
      </c>
      <c r="K150" s="198">
        <v>1957</v>
      </c>
      <c r="L150" s="200">
        <v>0</v>
      </c>
      <c r="M150" s="201"/>
      <c r="N150" s="199">
        <v>2212</v>
      </c>
      <c r="O150" s="202">
        <v>7.6</v>
      </c>
      <c r="P150" s="203">
        <v>7.3</v>
      </c>
      <c r="Q150" s="203">
        <v>0.3</v>
      </c>
      <c r="R150" s="204">
        <v>8.9</v>
      </c>
      <c r="S150" s="203">
        <v>8.9</v>
      </c>
      <c r="T150" s="203" t="s">
        <v>84</v>
      </c>
      <c r="V150" s="198">
        <v>2212</v>
      </c>
      <c r="W150" s="202">
        <v>7.5</v>
      </c>
      <c r="X150" s="203">
        <v>7.3</v>
      </c>
      <c r="Y150" s="203">
        <v>0.2</v>
      </c>
      <c r="Z150" s="204">
        <v>8.9</v>
      </c>
      <c r="AA150" s="203">
        <v>8.9</v>
      </c>
      <c r="AB150" s="203" t="s">
        <v>84</v>
      </c>
      <c r="AD150" s="198">
        <v>2212</v>
      </c>
      <c r="AE150" s="202">
        <v>-9.9999999999999645E-2</v>
      </c>
      <c r="AF150" s="203" t="s">
        <v>82</v>
      </c>
      <c r="AG150" s="203">
        <v>-9.9999999999999978E-2</v>
      </c>
      <c r="AH150" s="204" t="s">
        <v>82</v>
      </c>
      <c r="AI150" s="203" t="s">
        <v>82</v>
      </c>
      <c r="AJ150" s="203" t="s">
        <v>82</v>
      </c>
    </row>
    <row customFormat="1" r="151" s="205" spans="1:36" x14ac:dyDescent="0.2">
      <c r="A151" s="193">
        <v>147</v>
      </c>
      <c r="B151" s="215">
        <v>2</v>
      </c>
      <c r="C151" s="195" t="s">
        <v>138</v>
      </c>
      <c r="D151" s="195">
        <v>2</v>
      </c>
      <c r="E151" s="195" t="s">
        <v>144</v>
      </c>
      <c r="F151" s="196">
        <v>44647</v>
      </c>
      <c r="G151" s="197" t="s">
        <v>10</v>
      </c>
      <c r="H151" s="198">
        <v>2213</v>
      </c>
      <c r="I151" s="196" t="s">
        <v>145</v>
      </c>
      <c r="J151" s="199">
        <v>1900</v>
      </c>
      <c r="K151" s="198">
        <v>1957</v>
      </c>
      <c r="L151" s="200">
        <v>0</v>
      </c>
      <c r="M151" s="201"/>
      <c r="N151" s="199">
        <v>2213</v>
      </c>
      <c r="O151" s="202">
        <v>7</v>
      </c>
      <c r="P151" s="203">
        <v>6.8</v>
      </c>
      <c r="Q151" s="203">
        <v>0.2</v>
      </c>
      <c r="R151" s="204">
        <v>8.4</v>
      </c>
      <c r="S151" s="203">
        <v>8.4</v>
      </c>
      <c r="T151" s="203" t="s">
        <v>84</v>
      </c>
      <c r="V151" s="198">
        <v>2213</v>
      </c>
      <c r="W151" s="202">
        <v>7</v>
      </c>
      <c r="X151" s="203">
        <v>6.8</v>
      </c>
      <c r="Y151" s="203">
        <v>0.2</v>
      </c>
      <c r="Z151" s="204">
        <v>8.4</v>
      </c>
      <c r="AA151" s="203">
        <v>8.4</v>
      </c>
      <c r="AB151" s="203" t="s">
        <v>84</v>
      </c>
      <c r="AD151" s="198">
        <v>2213</v>
      </c>
      <c r="AE151" s="202" t="s">
        <v>82</v>
      </c>
      <c r="AF151" s="203" t="s">
        <v>82</v>
      </c>
      <c r="AG151" s="203" t="s">
        <v>82</v>
      </c>
      <c r="AH151" s="204" t="s">
        <v>82</v>
      </c>
      <c r="AI151" s="203" t="s">
        <v>82</v>
      </c>
      <c r="AJ151" s="203" t="s">
        <v>82</v>
      </c>
    </row>
    <row customFormat="1" r="152" s="205" spans="1:36" x14ac:dyDescent="0.2">
      <c r="A152" s="193">
        <v>148</v>
      </c>
      <c r="B152" s="215">
        <v>2</v>
      </c>
      <c r="C152" s="195" t="s">
        <v>138</v>
      </c>
      <c r="D152" s="195">
        <v>2</v>
      </c>
      <c r="E152" s="195" t="s">
        <v>144</v>
      </c>
      <c r="F152" s="196">
        <v>44654</v>
      </c>
      <c r="G152" s="197" t="s">
        <v>10</v>
      </c>
      <c r="H152" s="198">
        <v>2214</v>
      </c>
      <c r="I152" s="196" t="s">
        <v>145</v>
      </c>
      <c r="J152" s="199">
        <v>1900</v>
      </c>
      <c r="K152" s="198">
        <v>1957</v>
      </c>
      <c r="L152" s="200">
        <v>0</v>
      </c>
      <c r="M152" s="201"/>
      <c r="N152" s="199">
        <v>2214</v>
      </c>
      <c r="O152" s="202">
        <v>7.2</v>
      </c>
      <c r="P152" s="203">
        <v>7</v>
      </c>
      <c r="Q152" s="203">
        <v>0.2</v>
      </c>
      <c r="R152" s="204">
        <v>8.3000000000000007</v>
      </c>
      <c r="S152" s="203">
        <v>8.3000000000000007</v>
      </c>
      <c r="T152" s="203" t="s">
        <v>84</v>
      </c>
      <c r="V152" s="198">
        <v>2214</v>
      </c>
      <c r="W152" s="202">
        <v>7.2</v>
      </c>
      <c r="X152" s="203">
        <v>7</v>
      </c>
      <c r="Y152" s="203">
        <v>0.2</v>
      </c>
      <c r="Z152" s="204">
        <v>8.3000000000000007</v>
      </c>
      <c r="AA152" s="203">
        <v>8.3000000000000007</v>
      </c>
      <c r="AB152" s="203" t="s">
        <v>84</v>
      </c>
      <c r="AD152" s="198">
        <v>2214</v>
      </c>
      <c r="AE152" s="202" t="s">
        <v>82</v>
      </c>
      <c r="AF152" s="203" t="s">
        <v>82</v>
      </c>
      <c r="AG152" s="203" t="s">
        <v>82</v>
      </c>
      <c r="AH152" s="204" t="s">
        <v>82</v>
      </c>
      <c r="AI152" s="203" t="s">
        <v>82</v>
      </c>
      <c r="AJ152" s="203" t="s">
        <v>82</v>
      </c>
    </row>
    <row customFormat="1" r="153" s="205" spans="1:36" x14ac:dyDescent="0.2">
      <c r="A153" s="193">
        <v>149</v>
      </c>
      <c r="B153" s="215">
        <v>2</v>
      </c>
      <c r="C153" s="195" t="s">
        <v>138</v>
      </c>
      <c r="D153" s="195">
        <v>3</v>
      </c>
      <c r="E153" s="195" t="s">
        <v>146</v>
      </c>
      <c r="F153" s="196">
        <v>44275</v>
      </c>
      <c r="G153" s="197" t="s">
        <v>9</v>
      </c>
      <c r="H153" s="198">
        <v>2112</v>
      </c>
      <c r="I153" s="196" t="s">
        <v>147</v>
      </c>
      <c r="J153" s="199">
        <v>1900</v>
      </c>
      <c r="K153" s="198">
        <v>2053</v>
      </c>
      <c r="L153" s="200">
        <v>0</v>
      </c>
      <c r="M153" s="201"/>
      <c r="N153" s="199">
        <v>2112</v>
      </c>
      <c r="O153" s="202">
        <v>6.9</v>
      </c>
      <c r="P153" s="203">
        <v>6.5</v>
      </c>
      <c r="Q153" s="203">
        <v>0.4</v>
      </c>
      <c r="R153" s="204">
        <v>7.9</v>
      </c>
      <c r="S153" s="203">
        <v>7.9</v>
      </c>
      <c r="T153" s="203" t="s">
        <v>84</v>
      </c>
      <c r="V153" s="198">
        <v>2112</v>
      </c>
      <c r="W153" s="202">
        <v>6.9</v>
      </c>
      <c r="X153" s="203">
        <v>6.5</v>
      </c>
      <c r="Y153" s="203">
        <v>0.4</v>
      </c>
      <c r="Z153" s="204">
        <v>7.9</v>
      </c>
      <c r="AA153" s="203">
        <v>7.9</v>
      </c>
      <c r="AB153" s="203" t="s">
        <v>84</v>
      </c>
      <c r="AD153" s="198">
        <v>2112</v>
      </c>
      <c r="AE153" s="202" t="s">
        <v>82</v>
      </c>
      <c r="AF153" s="203" t="s">
        <v>82</v>
      </c>
      <c r="AG153" s="203" t="s">
        <v>82</v>
      </c>
      <c r="AH153" s="204" t="s">
        <v>82</v>
      </c>
      <c r="AI153" s="203" t="s">
        <v>82</v>
      </c>
      <c r="AJ153" s="203" t="s">
        <v>82</v>
      </c>
    </row>
    <row customFormat="1" r="154" s="205" spans="1:36" x14ac:dyDescent="0.2">
      <c r="A154" s="193">
        <v>150</v>
      </c>
      <c r="B154" s="215">
        <v>2</v>
      </c>
      <c r="C154" s="195" t="s">
        <v>138</v>
      </c>
      <c r="D154" s="195">
        <v>3</v>
      </c>
      <c r="E154" s="195" t="s">
        <v>146</v>
      </c>
      <c r="F154" s="196">
        <v>44282</v>
      </c>
      <c r="G154" s="197" t="s">
        <v>9</v>
      </c>
      <c r="H154" s="198">
        <v>2113</v>
      </c>
      <c r="I154" s="196" t="s">
        <v>148</v>
      </c>
      <c r="J154" s="199">
        <v>1900</v>
      </c>
      <c r="K154" s="198">
        <v>2059</v>
      </c>
      <c r="L154" s="200">
        <v>0</v>
      </c>
      <c r="M154" s="201"/>
      <c r="N154" s="199">
        <v>2113</v>
      </c>
      <c r="O154" s="202">
        <v>6</v>
      </c>
      <c r="P154" s="203">
        <v>5.8</v>
      </c>
      <c r="Q154" s="203">
        <v>0.2</v>
      </c>
      <c r="R154" s="204">
        <v>5.8</v>
      </c>
      <c r="S154" s="203">
        <v>5.8</v>
      </c>
      <c r="T154" s="203">
        <v>0</v>
      </c>
      <c r="V154" s="198">
        <v>2113</v>
      </c>
      <c r="W154" s="202">
        <v>6</v>
      </c>
      <c r="X154" s="203">
        <v>5.8</v>
      </c>
      <c r="Y154" s="203">
        <v>0.2</v>
      </c>
      <c r="Z154" s="204">
        <v>5.8</v>
      </c>
      <c r="AA154" s="203">
        <v>5.8</v>
      </c>
      <c r="AB154" s="203">
        <v>0</v>
      </c>
      <c r="AD154" s="198">
        <v>2113</v>
      </c>
      <c r="AE154" s="202" t="s">
        <v>82</v>
      </c>
      <c r="AF154" s="203" t="s">
        <v>82</v>
      </c>
      <c r="AG154" s="203" t="s">
        <v>82</v>
      </c>
      <c r="AH154" s="204" t="s">
        <v>82</v>
      </c>
      <c r="AI154" s="203" t="s">
        <v>82</v>
      </c>
      <c r="AJ154" s="203" t="s">
        <v>82</v>
      </c>
    </row>
    <row customFormat="1" r="155" s="205" spans="1:36" x14ac:dyDescent="0.2">
      <c r="A155" s="193">
        <v>151</v>
      </c>
      <c r="B155" s="215">
        <v>2</v>
      </c>
      <c r="C155" s="195" t="s">
        <v>138</v>
      </c>
      <c r="D155" s="195">
        <v>3</v>
      </c>
      <c r="E155" s="195" t="s">
        <v>146</v>
      </c>
      <c r="F155" s="196">
        <v>44289</v>
      </c>
      <c r="G155" s="197" t="s">
        <v>9</v>
      </c>
      <c r="H155" s="198">
        <v>2114</v>
      </c>
      <c r="I155" s="196" t="s">
        <v>149</v>
      </c>
      <c r="J155" s="199">
        <v>1900</v>
      </c>
      <c r="K155" s="198">
        <v>2053</v>
      </c>
      <c r="L155" s="200">
        <v>0</v>
      </c>
      <c r="M155" s="201"/>
      <c r="N155" s="199">
        <v>2114</v>
      </c>
      <c r="O155" s="202">
        <v>5.6</v>
      </c>
      <c r="P155" s="203">
        <v>5.5</v>
      </c>
      <c r="Q155" s="203">
        <v>0.1</v>
      </c>
      <c r="R155" s="204">
        <v>6.6</v>
      </c>
      <c r="S155" s="203">
        <v>6.6</v>
      </c>
      <c r="T155" s="203" t="s">
        <v>84</v>
      </c>
      <c r="V155" s="198">
        <v>2114</v>
      </c>
      <c r="W155" s="202">
        <v>5.6</v>
      </c>
      <c r="X155" s="203">
        <v>5.5</v>
      </c>
      <c r="Y155" s="203">
        <v>0.1</v>
      </c>
      <c r="Z155" s="204">
        <v>6.6</v>
      </c>
      <c r="AA155" s="203">
        <v>6.6</v>
      </c>
      <c r="AB155" s="203" t="s">
        <v>84</v>
      </c>
      <c r="AD155" s="198">
        <v>2114</v>
      </c>
      <c r="AE155" s="202" t="s">
        <v>82</v>
      </c>
      <c r="AF155" s="203" t="s">
        <v>82</v>
      </c>
      <c r="AG155" s="203" t="s">
        <v>82</v>
      </c>
      <c r="AH155" s="204" t="s">
        <v>82</v>
      </c>
      <c r="AI155" s="203" t="s">
        <v>82</v>
      </c>
      <c r="AJ155" s="203" t="s">
        <v>82</v>
      </c>
    </row>
    <row customFormat="1" r="156" s="205" spans="1:36" x14ac:dyDescent="0.2">
      <c r="A156" s="193">
        <v>152</v>
      </c>
      <c r="B156" s="215">
        <v>2</v>
      </c>
      <c r="C156" s="195" t="s">
        <v>138</v>
      </c>
      <c r="D156" s="195">
        <v>3</v>
      </c>
      <c r="E156" s="195" t="s">
        <v>146</v>
      </c>
      <c r="F156" s="196">
        <v>44296</v>
      </c>
      <c r="G156" s="197" t="s">
        <v>9</v>
      </c>
      <c r="H156" s="198">
        <v>2115</v>
      </c>
      <c r="I156" s="196" t="s">
        <v>150</v>
      </c>
      <c r="J156" s="199">
        <v>1900</v>
      </c>
      <c r="K156" s="198">
        <v>2053</v>
      </c>
      <c r="L156" s="200">
        <v>0</v>
      </c>
      <c r="M156" s="201"/>
      <c r="N156" s="199">
        <v>2115</v>
      </c>
      <c r="O156" s="202">
        <v>5.5</v>
      </c>
      <c r="P156" s="203">
        <v>5.4</v>
      </c>
      <c r="Q156" s="203">
        <v>0.1</v>
      </c>
      <c r="R156" s="204">
        <v>6.7</v>
      </c>
      <c r="S156" s="203">
        <v>6.7</v>
      </c>
      <c r="T156" s="203" t="s">
        <v>84</v>
      </c>
      <c r="V156" s="198">
        <v>2115</v>
      </c>
      <c r="W156" s="202">
        <v>5.5</v>
      </c>
      <c r="X156" s="203">
        <v>5.4</v>
      </c>
      <c r="Y156" s="203">
        <v>0.1</v>
      </c>
      <c r="Z156" s="204">
        <v>6.7</v>
      </c>
      <c r="AA156" s="203">
        <v>6.7</v>
      </c>
      <c r="AB156" s="203" t="s">
        <v>84</v>
      </c>
      <c r="AD156" s="198">
        <v>2115</v>
      </c>
      <c r="AE156" s="202" t="s">
        <v>82</v>
      </c>
      <c r="AF156" s="203" t="s">
        <v>82</v>
      </c>
      <c r="AG156" s="203" t="s">
        <v>82</v>
      </c>
      <c r="AH156" s="204" t="s">
        <v>82</v>
      </c>
      <c r="AI156" s="203" t="s">
        <v>82</v>
      </c>
      <c r="AJ156" s="203" t="s">
        <v>82</v>
      </c>
    </row>
    <row customFormat="1" r="157" s="205" spans="1:36" x14ac:dyDescent="0.2">
      <c r="A157" s="193">
        <v>153</v>
      </c>
      <c r="B157" s="215">
        <v>2</v>
      </c>
      <c r="C157" s="195" t="s">
        <v>138</v>
      </c>
      <c r="D157" s="195">
        <v>3</v>
      </c>
      <c r="E157" s="195" t="s">
        <v>146</v>
      </c>
      <c r="F157" s="196">
        <v>44442</v>
      </c>
      <c r="G157" s="197" t="s">
        <v>8</v>
      </c>
      <c r="H157" s="198">
        <v>2136</v>
      </c>
      <c r="I157" s="196" t="s">
        <v>151</v>
      </c>
      <c r="J157" s="199">
        <v>1445</v>
      </c>
      <c r="K157" s="198">
        <v>1544</v>
      </c>
      <c r="L157" s="200">
        <v>0</v>
      </c>
      <c r="M157" s="201"/>
      <c r="N157" s="199">
        <v>2136</v>
      </c>
      <c r="O157" s="202">
        <v>2.2000000000000002</v>
      </c>
      <c r="P157" s="203">
        <v>1.5</v>
      </c>
      <c r="Q157" s="203">
        <v>0.7</v>
      </c>
      <c r="R157" s="204">
        <v>2</v>
      </c>
      <c r="S157" s="203">
        <v>2</v>
      </c>
      <c r="T157" s="203" t="s">
        <v>84</v>
      </c>
      <c r="V157" s="198">
        <v>2136</v>
      </c>
      <c r="W157" s="202">
        <v>1.5</v>
      </c>
      <c r="X157" s="203">
        <v>1.5</v>
      </c>
      <c r="Y157" s="203">
        <v>0</v>
      </c>
      <c r="Z157" s="204">
        <v>2</v>
      </c>
      <c r="AA157" s="203">
        <v>2</v>
      </c>
      <c r="AB157" s="203" t="s">
        <v>84</v>
      </c>
      <c r="AD157" s="198">
        <v>2136</v>
      </c>
      <c r="AE157" s="202">
        <v>-0.70000000000000018</v>
      </c>
      <c r="AF157" s="203" t="s">
        <v>82</v>
      </c>
      <c r="AG157" s="203">
        <v>-0.7</v>
      </c>
      <c r="AH157" s="204" t="s">
        <v>82</v>
      </c>
      <c r="AI157" s="203" t="s">
        <v>82</v>
      </c>
      <c r="AJ157" s="203" t="s">
        <v>82</v>
      </c>
    </row>
    <row customFormat="1" r="158" s="205" spans="1:36" x14ac:dyDescent="0.2">
      <c r="A158" s="193">
        <v>154</v>
      </c>
      <c r="B158" s="215">
        <v>2</v>
      </c>
      <c r="C158" s="195" t="s">
        <v>138</v>
      </c>
      <c r="D158" s="195">
        <v>3</v>
      </c>
      <c r="E158" s="195" t="s">
        <v>146</v>
      </c>
      <c r="F158" s="196">
        <v>44449</v>
      </c>
      <c r="G158" s="197" t="s">
        <v>8</v>
      </c>
      <c r="H158" s="198">
        <v>2137</v>
      </c>
      <c r="I158" s="196" t="s">
        <v>151</v>
      </c>
      <c r="J158" s="199">
        <v>1445</v>
      </c>
      <c r="K158" s="198">
        <v>1544</v>
      </c>
      <c r="L158" s="200">
        <v>0</v>
      </c>
      <c r="M158" s="201"/>
      <c r="N158" s="199">
        <v>2137</v>
      </c>
      <c r="O158" s="202">
        <v>2.2000000000000002</v>
      </c>
      <c r="P158" s="203">
        <v>1.6</v>
      </c>
      <c r="Q158" s="203">
        <v>0.6</v>
      </c>
      <c r="R158" s="204">
        <v>2</v>
      </c>
      <c r="S158" s="203">
        <v>2</v>
      </c>
      <c r="T158" s="203" t="s">
        <v>84</v>
      </c>
      <c r="V158" s="198">
        <v>2137</v>
      </c>
      <c r="W158" s="202">
        <v>1.6</v>
      </c>
      <c r="X158" s="203">
        <v>1.6</v>
      </c>
      <c r="Y158" s="203">
        <v>0</v>
      </c>
      <c r="Z158" s="204">
        <v>2</v>
      </c>
      <c r="AA158" s="203">
        <v>2</v>
      </c>
      <c r="AB158" s="203" t="s">
        <v>84</v>
      </c>
      <c r="AD158" s="198">
        <v>2137</v>
      </c>
      <c r="AE158" s="202">
        <v>-0.60000000000000009</v>
      </c>
      <c r="AF158" s="203" t="s">
        <v>82</v>
      </c>
      <c r="AG158" s="203">
        <v>-0.6</v>
      </c>
      <c r="AH158" s="204" t="s">
        <v>82</v>
      </c>
      <c r="AI158" s="203" t="s">
        <v>82</v>
      </c>
      <c r="AJ158" s="203" t="s">
        <v>82</v>
      </c>
    </row>
    <row customFormat="1" r="159" s="205" spans="1:36" x14ac:dyDescent="0.2">
      <c r="A159" s="193">
        <v>155</v>
      </c>
      <c r="B159" s="215">
        <v>2</v>
      </c>
      <c r="C159" s="195" t="s">
        <v>138</v>
      </c>
      <c r="D159" s="195">
        <v>3</v>
      </c>
      <c r="E159" s="195" t="s">
        <v>146</v>
      </c>
      <c r="F159" s="196">
        <v>44456</v>
      </c>
      <c r="G159" s="197" t="s">
        <v>8</v>
      </c>
      <c r="H159" s="198">
        <v>2138</v>
      </c>
      <c r="I159" s="196" t="s">
        <v>151</v>
      </c>
      <c r="J159" s="199">
        <v>1445</v>
      </c>
      <c r="K159" s="198">
        <v>1544</v>
      </c>
      <c r="L159" s="200">
        <v>0</v>
      </c>
      <c r="M159" s="201"/>
      <c r="N159" s="199">
        <v>2138</v>
      </c>
      <c r="O159" s="202">
        <v>2</v>
      </c>
      <c r="P159" s="203">
        <v>1.5</v>
      </c>
      <c r="Q159" s="203">
        <v>0.5</v>
      </c>
      <c r="R159" s="204">
        <v>1.8</v>
      </c>
      <c r="S159" s="203">
        <v>1.8</v>
      </c>
      <c r="T159" s="203" t="s">
        <v>84</v>
      </c>
      <c r="V159" s="198">
        <v>2138</v>
      </c>
      <c r="W159" s="202">
        <v>1.5</v>
      </c>
      <c r="X159" s="203">
        <v>1.5</v>
      </c>
      <c r="Y159" s="203">
        <v>0</v>
      </c>
      <c r="Z159" s="204">
        <v>1.8</v>
      </c>
      <c r="AA159" s="203">
        <v>1.8</v>
      </c>
      <c r="AB159" s="203" t="s">
        <v>84</v>
      </c>
      <c r="AD159" s="198">
        <v>2138</v>
      </c>
      <c r="AE159" s="202">
        <v>-0.5</v>
      </c>
      <c r="AF159" s="203" t="s">
        <v>82</v>
      </c>
      <c r="AG159" s="203">
        <v>-0.5</v>
      </c>
      <c r="AH159" s="204" t="s">
        <v>82</v>
      </c>
      <c r="AI159" s="203" t="s">
        <v>82</v>
      </c>
      <c r="AJ159" s="203" t="s">
        <v>82</v>
      </c>
    </row>
    <row customFormat="1" r="160" s="205" spans="1:36" x14ac:dyDescent="0.2">
      <c r="A160" s="193">
        <v>156</v>
      </c>
      <c r="B160" s="215">
        <v>2</v>
      </c>
      <c r="C160" s="195" t="s">
        <v>138</v>
      </c>
      <c r="D160" s="195">
        <v>3</v>
      </c>
      <c r="E160" s="195" t="s">
        <v>146</v>
      </c>
      <c r="F160" s="196">
        <v>44463</v>
      </c>
      <c r="G160" s="197" t="s">
        <v>8</v>
      </c>
      <c r="H160" s="198">
        <v>2139</v>
      </c>
      <c r="I160" s="196" t="s">
        <v>151</v>
      </c>
      <c r="J160" s="199">
        <v>1445</v>
      </c>
      <c r="K160" s="198">
        <v>1544</v>
      </c>
      <c r="L160" s="200">
        <v>0</v>
      </c>
      <c r="M160" s="201"/>
      <c r="N160" s="199">
        <v>2139</v>
      </c>
      <c r="O160" s="202">
        <v>2</v>
      </c>
      <c r="P160" s="203">
        <v>1.5</v>
      </c>
      <c r="Q160" s="203">
        <v>0.5</v>
      </c>
      <c r="R160" s="204">
        <v>1.7</v>
      </c>
      <c r="S160" s="203">
        <v>1.7</v>
      </c>
      <c r="T160" s="203" t="s">
        <v>84</v>
      </c>
      <c r="V160" s="198">
        <v>2139</v>
      </c>
      <c r="W160" s="202">
        <v>1.5</v>
      </c>
      <c r="X160" s="203">
        <v>1.5</v>
      </c>
      <c r="Y160" s="203">
        <v>0</v>
      </c>
      <c r="Z160" s="204">
        <v>1.7</v>
      </c>
      <c r="AA160" s="203">
        <v>1.7</v>
      </c>
      <c r="AB160" s="203" t="s">
        <v>84</v>
      </c>
      <c r="AD160" s="198">
        <v>2139</v>
      </c>
      <c r="AE160" s="202">
        <v>-0.5</v>
      </c>
      <c r="AF160" s="203" t="s">
        <v>82</v>
      </c>
      <c r="AG160" s="203">
        <v>-0.5</v>
      </c>
      <c r="AH160" s="204" t="s">
        <v>82</v>
      </c>
      <c r="AI160" s="203" t="s">
        <v>82</v>
      </c>
      <c r="AJ160" s="203" t="s">
        <v>82</v>
      </c>
    </row>
    <row customFormat="1" r="161" s="205" spans="1:36" x14ac:dyDescent="0.2">
      <c r="A161" s="193">
        <v>157</v>
      </c>
      <c r="B161" s="215">
        <v>2</v>
      </c>
      <c r="C161" s="195" t="s">
        <v>138</v>
      </c>
      <c r="D161" s="195">
        <v>3</v>
      </c>
      <c r="E161" s="195" t="s">
        <v>146</v>
      </c>
      <c r="F161" s="196">
        <v>44470</v>
      </c>
      <c r="G161" s="197" t="s">
        <v>8</v>
      </c>
      <c r="H161" s="198">
        <v>2140</v>
      </c>
      <c r="I161" s="196" t="s">
        <v>152</v>
      </c>
      <c r="J161" s="199">
        <v>1545</v>
      </c>
      <c r="K161" s="198">
        <v>1644</v>
      </c>
      <c r="L161" s="200">
        <v>0</v>
      </c>
      <c r="M161" s="201"/>
      <c r="N161" s="199">
        <v>2140</v>
      </c>
      <c r="O161" s="202">
        <v>2.6</v>
      </c>
      <c r="P161" s="203">
        <v>2.2000000000000002</v>
      </c>
      <c r="Q161" s="203">
        <v>0.4</v>
      </c>
      <c r="R161" s="204">
        <v>2.8</v>
      </c>
      <c r="S161" s="203">
        <v>2.8</v>
      </c>
      <c r="T161" s="203" t="s">
        <v>84</v>
      </c>
      <c r="V161" s="198">
        <v>2140</v>
      </c>
      <c r="W161" s="202">
        <v>2.6</v>
      </c>
      <c r="X161" s="203">
        <v>2.2000000000000002</v>
      </c>
      <c r="Y161" s="203">
        <v>0.4</v>
      </c>
      <c r="Z161" s="204">
        <v>2.8</v>
      </c>
      <c r="AA161" s="203">
        <v>2.8</v>
      </c>
      <c r="AB161" s="203" t="s">
        <v>84</v>
      </c>
      <c r="AD161" s="198">
        <v>2140</v>
      </c>
      <c r="AE161" s="202" t="s">
        <v>82</v>
      </c>
      <c r="AF161" s="203" t="s">
        <v>82</v>
      </c>
      <c r="AG161" s="203" t="s">
        <v>82</v>
      </c>
      <c r="AH161" s="204" t="s">
        <v>82</v>
      </c>
      <c r="AI161" s="203" t="s">
        <v>82</v>
      </c>
      <c r="AJ161" s="203" t="s">
        <v>82</v>
      </c>
    </row>
    <row customFormat="1" r="162" s="205" spans="1:36" x14ac:dyDescent="0.2">
      <c r="A162" s="193">
        <v>158</v>
      </c>
      <c r="B162" s="215">
        <v>2</v>
      </c>
      <c r="C162" s="195" t="s">
        <v>138</v>
      </c>
      <c r="D162" s="195">
        <v>3</v>
      </c>
      <c r="E162" s="195" t="s">
        <v>146</v>
      </c>
      <c r="F162" s="196">
        <v>44477</v>
      </c>
      <c r="G162" s="197" t="s">
        <v>8</v>
      </c>
      <c r="H162" s="198">
        <v>2141</v>
      </c>
      <c r="I162" s="196" t="s">
        <v>153</v>
      </c>
      <c r="J162" s="199">
        <v>1545</v>
      </c>
      <c r="K162" s="198">
        <v>1644</v>
      </c>
      <c r="L162" s="200">
        <v>0</v>
      </c>
      <c r="M162" s="201"/>
      <c r="N162" s="199">
        <v>2141</v>
      </c>
      <c r="O162" s="202">
        <v>2.5</v>
      </c>
      <c r="P162" s="203">
        <v>2.1</v>
      </c>
      <c r="Q162" s="203">
        <v>0.4</v>
      </c>
      <c r="R162" s="204">
        <v>2.5</v>
      </c>
      <c r="S162" s="203">
        <v>2.5</v>
      </c>
      <c r="T162" s="203" t="s">
        <v>84</v>
      </c>
      <c r="V162" s="198">
        <v>2141</v>
      </c>
      <c r="W162" s="202">
        <v>2.5</v>
      </c>
      <c r="X162" s="203">
        <v>2.1</v>
      </c>
      <c r="Y162" s="203">
        <v>0.4</v>
      </c>
      <c r="Z162" s="204">
        <v>2.5</v>
      </c>
      <c r="AA162" s="203">
        <v>2.5</v>
      </c>
      <c r="AB162" s="203" t="s">
        <v>84</v>
      </c>
      <c r="AD162" s="198">
        <v>2141</v>
      </c>
      <c r="AE162" s="202" t="s">
        <v>82</v>
      </c>
      <c r="AF162" s="203" t="s">
        <v>82</v>
      </c>
      <c r="AG162" s="203" t="s">
        <v>82</v>
      </c>
      <c r="AH162" s="204" t="s">
        <v>82</v>
      </c>
      <c r="AI162" s="203" t="s">
        <v>82</v>
      </c>
      <c r="AJ162" s="203" t="s">
        <v>82</v>
      </c>
    </row>
    <row customFormat="1" r="163" s="205" spans="1:36" x14ac:dyDescent="0.2">
      <c r="A163" s="193">
        <v>159</v>
      </c>
      <c r="B163" s="215">
        <v>2</v>
      </c>
      <c r="C163" s="195" t="s">
        <v>138</v>
      </c>
      <c r="D163" s="195">
        <v>3</v>
      </c>
      <c r="E163" s="195" t="s">
        <v>146</v>
      </c>
      <c r="F163" s="196">
        <v>44484</v>
      </c>
      <c r="G163" s="197" t="s">
        <v>8</v>
      </c>
      <c r="H163" s="198">
        <v>2142</v>
      </c>
      <c r="I163" s="196" t="s">
        <v>154</v>
      </c>
      <c r="J163" s="199">
        <v>1545</v>
      </c>
      <c r="K163" s="198">
        <v>1644</v>
      </c>
      <c r="L163" s="200">
        <v>0</v>
      </c>
      <c r="M163" s="201"/>
      <c r="N163" s="199">
        <v>2142</v>
      </c>
      <c r="O163" s="202">
        <v>2.2000000000000002</v>
      </c>
      <c r="P163" s="203">
        <v>1.9</v>
      </c>
      <c r="Q163" s="203">
        <v>0.3</v>
      </c>
      <c r="R163" s="204">
        <v>2.2999999999999998</v>
      </c>
      <c r="S163" s="203">
        <v>2.2999999999999998</v>
      </c>
      <c r="T163" s="203" t="s">
        <v>84</v>
      </c>
      <c r="V163" s="198">
        <v>2142</v>
      </c>
      <c r="W163" s="202">
        <v>2.2000000000000002</v>
      </c>
      <c r="X163" s="203">
        <v>1.9</v>
      </c>
      <c r="Y163" s="203">
        <v>0.3</v>
      </c>
      <c r="Z163" s="204">
        <v>2.2999999999999998</v>
      </c>
      <c r="AA163" s="203">
        <v>2.2999999999999998</v>
      </c>
      <c r="AB163" s="203" t="s">
        <v>84</v>
      </c>
      <c r="AD163" s="198">
        <v>2142</v>
      </c>
      <c r="AE163" s="202"/>
      <c r="AF163" s="203" t="s">
        <v>82</v>
      </c>
      <c r="AG163" s="203" t="s">
        <v>82</v>
      </c>
      <c r="AH163" s="204" t="s">
        <v>82</v>
      </c>
      <c r="AI163" s="203" t="s">
        <v>82</v>
      </c>
      <c r="AJ163" s="203" t="s">
        <v>82</v>
      </c>
    </row>
    <row customFormat="1" r="164" s="205" spans="1:36" x14ac:dyDescent="0.2">
      <c r="A164" s="193">
        <v>160</v>
      </c>
      <c r="B164" s="215">
        <v>2</v>
      </c>
      <c r="C164" s="195" t="s">
        <v>138</v>
      </c>
      <c r="D164" s="195">
        <v>3</v>
      </c>
      <c r="E164" s="195" t="s">
        <v>146</v>
      </c>
      <c r="F164" s="196">
        <v>44491</v>
      </c>
      <c r="G164" s="197" t="s">
        <v>8</v>
      </c>
      <c r="H164" s="198">
        <v>2143</v>
      </c>
      <c r="I164" s="196" t="s">
        <v>155</v>
      </c>
      <c r="J164" s="199">
        <v>1545</v>
      </c>
      <c r="K164" s="198">
        <v>1644</v>
      </c>
      <c r="L164" s="200">
        <v>0</v>
      </c>
      <c r="M164" s="201"/>
      <c r="N164" s="199">
        <v>2143</v>
      </c>
      <c r="O164" s="202">
        <v>2</v>
      </c>
      <c r="P164" s="203">
        <v>1.7</v>
      </c>
      <c r="Q164" s="203">
        <v>0.3</v>
      </c>
      <c r="R164" s="204">
        <v>1.8</v>
      </c>
      <c r="S164" s="203">
        <v>1.8</v>
      </c>
      <c r="T164" s="203" t="s">
        <v>84</v>
      </c>
      <c r="V164" s="198">
        <v>2143</v>
      </c>
      <c r="W164" s="202">
        <v>1.9</v>
      </c>
      <c r="X164" s="203">
        <v>1.7</v>
      </c>
      <c r="Y164" s="203">
        <v>0.2</v>
      </c>
      <c r="Z164" s="204">
        <v>1.8</v>
      </c>
      <c r="AA164" s="203">
        <v>1.8</v>
      </c>
      <c r="AB164" s="203" t="s">
        <v>84</v>
      </c>
      <c r="AD164" s="198">
        <v>2143</v>
      </c>
      <c r="AE164" s="202">
        <v>-0.10000000000000009</v>
      </c>
      <c r="AF164" s="203" t="s">
        <v>82</v>
      </c>
      <c r="AG164" s="203">
        <v>-9.9999999999999978E-2</v>
      </c>
      <c r="AH164" s="204" t="s">
        <v>82</v>
      </c>
      <c r="AI164" s="203" t="s">
        <v>82</v>
      </c>
      <c r="AJ164" s="203" t="s">
        <v>82</v>
      </c>
    </row>
    <row customFormat="1" r="165" s="205" spans="1:36" x14ac:dyDescent="0.2">
      <c r="A165" s="193">
        <v>161</v>
      </c>
      <c r="B165" s="215">
        <v>2</v>
      </c>
      <c r="C165" s="195" t="s">
        <v>138</v>
      </c>
      <c r="D165" s="195">
        <v>4</v>
      </c>
      <c r="E165" s="195" t="s">
        <v>156</v>
      </c>
      <c r="F165" s="196">
        <v>43513</v>
      </c>
      <c r="G165" s="197" t="s">
        <v>10</v>
      </c>
      <c r="H165" s="198">
        <v>1907</v>
      </c>
      <c r="I165" s="196" t="s">
        <v>157</v>
      </c>
      <c r="J165" s="199">
        <v>1900</v>
      </c>
      <c r="K165" s="198">
        <v>1957</v>
      </c>
      <c r="L165" s="200">
        <v>0</v>
      </c>
      <c r="M165" s="201"/>
      <c r="N165" s="199">
        <v>1907</v>
      </c>
      <c r="O165" s="202">
        <v>11.5</v>
      </c>
      <c r="P165" s="203">
        <v>10.6</v>
      </c>
      <c r="Q165" s="203">
        <v>0.9</v>
      </c>
      <c r="R165" s="204">
        <v>11.5</v>
      </c>
      <c r="S165" s="203">
        <v>11.1</v>
      </c>
      <c r="T165" s="203">
        <v>0.4</v>
      </c>
      <c r="V165" s="198">
        <v>1907</v>
      </c>
      <c r="W165" s="202">
        <v>11.5</v>
      </c>
      <c r="X165" s="203">
        <v>10.6</v>
      </c>
      <c r="Y165" s="203">
        <v>0.9</v>
      </c>
      <c r="Z165" s="204">
        <v>11.5</v>
      </c>
      <c r="AA165" s="203">
        <v>11.1</v>
      </c>
      <c r="AB165" s="203">
        <v>0.4</v>
      </c>
      <c r="AD165" s="198">
        <v>1907</v>
      </c>
      <c r="AE165" s="202" t="s">
        <v>82</v>
      </c>
      <c r="AF165" s="203" t="s">
        <v>82</v>
      </c>
      <c r="AG165" s="203" t="s">
        <v>82</v>
      </c>
      <c r="AH165" s="204" t="s">
        <v>82</v>
      </c>
      <c r="AI165" s="203" t="s">
        <v>82</v>
      </c>
      <c r="AJ165" s="203" t="s">
        <v>82</v>
      </c>
    </row>
    <row customFormat="1" r="166" s="205" spans="1:36" x14ac:dyDescent="0.2">
      <c r="A166" s="193">
        <v>162</v>
      </c>
      <c r="B166" s="215">
        <v>2</v>
      </c>
      <c r="C166" s="195" t="s">
        <v>138</v>
      </c>
      <c r="D166" s="195">
        <v>4</v>
      </c>
      <c r="E166" s="195" t="s">
        <v>156</v>
      </c>
      <c r="F166" s="196">
        <v>43520</v>
      </c>
      <c r="G166" s="197" t="s">
        <v>10</v>
      </c>
      <c r="H166" s="198">
        <v>1908</v>
      </c>
      <c r="I166" s="196" t="s">
        <v>157</v>
      </c>
      <c r="J166" s="199">
        <v>1900</v>
      </c>
      <c r="K166" s="198">
        <v>1957</v>
      </c>
      <c r="L166" s="200">
        <v>0</v>
      </c>
      <c r="M166" s="201"/>
      <c r="N166" s="199">
        <v>1908</v>
      </c>
      <c r="O166" s="202">
        <v>11.2</v>
      </c>
      <c r="P166" s="203">
        <v>10.3</v>
      </c>
      <c r="Q166" s="203">
        <v>0.9</v>
      </c>
      <c r="R166" s="204">
        <v>10.8</v>
      </c>
      <c r="S166" s="203">
        <v>10.4</v>
      </c>
      <c r="T166" s="203">
        <v>0.4</v>
      </c>
      <c r="V166" s="198">
        <v>1908</v>
      </c>
      <c r="W166" s="202">
        <v>11.2</v>
      </c>
      <c r="X166" s="203">
        <v>10.3</v>
      </c>
      <c r="Y166" s="203">
        <v>0.9</v>
      </c>
      <c r="Z166" s="204">
        <v>10.8</v>
      </c>
      <c r="AA166" s="203">
        <v>10.4</v>
      </c>
      <c r="AB166" s="203">
        <v>0.4</v>
      </c>
      <c r="AD166" s="198">
        <v>1908</v>
      </c>
      <c r="AE166" s="202"/>
      <c r="AF166" s="203" t="s">
        <v>82</v>
      </c>
      <c r="AG166" s="203" t="s">
        <v>82</v>
      </c>
      <c r="AH166" s="204" t="s">
        <v>82</v>
      </c>
      <c r="AI166" s="203" t="s">
        <v>82</v>
      </c>
      <c r="AJ166" s="203" t="s">
        <v>82</v>
      </c>
    </row>
    <row customFormat="1" r="167" s="205" spans="1:36" x14ac:dyDescent="0.2">
      <c r="A167" s="193">
        <v>163</v>
      </c>
      <c r="B167" s="215">
        <v>2</v>
      </c>
      <c r="C167" s="195" t="s">
        <v>138</v>
      </c>
      <c r="D167" s="195">
        <v>4</v>
      </c>
      <c r="E167" s="195" t="s">
        <v>156</v>
      </c>
      <c r="F167" s="196">
        <v>43527</v>
      </c>
      <c r="G167" s="197" t="s">
        <v>10</v>
      </c>
      <c r="H167" s="198">
        <v>1909</v>
      </c>
      <c r="I167" s="196" t="s">
        <v>157</v>
      </c>
      <c r="J167" s="199">
        <v>1900</v>
      </c>
      <c r="K167" s="198">
        <v>1957</v>
      </c>
      <c r="L167" s="200">
        <v>0</v>
      </c>
      <c r="M167" s="201"/>
      <c r="N167" s="199">
        <v>1909</v>
      </c>
      <c r="O167" s="202">
        <v>10.4</v>
      </c>
      <c r="P167" s="203">
        <v>9.4</v>
      </c>
      <c r="Q167" s="203">
        <v>1</v>
      </c>
      <c r="R167" s="204">
        <v>9.8000000000000007</v>
      </c>
      <c r="S167" s="203">
        <v>9.3000000000000007</v>
      </c>
      <c r="T167" s="203">
        <v>0.5</v>
      </c>
      <c r="V167" s="198">
        <v>1909</v>
      </c>
      <c r="W167" s="202">
        <v>10.3</v>
      </c>
      <c r="X167" s="203">
        <v>9.4</v>
      </c>
      <c r="Y167" s="203">
        <v>0.9</v>
      </c>
      <c r="Z167" s="204">
        <v>9.8000000000000007</v>
      </c>
      <c r="AA167" s="203">
        <v>9.3000000000000007</v>
      </c>
      <c r="AB167" s="203">
        <v>0.5</v>
      </c>
      <c r="AD167" s="198">
        <v>1909</v>
      </c>
      <c r="AE167" s="202">
        <v>-9.9999999999999645E-2</v>
      </c>
      <c r="AF167" s="203" t="s">
        <v>82</v>
      </c>
      <c r="AG167" s="203">
        <v>-9.9999999999999978E-2</v>
      </c>
      <c r="AH167" s="204" t="s">
        <v>82</v>
      </c>
      <c r="AI167" s="203" t="s">
        <v>82</v>
      </c>
      <c r="AJ167" s="203" t="s">
        <v>82</v>
      </c>
    </row>
    <row customFormat="1" r="168" s="205" spans="1:36" x14ac:dyDescent="0.2">
      <c r="A168" s="193">
        <v>164</v>
      </c>
      <c r="B168" s="215">
        <v>2</v>
      </c>
      <c r="C168" s="195" t="s">
        <v>138</v>
      </c>
      <c r="D168" s="195">
        <v>4</v>
      </c>
      <c r="E168" s="195" t="s">
        <v>156</v>
      </c>
      <c r="F168" s="196">
        <v>43534</v>
      </c>
      <c r="G168" s="197" t="s">
        <v>10</v>
      </c>
      <c r="H168" s="198">
        <v>1910</v>
      </c>
      <c r="I168" s="196" t="s">
        <v>157</v>
      </c>
      <c r="J168" s="199">
        <v>1900</v>
      </c>
      <c r="K168" s="198">
        <v>1957</v>
      </c>
      <c r="L168" s="200">
        <v>0</v>
      </c>
      <c r="M168" s="201"/>
      <c r="N168" s="199">
        <v>1910</v>
      </c>
      <c r="O168" s="202">
        <v>9.9</v>
      </c>
      <c r="P168" s="203">
        <v>9.1</v>
      </c>
      <c r="Q168" s="203">
        <v>0.8</v>
      </c>
      <c r="R168" s="204">
        <v>9.1999999999999993</v>
      </c>
      <c r="S168" s="203">
        <v>8.9</v>
      </c>
      <c r="T168" s="203">
        <v>0.3</v>
      </c>
      <c r="V168" s="198">
        <v>1910</v>
      </c>
      <c r="W168" s="202">
        <v>9.9</v>
      </c>
      <c r="X168" s="203">
        <v>9.1</v>
      </c>
      <c r="Y168" s="203">
        <v>0.8</v>
      </c>
      <c r="Z168" s="204">
        <v>9.1999999999999993</v>
      </c>
      <c r="AA168" s="203">
        <v>8.9</v>
      </c>
      <c r="AB168" s="203">
        <v>0.3</v>
      </c>
      <c r="AD168" s="198">
        <v>1910</v>
      </c>
      <c r="AE168" s="202" t="s">
        <v>82</v>
      </c>
      <c r="AF168" s="203" t="s">
        <v>82</v>
      </c>
      <c r="AG168" s="203" t="s">
        <v>82</v>
      </c>
      <c r="AH168" s="204"/>
      <c r="AI168" s="203" t="s">
        <v>82</v>
      </c>
      <c r="AJ168" s="203" t="s">
        <v>82</v>
      </c>
    </row>
    <row customFormat="1" r="169" s="205" spans="1:36" x14ac:dyDescent="0.2">
      <c r="A169" s="193">
        <v>165</v>
      </c>
      <c r="B169" s="215">
        <v>2</v>
      </c>
      <c r="C169" s="195" t="s">
        <v>138</v>
      </c>
      <c r="D169" s="195">
        <v>7</v>
      </c>
      <c r="E169" s="195" t="s">
        <v>158</v>
      </c>
      <c r="F169" s="196">
        <v>44494</v>
      </c>
      <c r="G169" s="197" t="s">
        <v>4</v>
      </c>
      <c r="H169" s="198">
        <v>2144</v>
      </c>
      <c r="I169" s="196" t="s">
        <v>159</v>
      </c>
      <c r="J169" s="199">
        <v>830</v>
      </c>
      <c r="K169" s="198">
        <v>926</v>
      </c>
      <c r="L169" s="200">
        <v>1</v>
      </c>
      <c r="M169" s="201"/>
      <c r="N169" s="199">
        <v>2144</v>
      </c>
      <c r="O169" s="202">
        <v>1.2</v>
      </c>
      <c r="P169" s="203">
        <v>0.9</v>
      </c>
      <c r="Q169" s="203">
        <v>0.3</v>
      </c>
      <c r="R169" s="204">
        <v>1.2</v>
      </c>
      <c r="S169" s="203">
        <v>0.8</v>
      </c>
      <c r="T169" s="203">
        <v>0.4</v>
      </c>
      <c r="V169" s="198">
        <v>2144</v>
      </c>
      <c r="W169" s="202">
        <v>1.2</v>
      </c>
      <c r="X169" s="203">
        <v>0.9</v>
      </c>
      <c r="Y169" s="203">
        <v>0.3</v>
      </c>
      <c r="Z169" s="204">
        <v>1</v>
      </c>
      <c r="AA169" s="203">
        <v>0.8</v>
      </c>
      <c r="AB169" s="203">
        <v>0.2</v>
      </c>
      <c r="AD169" s="198">
        <v>2144</v>
      </c>
      <c r="AE169" s="202" t="s">
        <v>82</v>
      </c>
      <c r="AF169" s="203" t="s">
        <v>82</v>
      </c>
      <c r="AG169" s="203" t="s">
        <v>82</v>
      </c>
      <c r="AH169" s="204">
        <v>-0.19999999999999996</v>
      </c>
      <c r="AI169" s="203" t="s">
        <v>82</v>
      </c>
      <c r="AJ169" s="203">
        <v>-0.2</v>
      </c>
    </row>
    <row customFormat="1" r="170" s="205" spans="1:36" x14ac:dyDescent="0.2">
      <c r="A170" s="193">
        <v>166</v>
      </c>
      <c r="B170" s="215">
        <v>2</v>
      </c>
      <c r="C170" s="195" t="s">
        <v>138</v>
      </c>
      <c r="D170" s="195">
        <v>7</v>
      </c>
      <c r="E170" s="195" t="s">
        <v>158</v>
      </c>
      <c r="F170" s="196">
        <v>44494</v>
      </c>
      <c r="G170" s="197" t="s">
        <v>4</v>
      </c>
      <c r="H170" s="198">
        <v>2144</v>
      </c>
      <c r="I170" s="196" t="s">
        <v>160</v>
      </c>
      <c r="J170" s="199">
        <v>1113</v>
      </c>
      <c r="K170" s="198">
        <v>1129</v>
      </c>
      <c r="L170" s="200">
        <v>0</v>
      </c>
      <c r="M170" s="201"/>
      <c r="N170" s="199">
        <v>2144</v>
      </c>
      <c r="O170" s="202">
        <v>0.2</v>
      </c>
      <c r="P170" s="203">
        <v>0.2</v>
      </c>
      <c r="Q170" s="203">
        <v>0</v>
      </c>
      <c r="R170" s="204">
        <v>0.3</v>
      </c>
      <c r="S170" s="203">
        <v>0.3</v>
      </c>
      <c r="T170" s="203" t="s">
        <v>84</v>
      </c>
      <c r="V170" s="198">
        <v>2144</v>
      </c>
      <c r="W170" s="202">
        <v>0.2</v>
      </c>
      <c r="X170" s="203">
        <v>0.2</v>
      </c>
      <c r="Y170" s="203">
        <v>0</v>
      </c>
      <c r="Z170" s="204">
        <v>0.3</v>
      </c>
      <c r="AA170" s="203">
        <v>0.3</v>
      </c>
      <c r="AB170" s="203" t="s">
        <v>84</v>
      </c>
      <c r="AD170" s="198">
        <v>2144</v>
      </c>
      <c r="AE170" s="202" t="s">
        <v>82</v>
      </c>
      <c r="AF170" s="203" t="s">
        <v>82</v>
      </c>
      <c r="AG170" s="203" t="s">
        <v>82</v>
      </c>
      <c r="AH170" s="204" t="s">
        <v>82</v>
      </c>
      <c r="AI170" s="203" t="s">
        <v>82</v>
      </c>
      <c r="AJ170" s="203" t="s">
        <v>82</v>
      </c>
    </row>
    <row customFormat="1" r="171" s="205" spans="1:36" x14ac:dyDescent="0.2">
      <c r="A171" s="193">
        <v>167</v>
      </c>
      <c r="B171" s="215">
        <v>2</v>
      </c>
      <c r="C171" s="195" t="s">
        <v>138</v>
      </c>
      <c r="D171" s="195">
        <v>7</v>
      </c>
      <c r="E171" s="195" t="s">
        <v>158</v>
      </c>
      <c r="F171" s="196">
        <v>44501</v>
      </c>
      <c r="G171" s="197" t="s">
        <v>4</v>
      </c>
      <c r="H171" s="198">
        <v>2145</v>
      </c>
      <c r="I171" s="196" t="s">
        <v>159</v>
      </c>
      <c r="J171" s="199">
        <v>830</v>
      </c>
      <c r="K171" s="198">
        <v>926</v>
      </c>
      <c r="L171" s="200">
        <v>1</v>
      </c>
      <c r="M171" s="201"/>
      <c r="N171" s="199">
        <v>2145</v>
      </c>
      <c r="O171" s="202">
        <v>1.4</v>
      </c>
      <c r="P171" s="203">
        <v>1</v>
      </c>
      <c r="Q171" s="203">
        <v>0.4</v>
      </c>
      <c r="R171" s="204">
        <v>1.3</v>
      </c>
      <c r="S171" s="203">
        <v>0.9</v>
      </c>
      <c r="T171" s="203">
        <v>0.4</v>
      </c>
      <c r="V171" s="198">
        <v>2145</v>
      </c>
      <c r="W171" s="202">
        <v>1.4</v>
      </c>
      <c r="X171" s="203">
        <v>1</v>
      </c>
      <c r="Y171" s="203">
        <v>0.4</v>
      </c>
      <c r="Z171" s="204">
        <v>1.1000000000000001</v>
      </c>
      <c r="AA171" s="203">
        <v>0.9</v>
      </c>
      <c r="AB171" s="203">
        <v>0.2</v>
      </c>
      <c r="AD171" s="198">
        <v>2145</v>
      </c>
      <c r="AE171" s="202" t="s">
        <v>82</v>
      </c>
      <c r="AF171" s="203" t="s">
        <v>82</v>
      </c>
      <c r="AG171" s="203" t="s">
        <v>82</v>
      </c>
      <c r="AH171" s="204">
        <v>-0.19999999999999996</v>
      </c>
      <c r="AI171" s="203" t="s">
        <v>82</v>
      </c>
      <c r="AJ171" s="203">
        <v>-0.2</v>
      </c>
    </row>
    <row customFormat="1" r="172" s="205" spans="1:36" x14ac:dyDescent="0.2">
      <c r="A172" s="193">
        <v>168</v>
      </c>
      <c r="B172" s="215">
        <v>2</v>
      </c>
      <c r="C172" s="195" t="s">
        <v>138</v>
      </c>
      <c r="D172" s="195">
        <v>7</v>
      </c>
      <c r="E172" s="195" t="s">
        <v>158</v>
      </c>
      <c r="F172" s="196">
        <v>44501</v>
      </c>
      <c r="G172" s="197" t="s">
        <v>4</v>
      </c>
      <c r="H172" s="198">
        <v>2145</v>
      </c>
      <c r="I172" s="196" t="s">
        <v>160</v>
      </c>
      <c r="J172" s="199">
        <v>1113</v>
      </c>
      <c r="K172" s="198">
        <v>1129</v>
      </c>
      <c r="L172" s="200">
        <v>0</v>
      </c>
      <c r="M172" s="201"/>
      <c r="N172" s="199">
        <v>2145</v>
      </c>
      <c r="O172" s="202">
        <v>0.3</v>
      </c>
      <c r="P172" s="203">
        <v>0.2</v>
      </c>
      <c r="Q172" s="203">
        <v>0.1</v>
      </c>
      <c r="R172" s="204">
        <v>0.3</v>
      </c>
      <c r="S172" s="203">
        <v>0.3</v>
      </c>
      <c r="T172" s="203" t="s">
        <v>84</v>
      </c>
      <c r="V172" s="198">
        <v>2145</v>
      </c>
      <c r="W172" s="202">
        <v>0.2</v>
      </c>
      <c r="X172" s="203">
        <v>0.2</v>
      </c>
      <c r="Y172" s="203">
        <v>0</v>
      </c>
      <c r="Z172" s="204">
        <v>0.3</v>
      </c>
      <c r="AA172" s="203">
        <v>0.3</v>
      </c>
      <c r="AB172" s="203" t="s">
        <v>84</v>
      </c>
      <c r="AD172" s="198">
        <v>2145</v>
      </c>
      <c r="AE172" s="202">
        <v>-9.9999999999999978E-2</v>
      </c>
      <c r="AF172" s="203" t="s">
        <v>82</v>
      </c>
      <c r="AG172" s="203">
        <v>-0.1</v>
      </c>
      <c r="AH172" s="204" t="s">
        <v>82</v>
      </c>
      <c r="AI172" s="203" t="s">
        <v>82</v>
      </c>
      <c r="AJ172" s="203" t="s">
        <v>82</v>
      </c>
    </row>
    <row customFormat="1" r="173" s="205" spans="1:36" x14ac:dyDescent="0.2">
      <c r="A173" s="193">
        <v>169</v>
      </c>
      <c r="B173" s="215">
        <v>2</v>
      </c>
      <c r="C173" s="195" t="s">
        <v>138</v>
      </c>
      <c r="D173" s="195">
        <v>7</v>
      </c>
      <c r="E173" s="195" t="s">
        <v>158</v>
      </c>
      <c r="F173" s="196">
        <v>44508</v>
      </c>
      <c r="G173" s="197" t="s">
        <v>4</v>
      </c>
      <c r="H173" s="198">
        <v>2146</v>
      </c>
      <c r="I173" s="196" t="s">
        <v>161</v>
      </c>
      <c r="J173" s="199">
        <v>830</v>
      </c>
      <c r="K173" s="198">
        <v>926</v>
      </c>
      <c r="L173" s="200">
        <v>1</v>
      </c>
      <c r="M173" s="201"/>
      <c r="N173" s="199">
        <v>2146</v>
      </c>
      <c r="O173" s="202">
        <v>1.4</v>
      </c>
      <c r="P173" s="203">
        <v>1</v>
      </c>
      <c r="Q173" s="203">
        <v>0.4</v>
      </c>
      <c r="R173" s="204">
        <v>1.3</v>
      </c>
      <c r="S173" s="203">
        <v>0.9</v>
      </c>
      <c r="T173" s="203">
        <v>0.4</v>
      </c>
      <c r="V173" s="198">
        <v>2146</v>
      </c>
      <c r="W173" s="202">
        <v>1.4</v>
      </c>
      <c r="X173" s="203">
        <v>1</v>
      </c>
      <c r="Y173" s="203">
        <v>0.4</v>
      </c>
      <c r="Z173" s="204">
        <v>1.1000000000000001</v>
      </c>
      <c r="AA173" s="203">
        <v>0.9</v>
      </c>
      <c r="AB173" s="203">
        <v>0.2</v>
      </c>
      <c r="AD173" s="198">
        <v>2146</v>
      </c>
      <c r="AE173" s="202" t="s">
        <v>82</v>
      </c>
      <c r="AF173" s="203" t="s">
        <v>82</v>
      </c>
      <c r="AG173" s="203" t="s">
        <v>82</v>
      </c>
      <c r="AH173" s="204">
        <v>-0.19999999999999996</v>
      </c>
      <c r="AI173" s="203" t="s">
        <v>82</v>
      </c>
      <c r="AJ173" s="203">
        <v>-0.2</v>
      </c>
    </row>
    <row customFormat="1" r="174" s="205" spans="1:36" x14ac:dyDescent="0.2">
      <c r="A174" s="193">
        <v>170</v>
      </c>
      <c r="B174" s="215">
        <v>2</v>
      </c>
      <c r="C174" s="195" t="s">
        <v>138</v>
      </c>
      <c r="D174" s="195">
        <v>7</v>
      </c>
      <c r="E174" s="195" t="s">
        <v>158</v>
      </c>
      <c r="F174" s="196">
        <v>44508</v>
      </c>
      <c r="G174" s="197" t="s">
        <v>4</v>
      </c>
      <c r="H174" s="198">
        <v>2146</v>
      </c>
      <c r="I174" s="196" t="s">
        <v>160</v>
      </c>
      <c r="J174" s="199">
        <v>1113</v>
      </c>
      <c r="K174" s="198">
        <v>1129</v>
      </c>
      <c r="L174" s="200">
        <v>0</v>
      </c>
      <c r="M174" s="201"/>
      <c r="N174" s="199">
        <v>2146</v>
      </c>
      <c r="O174" s="202">
        <v>0.3</v>
      </c>
      <c r="P174" s="203">
        <v>0.2</v>
      </c>
      <c r="Q174" s="203">
        <v>0.1</v>
      </c>
      <c r="R174" s="204">
        <v>0.3</v>
      </c>
      <c r="S174" s="203">
        <v>0.3</v>
      </c>
      <c r="T174" s="203" t="s">
        <v>84</v>
      </c>
      <c r="V174" s="198">
        <v>2146</v>
      </c>
      <c r="W174" s="202">
        <v>0.2</v>
      </c>
      <c r="X174" s="203">
        <v>0.2</v>
      </c>
      <c r="Y174" s="203">
        <v>0</v>
      </c>
      <c r="Z174" s="204">
        <v>0.3</v>
      </c>
      <c r="AA174" s="203">
        <v>0.3</v>
      </c>
      <c r="AB174" s="203" t="s">
        <v>84</v>
      </c>
      <c r="AD174" s="198">
        <v>2146</v>
      </c>
      <c r="AE174" s="202">
        <v>-9.9999999999999978E-2</v>
      </c>
      <c r="AF174" s="203" t="s">
        <v>82</v>
      </c>
      <c r="AG174" s="203">
        <v>-0.1</v>
      </c>
      <c r="AH174" s="204" t="s">
        <v>82</v>
      </c>
      <c r="AI174" s="203" t="s">
        <v>82</v>
      </c>
      <c r="AJ174" s="203" t="s">
        <v>82</v>
      </c>
    </row>
    <row customFormat="1" r="175" s="205" spans="1:36" x14ac:dyDescent="0.2">
      <c r="A175" s="193">
        <v>171</v>
      </c>
      <c r="B175" s="215">
        <v>2</v>
      </c>
      <c r="C175" s="195" t="s">
        <v>138</v>
      </c>
      <c r="D175" s="195">
        <v>7</v>
      </c>
      <c r="E175" s="195" t="s">
        <v>158</v>
      </c>
      <c r="F175" s="196">
        <v>44515</v>
      </c>
      <c r="G175" s="197" t="s">
        <v>4</v>
      </c>
      <c r="H175" s="198">
        <v>2147</v>
      </c>
      <c r="I175" s="196" t="s">
        <v>162</v>
      </c>
      <c r="J175" s="199">
        <v>830</v>
      </c>
      <c r="K175" s="198">
        <v>926</v>
      </c>
      <c r="L175" s="200">
        <v>1</v>
      </c>
      <c r="M175" s="201"/>
      <c r="N175" s="199">
        <v>2147</v>
      </c>
      <c r="O175" s="202">
        <v>1.4</v>
      </c>
      <c r="P175" s="203">
        <v>1</v>
      </c>
      <c r="Q175" s="203">
        <v>0.4</v>
      </c>
      <c r="R175" s="204">
        <v>1.4</v>
      </c>
      <c r="S175" s="203">
        <v>0.9</v>
      </c>
      <c r="T175" s="203">
        <v>0.5</v>
      </c>
      <c r="V175" s="198">
        <v>2147</v>
      </c>
      <c r="W175" s="202">
        <v>1.4</v>
      </c>
      <c r="X175" s="203">
        <v>1</v>
      </c>
      <c r="Y175" s="203">
        <v>0.4</v>
      </c>
      <c r="Z175" s="204">
        <v>1.2</v>
      </c>
      <c r="AA175" s="203">
        <v>0.9</v>
      </c>
      <c r="AB175" s="203">
        <v>0.3</v>
      </c>
      <c r="AD175" s="198">
        <v>2147</v>
      </c>
      <c r="AE175" s="202" t="s">
        <v>82</v>
      </c>
      <c r="AF175" s="203" t="s">
        <v>82</v>
      </c>
      <c r="AG175" s="203" t="s">
        <v>82</v>
      </c>
      <c r="AH175" s="204">
        <v>-0.19999999999999996</v>
      </c>
      <c r="AI175" s="203" t="s">
        <v>82</v>
      </c>
      <c r="AJ175" s="203">
        <v>-0.2</v>
      </c>
    </row>
    <row customFormat="1" r="176" s="205" spans="1:36" x14ac:dyDescent="0.2">
      <c r="A176" s="193">
        <v>172</v>
      </c>
      <c r="B176" s="215">
        <v>2</v>
      </c>
      <c r="C176" s="195" t="s">
        <v>138</v>
      </c>
      <c r="D176" s="195">
        <v>7</v>
      </c>
      <c r="E176" s="195" t="s">
        <v>158</v>
      </c>
      <c r="F176" s="196">
        <v>44515</v>
      </c>
      <c r="G176" s="197" t="s">
        <v>4</v>
      </c>
      <c r="H176" s="198">
        <v>2147</v>
      </c>
      <c r="I176" s="196" t="s">
        <v>160</v>
      </c>
      <c r="J176" s="199">
        <v>1113</v>
      </c>
      <c r="K176" s="198">
        <v>1129</v>
      </c>
      <c r="L176" s="200">
        <v>0</v>
      </c>
      <c r="M176" s="201"/>
      <c r="N176" s="199">
        <v>2147</v>
      </c>
      <c r="O176" s="202">
        <v>0.2</v>
      </c>
      <c r="P176" s="203">
        <v>0.2</v>
      </c>
      <c r="Q176" s="203">
        <v>0</v>
      </c>
      <c r="R176" s="204">
        <v>0.3</v>
      </c>
      <c r="S176" s="203">
        <v>0.3</v>
      </c>
      <c r="T176" s="203" t="s">
        <v>84</v>
      </c>
      <c r="V176" s="198">
        <v>2147</v>
      </c>
      <c r="W176" s="202">
        <v>0.2</v>
      </c>
      <c r="X176" s="203">
        <v>0.2</v>
      </c>
      <c r="Y176" s="203">
        <v>0</v>
      </c>
      <c r="Z176" s="204">
        <v>0.3</v>
      </c>
      <c r="AA176" s="203">
        <v>0.3</v>
      </c>
      <c r="AB176" s="203" t="s">
        <v>84</v>
      </c>
      <c r="AD176" s="198">
        <v>2147</v>
      </c>
      <c r="AE176" s="202" t="s">
        <v>82</v>
      </c>
      <c r="AF176" s="203" t="s">
        <v>82</v>
      </c>
      <c r="AG176" s="203" t="s">
        <v>82</v>
      </c>
      <c r="AH176" s="204" t="s">
        <v>82</v>
      </c>
      <c r="AI176" s="203" t="s">
        <v>82</v>
      </c>
      <c r="AJ176" s="203" t="s">
        <v>82</v>
      </c>
    </row>
    <row customFormat="1" r="177" s="205" spans="1:36" x14ac:dyDescent="0.2">
      <c r="A177" s="193">
        <v>173</v>
      </c>
      <c r="B177" s="215">
        <v>2</v>
      </c>
      <c r="C177" s="195" t="s">
        <v>138</v>
      </c>
      <c r="D177" s="195">
        <v>7</v>
      </c>
      <c r="E177" s="195" t="s">
        <v>158</v>
      </c>
      <c r="F177" s="196">
        <v>44553</v>
      </c>
      <c r="G177" s="197" t="s">
        <v>7</v>
      </c>
      <c r="H177" s="198">
        <v>2152</v>
      </c>
      <c r="I177" s="196" t="s">
        <v>163</v>
      </c>
      <c r="J177" s="199">
        <v>1453</v>
      </c>
      <c r="K177" s="198">
        <v>1643</v>
      </c>
      <c r="L177" s="200">
        <v>0</v>
      </c>
      <c r="M177" s="201"/>
      <c r="N177" s="199">
        <v>2152</v>
      </c>
      <c r="O177" s="202">
        <v>1.5</v>
      </c>
      <c r="P177" s="203">
        <v>1.4</v>
      </c>
      <c r="Q177" s="203">
        <v>0.1</v>
      </c>
      <c r="R177" s="204">
        <v>1.9</v>
      </c>
      <c r="S177" s="203">
        <v>1.9</v>
      </c>
      <c r="T177" s="203" t="s">
        <v>84</v>
      </c>
      <c r="V177" s="198">
        <v>2152</v>
      </c>
      <c r="W177" s="202">
        <v>1.4</v>
      </c>
      <c r="X177" s="203">
        <v>1.4</v>
      </c>
      <c r="Y177" s="203">
        <v>0</v>
      </c>
      <c r="Z177" s="204">
        <v>1.9</v>
      </c>
      <c r="AA177" s="203">
        <v>1.9</v>
      </c>
      <c r="AB177" s="203" t="s">
        <v>84</v>
      </c>
      <c r="AD177" s="198">
        <v>2152</v>
      </c>
      <c r="AE177" s="202">
        <v>-0.10000000000000009</v>
      </c>
      <c r="AF177" s="203" t="s">
        <v>82</v>
      </c>
      <c r="AG177" s="203">
        <v>-0.1</v>
      </c>
      <c r="AH177" s="204" t="s">
        <v>82</v>
      </c>
      <c r="AI177" s="203" t="s">
        <v>82</v>
      </c>
      <c r="AJ177" s="203" t="s">
        <v>82</v>
      </c>
    </row>
    <row customFormat="1" r="178" s="205" spans="1:36" x14ac:dyDescent="0.2">
      <c r="A178" s="193">
        <v>174</v>
      </c>
      <c r="B178" s="215">
        <v>2</v>
      </c>
      <c r="C178" s="195" t="s">
        <v>138</v>
      </c>
      <c r="D178" s="195">
        <v>7</v>
      </c>
      <c r="E178" s="195" t="s">
        <v>158</v>
      </c>
      <c r="F178" s="196">
        <v>44560</v>
      </c>
      <c r="G178" s="197" t="s">
        <v>7</v>
      </c>
      <c r="H178" s="198">
        <v>2201</v>
      </c>
      <c r="I178" s="196" t="s">
        <v>164</v>
      </c>
      <c r="J178" s="199">
        <v>1430</v>
      </c>
      <c r="K178" s="198">
        <v>1754</v>
      </c>
      <c r="L178" s="200">
        <v>0</v>
      </c>
      <c r="M178" s="201"/>
      <c r="N178" s="199">
        <v>2201</v>
      </c>
      <c r="O178" s="202">
        <v>1.1000000000000001</v>
      </c>
      <c r="P178" s="203">
        <v>1.1000000000000001</v>
      </c>
      <c r="Q178" s="203">
        <v>0</v>
      </c>
      <c r="R178" s="204">
        <v>0.3</v>
      </c>
      <c r="S178" s="203">
        <v>0.3</v>
      </c>
      <c r="T178" s="203">
        <v>0</v>
      </c>
      <c r="V178" s="198">
        <v>2201</v>
      </c>
      <c r="W178" s="202">
        <v>1.1000000000000001</v>
      </c>
      <c r="X178" s="203">
        <v>1.1000000000000001</v>
      </c>
      <c r="Y178" s="203">
        <v>0</v>
      </c>
      <c r="Z178" s="204">
        <v>0.3</v>
      </c>
      <c r="AA178" s="203">
        <v>0.3</v>
      </c>
      <c r="AB178" s="203">
        <v>0</v>
      </c>
      <c r="AD178" s="198">
        <v>2201</v>
      </c>
      <c r="AE178" s="202" t="s">
        <v>82</v>
      </c>
      <c r="AF178" s="203" t="s">
        <v>82</v>
      </c>
      <c r="AG178" s="203" t="s">
        <v>82</v>
      </c>
      <c r="AH178" s="204" t="s">
        <v>82</v>
      </c>
      <c r="AI178" s="203" t="s">
        <v>82</v>
      </c>
      <c r="AJ178" s="203" t="s">
        <v>82</v>
      </c>
    </row>
    <row customFormat="1" r="179" s="205" spans="1:36" x14ac:dyDescent="0.2">
      <c r="A179" s="193">
        <v>175</v>
      </c>
      <c r="B179" s="215">
        <v>2</v>
      </c>
      <c r="C179" s="195" t="s">
        <v>138</v>
      </c>
      <c r="D179" s="195">
        <v>7</v>
      </c>
      <c r="E179" s="195" t="s">
        <v>158</v>
      </c>
      <c r="F179" s="196">
        <v>44567</v>
      </c>
      <c r="G179" s="197" t="s">
        <v>7</v>
      </c>
      <c r="H179" s="198">
        <v>2202</v>
      </c>
      <c r="I179" s="196" t="s">
        <v>163</v>
      </c>
      <c r="J179" s="199">
        <v>1453</v>
      </c>
      <c r="K179" s="198">
        <v>1643</v>
      </c>
      <c r="L179" s="200">
        <v>0</v>
      </c>
      <c r="M179" s="201"/>
      <c r="N179" s="199">
        <v>2202</v>
      </c>
      <c r="O179" s="202">
        <v>1.6</v>
      </c>
      <c r="P179" s="203">
        <v>1.5</v>
      </c>
      <c r="Q179" s="203">
        <v>0.1</v>
      </c>
      <c r="R179" s="204">
        <v>1.9</v>
      </c>
      <c r="S179" s="203">
        <v>1.9</v>
      </c>
      <c r="T179" s="203" t="s">
        <v>84</v>
      </c>
      <c r="V179" s="198">
        <v>2202</v>
      </c>
      <c r="W179" s="202">
        <v>1.5</v>
      </c>
      <c r="X179" s="203">
        <v>1.5</v>
      </c>
      <c r="Y179" s="203">
        <v>0</v>
      </c>
      <c r="Z179" s="204">
        <v>1.9</v>
      </c>
      <c r="AA179" s="203">
        <v>1.9</v>
      </c>
      <c r="AB179" s="203" t="s">
        <v>84</v>
      </c>
      <c r="AD179" s="198">
        <v>2202</v>
      </c>
      <c r="AE179" s="202">
        <v>-0.10000000000000009</v>
      </c>
      <c r="AF179" s="203" t="s">
        <v>82</v>
      </c>
      <c r="AG179" s="203">
        <v>-0.1</v>
      </c>
      <c r="AH179" s="204" t="s">
        <v>82</v>
      </c>
      <c r="AI179" s="203" t="s">
        <v>82</v>
      </c>
      <c r="AJ179" s="203" t="s">
        <v>82</v>
      </c>
    </row>
    <row customFormat="1" r="180" s="205" spans="1:36" x14ac:dyDescent="0.2">
      <c r="A180" s="193">
        <v>176</v>
      </c>
      <c r="B180" s="215">
        <v>2</v>
      </c>
      <c r="C180" s="195" t="s">
        <v>138</v>
      </c>
      <c r="D180" s="195">
        <v>7</v>
      </c>
      <c r="E180" s="195" t="s">
        <v>158</v>
      </c>
      <c r="F180" s="196">
        <v>44574</v>
      </c>
      <c r="G180" s="197" t="s">
        <v>7</v>
      </c>
      <c r="H180" s="198">
        <v>2203</v>
      </c>
      <c r="I180" s="196" t="s">
        <v>165</v>
      </c>
      <c r="J180" s="199">
        <v>1453</v>
      </c>
      <c r="K180" s="198">
        <v>1643</v>
      </c>
      <c r="L180" s="200">
        <v>0</v>
      </c>
      <c r="M180" s="201"/>
      <c r="N180" s="199">
        <v>2203</v>
      </c>
      <c r="O180" s="202">
        <v>1.5</v>
      </c>
      <c r="P180" s="203">
        <v>1.5</v>
      </c>
      <c r="Q180" s="203">
        <v>0</v>
      </c>
      <c r="R180" s="204">
        <v>1.8</v>
      </c>
      <c r="S180" s="203">
        <v>1.8</v>
      </c>
      <c r="T180" s="203" t="s">
        <v>84</v>
      </c>
      <c r="V180" s="198">
        <v>2203</v>
      </c>
      <c r="W180" s="202">
        <v>1.5</v>
      </c>
      <c r="X180" s="203">
        <v>1.5</v>
      </c>
      <c r="Y180" s="203">
        <v>0</v>
      </c>
      <c r="Z180" s="204">
        <v>1.8</v>
      </c>
      <c r="AA180" s="203">
        <v>1.8</v>
      </c>
      <c r="AB180" s="203" t="s">
        <v>84</v>
      </c>
      <c r="AD180" s="198">
        <v>2203</v>
      </c>
      <c r="AE180" s="202" t="s">
        <v>82</v>
      </c>
      <c r="AF180" s="203" t="s">
        <v>82</v>
      </c>
      <c r="AG180" s="203" t="s">
        <v>82</v>
      </c>
      <c r="AH180" s="204" t="s">
        <v>82</v>
      </c>
      <c r="AI180" s="203" t="s">
        <v>82</v>
      </c>
      <c r="AJ180" s="203" t="s">
        <v>82</v>
      </c>
    </row>
    <row customFormat="1" r="181" s="205" spans="1:36" x14ac:dyDescent="0.2">
      <c r="A181" s="193">
        <v>177</v>
      </c>
      <c r="B181" s="215">
        <v>3</v>
      </c>
      <c r="C181" s="195" t="s">
        <v>166</v>
      </c>
      <c r="D181" s="195">
        <v>1</v>
      </c>
      <c r="E181" s="195" t="s">
        <v>167</v>
      </c>
      <c r="F181" s="196">
        <v>44459</v>
      </c>
      <c r="G181" s="197" t="s">
        <v>4</v>
      </c>
      <c r="H181" s="198">
        <v>2139</v>
      </c>
      <c r="I181" s="196" t="s">
        <v>168</v>
      </c>
      <c r="J181" s="199">
        <v>1545</v>
      </c>
      <c r="K181" s="198">
        <v>1648</v>
      </c>
      <c r="L181" s="200">
        <v>0</v>
      </c>
      <c r="M181" s="201"/>
      <c r="N181" s="199">
        <v>2139</v>
      </c>
      <c r="O181" s="202">
        <v>2.6</v>
      </c>
      <c r="P181" s="203">
        <v>2.1</v>
      </c>
      <c r="Q181" s="203">
        <v>0.5</v>
      </c>
      <c r="R181" s="204">
        <v>2</v>
      </c>
      <c r="S181" s="203">
        <v>2</v>
      </c>
      <c r="T181" s="203" t="s">
        <v>84</v>
      </c>
      <c r="V181" s="198">
        <v>2139</v>
      </c>
      <c r="W181" s="202">
        <v>2.5</v>
      </c>
      <c r="X181" s="203">
        <v>2.1</v>
      </c>
      <c r="Y181" s="203">
        <v>0.4</v>
      </c>
      <c r="Z181" s="204">
        <v>2</v>
      </c>
      <c r="AA181" s="203">
        <v>2</v>
      </c>
      <c r="AB181" s="203" t="s">
        <v>84</v>
      </c>
      <c r="AD181" s="198">
        <v>2139</v>
      </c>
      <c r="AE181" s="202">
        <v>-0.10000000000000009</v>
      </c>
      <c r="AF181" s="203" t="s">
        <v>82</v>
      </c>
      <c r="AG181" s="203">
        <v>-9.9999999999999978E-2</v>
      </c>
      <c r="AH181" s="204" t="s">
        <v>82</v>
      </c>
      <c r="AI181" s="203" t="s">
        <v>82</v>
      </c>
      <c r="AJ181" s="203" t="s">
        <v>82</v>
      </c>
    </row>
    <row customFormat="1" r="182" s="205" spans="1:36" x14ac:dyDescent="0.2">
      <c r="A182" s="193">
        <v>178</v>
      </c>
      <c r="B182" s="215">
        <v>3</v>
      </c>
      <c r="C182" s="195" t="s">
        <v>166</v>
      </c>
      <c r="D182" s="195">
        <v>1</v>
      </c>
      <c r="E182" s="195" t="s">
        <v>167</v>
      </c>
      <c r="F182" s="196">
        <v>44466</v>
      </c>
      <c r="G182" s="197" t="s">
        <v>4</v>
      </c>
      <c r="H182" s="198">
        <v>2140</v>
      </c>
      <c r="I182" s="196" t="s">
        <v>169</v>
      </c>
      <c r="J182" s="199">
        <v>1548</v>
      </c>
      <c r="K182" s="198">
        <v>1648</v>
      </c>
      <c r="L182" s="200">
        <v>0</v>
      </c>
      <c r="M182" s="201"/>
      <c r="N182" s="199">
        <v>2140</v>
      </c>
      <c r="O182" s="202">
        <v>2.8</v>
      </c>
      <c r="P182" s="203">
        <v>2.2999999999999998</v>
      </c>
      <c r="Q182" s="203">
        <v>0.5</v>
      </c>
      <c r="R182" s="204">
        <v>2.4</v>
      </c>
      <c r="S182" s="203">
        <v>2.4</v>
      </c>
      <c r="T182" s="203" t="s">
        <v>84</v>
      </c>
      <c r="V182" s="198">
        <v>2140</v>
      </c>
      <c r="W182" s="202">
        <v>2.8</v>
      </c>
      <c r="X182" s="203">
        <v>2.2999999999999998</v>
      </c>
      <c r="Y182" s="203">
        <v>0.5</v>
      </c>
      <c r="Z182" s="204">
        <v>2.4</v>
      </c>
      <c r="AA182" s="203">
        <v>2.4</v>
      </c>
      <c r="AB182" s="203" t="s">
        <v>84</v>
      </c>
      <c r="AD182" s="198">
        <v>2140</v>
      </c>
      <c r="AE182" s="202" t="s">
        <v>82</v>
      </c>
      <c r="AF182" s="203" t="s">
        <v>82</v>
      </c>
      <c r="AG182" s="203" t="s">
        <v>82</v>
      </c>
      <c r="AH182" s="204" t="s">
        <v>82</v>
      </c>
      <c r="AI182" s="203" t="s">
        <v>82</v>
      </c>
      <c r="AJ182" s="203" t="s">
        <v>82</v>
      </c>
    </row>
    <row customFormat="1" r="183" s="205" spans="1:36" x14ac:dyDescent="0.2">
      <c r="A183" s="193">
        <v>179</v>
      </c>
      <c r="B183" s="215">
        <v>3</v>
      </c>
      <c r="C183" s="195" t="s">
        <v>166</v>
      </c>
      <c r="D183" s="195">
        <v>1</v>
      </c>
      <c r="E183" s="195" t="s">
        <v>167</v>
      </c>
      <c r="F183" s="196">
        <v>44473</v>
      </c>
      <c r="G183" s="197" t="s">
        <v>4</v>
      </c>
      <c r="H183" s="198">
        <v>2141</v>
      </c>
      <c r="I183" s="196" t="s">
        <v>170</v>
      </c>
      <c r="J183" s="199">
        <v>1545</v>
      </c>
      <c r="K183" s="198">
        <v>1649</v>
      </c>
      <c r="L183" s="200">
        <v>0</v>
      </c>
      <c r="M183" s="201"/>
      <c r="N183" s="199">
        <v>2141</v>
      </c>
      <c r="O183" s="202">
        <v>2.2999999999999998</v>
      </c>
      <c r="P183" s="203">
        <v>1.9</v>
      </c>
      <c r="Q183" s="203">
        <v>0.4</v>
      </c>
      <c r="R183" s="204">
        <v>1.8</v>
      </c>
      <c r="S183" s="203">
        <v>1.8</v>
      </c>
      <c r="T183" s="203" t="s">
        <v>84</v>
      </c>
      <c r="V183" s="198">
        <v>2141</v>
      </c>
      <c r="W183" s="202">
        <v>2.2999999999999998</v>
      </c>
      <c r="X183" s="203">
        <v>1.9</v>
      </c>
      <c r="Y183" s="203">
        <v>0.4</v>
      </c>
      <c r="Z183" s="204">
        <v>1.8</v>
      </c>
      <c r="AA183" s="203">
        <v>1.8</v>
      </c>
      <c r="AB183" s="203" t="s">
        <v>84</v>
      </c>
      <c r="AD183" s="198">
        <v>2141</v>
      </c>
      <c r="AE183" s="202" t="s">
        <v>82</v>
      </c>
      <c r="AF183" s="203" t="s">
        <v>82</v>
      </c>
      <c r="AG183" s="203" t="s">
        <v>82</v>
      </c>
      <c r="AH183" s="204" t="s">
        <v>82</v>
      </c>
      <c r="AI183" s="203" t="s">
        <v>82</v>
      </c>
      <c r="AJ183" s="203" t="s">
        <v>82</v>
      </c>
    </row>
    <row customFormat="1" r="184" s="205" spans="1:36" x14ac:dyDescent="0.2">
      <c r="A184" s="193">
        <v>180</v>
      </c>
      <c r="B184" s="215">
        <v>3</v>
      </c>
      <c r="C184" s="195" t="s">
        <v>166</v>
      </c>
      <c r="D184" s="195">
        <v>1</v>
      </c>
      <c r="E184" s="195" t="s">
        <v>167</v>
      </c>
      <c r="F184" s="196">
        <v>44480</v>
      </c>
      <c r="G184" s="197" t="s">
        <v>4</v>
      </c>
      <c r="H184" s="198">
        <v>2142</v>
      </c>
      <c r="I184" s="196" t="s">
        <v>170</v>
      </c>
      <c r="J184" s="199">
        <v>1545</v>
      </c>
      <c r="K184" s="198">
        <v>1649</v>
      </c>
      <c r="L184" s="200">
        <v>0</v>
      </c>
      <c r="M184" s="201"/>
      <c r="N184" s="199">
        <v>2142</v>
      </c>
      <c r="O184" s="202">
        <v>2.2000000000000002</v>
      </c>
      <c r="P184" s="203">
        <v>1.8</v>
      </c>
      <c r="Q184" s="203">
        <v>0.4</v>
      </c>
      <c r="R184" s="204">
        <v>1.8</v>
      </c>
      <c r="S184" s="203">
        <v>1.8</v>
      </c>
      <c r="T184" s="203" t="s">
        <v>84</v>
      </c>
      <c r="V184" s="198">
        <v>2142</v>
      </c>
      <c r="W184" s="202">
        <v>2.1</v>
      </c>
      <c r="X184" s="203">
        <v>1.8</v>
      </c>
      <c r="Y184" s="203">
        <v>0.3</v>
      </c>
      <c r="Z184" s="204">
        <v>1.8</v>
      </c>
      <c r="AA184" s="203">
        <v>1.8</v>
      </c>
      <c r="AB184" s="203" t="s">
        <v>84</v>
      </c>
      <c r="AD184" s="198">
        <v>2142</v>
      </c>
      <c r="AE184" s="202">
        <v>-0.10000000000000009</v>
      </c>
      <c r="AF184" s="203" t="s">
        <v>82</v>
      </c>
      <c r="AG184" s="203">
        <v>-0.10000000000000003</v>
      </c>
      <c r="AH184" s="204" t="s">
        <v>82</v>
      </c>
      <c r="AI184" s="203" t="s">
        <v>82</v>
      </c>
      <c r="AJ184" s="203" t="s">
        <v>82</v>
      </c>
    </row>
    <row customFormat="1" r="185" s="205" spans="1:36" x14ac:dyDescent="0.2">
      <c r="A185" s="193">
        <v>181</v>
      </c>
      <c r="B185" s="215">
        <v>3</v>
      </c>
      <c r="C185" s="195" t="s">
        <v>166</v>
      </c>
      <c r="D185" s="195">
        <v>1</v>
      </c>
      <c r="E185" s="195" t="s">
        <v>167</v>
      </c>
      <c r="F185" s="196">
        <v>44495</v>
      </c>
      <c r="G185" s="197" t="s">
        <v>5</v>
      </c>
      <c r="H185" s="198">
        <v>2144</v>
      </c>
      <c r="I185" s="196" t="s">
        <v>170</v>
      </c>
      <c r="J185" s="199">
        <v>1545</v>
      </c>
      <c r="K185" s="198">
        <v>1649</v>
      </c>
      <c r="L185" s="200">
        <v>0</v>
      </c>
      <c r="M185" s="201"/>
      <c r="N185" s="199">
        <v>2144</v>
      </c>
      <c r="O185" s="202">
        <v>1.3</v>
      </c>
      <c r="P185" s="203">
        <v>1.1000000000000001</v>
      </c>
      <c r="Q185" s="203">
        <v>0.2</v>
      </c>
      <c r="R185" s="204">
        <v>1.3</v>
      </c>
      <c r="S185" s="203">
        <v>1.3</v>
      </c>
      <c r="T185" s="203" t="s">
        <v>84</v>
      </c>
      <c r="V185" s="198">
        <v>2144</v>
      </c>
      <c r="W185" s="202">
        <v>1.1000000000000001</v>
      </c>
      <c r="X185" s="203">
        <v>1.1000000000000001</v>
      </c>
      <c r="Y185" s="203">
        <v>0</v>
      </c>
      <c r="Z185" s="204">
        <v>1.3</v>
      </c>
      <c r="AA185" s="203">
        <v>1.3</v>
      </c>
      <c r="AB185" s="203" t="s">
        <v>84</v>
      </c>
      <c r="AD185" s="198">
        <v>2144</v>
      </c>
      <c r="AE185" s="202">
        <v>-0.19999999999999996</v>
      </c>
      <c r="AF185" s="203" t="s">
        <v>82</v>
      </c>
      <c r="AG185" s="203">
        <v>-0.2</v>
      </c>
      <c r="AH185" s="204" t="s">
        <v>82</v>
      </c>
      <c r="AI185" s="203" t="s">
        <v>82</v>
      </c>
      <c r="AJ185" s="203" t="s">
        <v>82</v>
      </c>
    </row>
    <row customFormat="1" r="186" s="205" spans="1:36" x14ac:dyDescent="0.2">
      <c r="A186" s="193">
        <v>182</v>
      </c>
      <c r="B186" s="215">
        <v>3</v>
      </c>
      <c r="C186" s="195" t="s">
        <v>166</v>
      </c>
      <c r="D186" s="195">
        <v>1</v>
      </c>
      <c r="E186" s="195" t="s">
        <v>167</v>
      </c>
      <c r="F186" s="196">
        <v>44502</v>
      </c>
      <c r="G186" s="197" t="s">
        <v>5</v>
      </c>
      <c r="H186" s="198">
        <v>2145</v>
      </c>
      <c r="I186" s="196" t="s">
        <v>170</v>
      </c>
      <c r="J186" s="199">
        <v>1545</v>
      </c>
      <c r="K186" s="198">
        <v>1649</v>
      </c>
      <c r="L186" s="200">
        <v>0</v>
      </c>
      <c r="M186" s="201"/>
      <c r="N186" s="199">
        <v>2145</v>
      </c>
      <c r="O186" s="202">
        <v>1.4</v>
      </c>
      <c r="P186" s="203">
        <v>1.2</v>
      </c>
      <c r="Q186" s="203">
        <v>0.2</v>
      </c>
      <c r="R186" s="204">
        <v>1.4</v>
      </c>
      <c r="S186" s="203">
        <v>1.4</v>
      </c>
      <c r="T186" s="203" t="s">
        <v>84</v>
      </c>
      <c r="V186" s="198">
        <v>2145</v>
      </c>
      <c r="W186" s="202">
        <v>1.2</v>
      </c>
      <c r="X186" s="203">
        <v>1.2</v>
      </c>
      <c r="Y186" s="203">
        <v>0</v>
      </c>
      <c r="Z186" s="204">
        <v>1.4</v>
      </c>
      <c r="AA186" s="203">
        <v>1.4</v>
      </c>
      <c r="AB186" s="203" t="s">
        <v>84</v>
      </c>
      <c r="AD186" s="198">
        <v>2145</v>
      </c>
      <c r="AE186" s="202">
        <v>-0.19999999999999996</v>
      </c>
      <c r="AF186" s="203" t="s">
        <v>82</v>
      </c>
      <c r="AG186" s="203">
        <v>-0.2</v>
      </c>
      <c r="AH186" s="204" t="s">
        <v>82</v>
      </c>
      <c r="AI186" s="203" t="s">
        <v>82</v>
      </c>
      <c r="AJ186" s="203" t="s">
        <v>82</v>
      </c>
    </row>
    <row customFormat="1" r="187" s="205" spans="1:36" x14ac:dyDescent="0.2">
      <c r="A187" s="193">
        <v>183</v>
      </c>
      <c r="B187" s="215">
        <v>3</v>
      </c>
      <c r="C187" s="195" t="s">
        <v>166</v>
      </c>
      <c r="D187" s="195">
        <v>1</v>
      </c>
      <c r="E187" s="195" t="s">
        <v>167</v>
      </c>
      <c r="F187" s="196">
        <v>44509</v>
      </c>
      <c r="G187" s="197" t="s">
        <v>5</v>
      </c>
      <c r="H187" s="198">
        <v>2146</v>
      </c>
      <c r="I187" s="196" t="s">
        <v>170</v>
      </c>
      <c r="J187" s="199">
        <v>1545</v>
      </c>
      <c r="K187" s="198">
        <v>1649</v>
      </c>
      <c r="L187" s="200">
        <v>0</v>
      </c>
      <c r="M187" s="201"/>
      <c r="N187" s="199">
        <v>2146</v>
      </c>
      <c r="O187" s="202">
        <v>1.3</v>
      </c>
      <c r="P187" s="203">
        <v>1.1000000000000001</v>
      </c>
      <c r="Q187" s="203">
        <v>0.2</v>
      </c>
      <c r="R187" s="204">
        <v>1.5</v>
      </c>
      <c r="S187" s="203">
        <v>1.5</v>
      </c>
      <c r="T187" s="203" t="s">
        <v>84</v>
      </c>
      <c r="V187" s="198">
        <v>2146</v>
      </c>
      <c r="W187" s="202">
        <v>1.1000000000000001</v>
      </c>
      <c r="X187" s="203">
        <v>1.1000000000000001</v>
      </c>
      <c r="Y187" s="203">
        <v>0</v>
      </c>
      <c r="Z187" s="204">
        <v>1.5</v>
      </c>
      <c r="AA187" s="203">
        <v>1.5</v>
      </c>
      <c r="AB187" s="203" t="s">
        <v>84</v>
      </c>
      <c r="AD187" s="198">
        <v>2146</v>
      </c>
      <c r="AE187" s="202">
        <v>-0.19999999999999996</v>
      </c>
      <c r="AF187" s="203" t="s">
        <v>82</v>
      </c>
      <c r="AG187" s="203">
        <v>-0.2</v>
      </c>
      <c r="AH187" s="204" t="s">
        <v>82</v>
      </c>
      <c r="AI187" s="203" t="s">
        <v>82</v>
      </c>
      <c r="AJ187" s="203" t="s">
        <v>82</v>
      </c>
    </row>
    <row customFormat="1" r="188" s="205" spans="1:36" x14ac:dyDescent="0.2">
      <c r="A188" s="193">
        <v>184</v>
      </c>
      <c r="B188" s="215">
        <v>3</v>
      </c>
      <c r="C188" s="195" t="s">
        <v>166</v>
      </c>
      <c r="D188" s="195">
        <v>1</v>
      </c>
      <c r="E188" s="195" t="s">
        <v>167</v>
      </c>
      <c r="F188" s="196">
        <v>44516</v>
      </c>
      <c r="G188" s="197" t="s">
        <v>5</v>
      </c>
      <c r="H188" s="198">
        <v>2147</v>
      </c>
      <c r="I188" s="196" t="s">
        <v>170</v>
      </c>
      <c r="J188" s="199">
        <v>1545</v>
      </c>
      <c r="K188" s="198">
        <v>1649</v>
      </c>
      <c r="L188" s="200">
        <v>0</v>
      </c>
      <c r="M188" s="201"/>
      <c r="N188" s="199">
        <v>2147</v>
      </c>
      <c r="O188" s="202">
        <v>1.3</v>
      </c>
      <c r="P188" s="203">
        <v>1.1000000000000001</v>
      </c>
      <c r="Q188" s="203">
        <v>0.2</v>
      </c>
      <c r="R188" s="204">
        <v>1.3</v>
      </c>
      <c r="S188" s="203">
        <v>1.3</v>
      </c>
      <c r="T188" s="203" t="s">
        <v>84</v>
      </c>
      <c r="V188" s="198">
        <v>2147</v>
      </c>
      <c r="W188" s="202">
        <v>1.1000000000000001</v>
      </c>
      <c r="X188" s="203">
        <v>1.1000000000000001</v>
      </c>
      <c r="Y188" s="203">
        <v>0</v>
      </c>
      <c r="Z188" s="204">
        <v>1.3</v>
      </c>
      <c r="AA188" s="203">
        <v>1.3</v>
      </c>
      <c r="AB188" s="203" t="s">
        <v>84</v>
      </c>
      <c r="AD188" s="198">
        <v>2147</v>
      </c>
      <c r="AE188" s="202">
        <v>-0.19999999999999996</v>
      </c>
      <c r="AF188" s="203" t="s">
        <v>82</v>
      </c>
      <c r="AG188" s="203">
        <v>-0.2</v>
      </c>
      <c r="AH188" s="204" t="s">
        <v>82</v>
      </c>
      <c r="AI188" s="203" t="s">
        <v>82</v>
      </c>
      <c r="AJ188" s="203" t="s">
        <v>82</v>
      </c>
    </row>
    <row customFormat="1" r="189" s="205" spans="1:36" x14ac:dyDescent="0.2">
      <c r="A189" s="193">
        <v>185</v>
      </c>
      <c r="B189" s="215">
        <v>3</v>
      </c>
      <c r="C189" s="195" t="s">
        <v>166</v>
      </c>
      <c r="D189" s="195">
        <v>6</v>
      </c>
      <c r="E189" s="195" t="s">
        <v>171</v>
      </c>
      <c r="F189" s="196">
        <v>44199</v>
      </c>
      <c r="G189" s="197" t="s">
        <v>10</v>
      </c>
      <c r="H189" s="198">
        <v>2101</v>
      </c>
      <c r="I189" s="196" t="s">
        <v>172</v>
      </c>
      <c r="J189" s="199">
        <v>1900</v>
      </c>
      <c r="K189" s="198">
        <v>2049</v>
      </c>
      <c r="L189" s="200">
        <v>0</v>
      </c>
      <c r="M189" s="201"/>
      <c r="N189" s="199">
        <v>2101</v>
      </c>
      <c r="O189" s="202">
        <v>7.7</v>
      </c>
      <c r="P189" s="203">
        <v>7</v>
      </c>
      <c r="Q189" s="203">
        <v>0.7</v>
      </c>
      <c r="R189" s="204">
        <v>8.6</v>
      </c>
      <c r="S189" s="203">
        <v>8</v>
      </c>
      <c r="T189" s="203">
        <v>0.6</v>
      </c>
      <c r="V189" s="198">
        <v>2101</v>
      </c>
      <c r="W189" s="202">
        <v>7.7</v>
      </c>
      <c r="X189" s="203">
        <v>7</v>
      </c>
      <c r="Y189" s="203">
        <v>0.7</v>
      </c>
      <c r="Z189" s="204">
        <v>8.6</v>
      </c>
      <c r="AA189" s="203">
        <v>8</v>
      </c>
      <c r="AB189" s="203">
        <v>0.6</v>
      </c>
      <c r="AD189" s="198">
        <v>2101</v>
      </c>
      <c r="AE189" s="202" t="s">
        <v>82</v>
      </c>
      <c r="AF189" s="203" t="s">
        <v>82</v>
      </c>
      <c r="AG189" s="203" t="s">
        <v>82</v>
      </c>
      <c r="AH189" s="204" t="s">
        <v>82</v>
      </c>
      <c r="AI189" s="203" t="s">
        <v>82</v>
      </c>
      <c r="AJ189" s="203" t="s">
        <v>82</v>
      </c>
    </row>
    <row customFormat="1" r="190" s="205" spans="1:36" x14ac:dyDescent="0.2">
      <c r="A190" s="193">
        <v>186</v>
      </c>
      <c r="B190" s="215">
        <v>3</v>
      </c>
      <c r="C190" s="195" t="s">
        <v>166</v>
      </c>
      <c r="D190" s="195">
        <v>6</v>
      </c>
      <c r="E190" s="195" t="s">
        <v>171</v>
      </c>
      <c r="F190" s="196">
        <v>44206</v>
      </c>
      <c r="G190" s="197" t="s">
        <v>10</v>
      </c>
      <c r="H190" s="198">
        <v>2102</v>
      </c>
      <c r="I190" s="196" t="s">
        <v>173</v>
      </c>
      <c r="J190" s="199">
        <v>1958</v>
      </c>
      <c r="K190" s="198">
        <v>2153</v>
      </c>
      <c r="L190" s="200">
        <v>0</v>
      </c>
      <c r="M190" s="201"/>
      <c r="N190" s="199">
        <v>2102</v>
      </c>
      <c r="O190" s="202">
        <v>8.6</v>
      </c>
      <c r="P190" s="203">
        <v>8.1</v>
      </c>
      <c r="Q190" s="203">
        <v>0.5</v>
      </c>
      <c r="R190" s="204">
        <v>6.6</v>
      </c>
      <c r="S190" s="203">
        <v>6.4</v>
      </c>
      <c r="T190" s="203">
        <v>0.2</v>
      </c>
      <c r="V190" s="198">
        <v>2102</v>
      </c>
      <c r="W190" s="202">
        <v>8.6</v>
      </c>
      <c r="X190" s="203">
        <v>8.1</v>
      </c>
      <c r="Y190" s="203">
        <v>0.5</v>
      </c>
      <c r="Z190" s="204">
        <v>6.6</v>
      </c>
      <c r="AA190" s="203">
        <v>6.4</v>
      </c>
      <c r="AB190" s="203">
        <v>0.2</v>
      </c>
      <c r="AD190" s="198">
        <v>2102</v>
      </c>
      <c r="AE190" s="202" t="s">
        <v>82</v>
      </c>
      <c r="AF190" s="203" t="s">
        <v>82</v>
      </c>
      <c r="AG190" s="203" t="s">
        <v>82</v>
      </c>
      <c r="AH190" s="204"/>
      <c r="AI190" s="203" t="s">
        <v>82</v>
      </c>
      <c r="AJ190" s="203" t="s">
        <v>82</v>
      </c>
    </row>
    <row customFormat="1" r="191" s="205" spans="1:36" x14ac:dyDescent="0.2">
      <c r="A191" s="193">
        <v>187</v>
      </c>
      <c r="B191" s="215">
        <v>3</v>
      </c>
      <c r="C191" s="195" t="s">
        <v>166</v>
      </c>
      <c r="D191" s="195">
        <v>6</v>
      </c>
      <c r="E191" s="195" t="s">
        <v>171</v>
      </c>
      <c r="F191" s="196">
        <v>44213</v>
      </c>
      <c r="G191" s="197" t="s">
        <v>10</v>
      </c>
      <c r="H191" s="198">
        <v>2103</v>
      </c>
      <c r="I191" s="196" t="s">
        <v>174</v>
      </c>
      <c r="J191" s="199">
        <v>1958</v>
      </c>
      <c r="K191" s="198">
        <v>2053</v>
      </c>
      <c r="L191" s="200">
        <v>0</v>
      </c>
      <c r="M191" s="201"/>
      <c r="N191" s="199">
        <v>2103</v>
      </c>
      <c r="O191" s="202">
        <v>8.3000000000000007</v>
      </c>
      <c r="P191" s="203">
        <v>7.6</v>
      </c>
      <c r="Q191" s="203">
        <v>0.7</v>
      </c>
      <c r="R191" s="204">
        <v>7</v>
      </c>
      <c r="S191" s="203">
        <v>6.4</v>
      </c>
      <c r="T191" s="203">
        <v>0.6</v>
      </c>
      <c r="V191" s="198">
        <v>2103</v>
      </c>
      <c r="W191" s="202">
        <v>8.3000000000000007</v>
      </c>
      <c r="X191" s="203">
        <v>7.6</v>
      </c>
      <c r="Y191" s="203">
        <v>0.7</v>
      </c>
      <c r="Z191" s="204">
        <v>7</v>
      </c>
      <c r="AA191" s="203">
        <v>6.4</v>
      </c>
      <c r="AB191" s="203">
        <v>0.6</v>
      </c>
      <c r="AD191" s="198">
        <v>2103</v>
      </c>
      <c r="AE191" s="202"/>
      <c r="AF191" s="203" t="s">
        <v>82</v>
      </c>
      <c r="AG191" s="203" t="s">
        <v>82</v>
      </c>
      <c r="AH191" s="204" t="s">
        <v>82</v>
      </c>
      <c r="AI191" s="203" t="s">
        <v>82</v>
      </c>
      <c r="AJ191" s="203" t="s">
        <v>82</v>
      </c>
    </row>
    <row customFormat="1" r="192" s="205" spans="1:36" x14ac:dyDescent="0.2">
      <c r="A192" s="193">
        <v>188</v>
      </c>
      <c r="B192" s="215">
        <v>3</v>
      </c>
      <c r="C192" s="195" t="s">
        <v>166</v>
      </c>
      <c r="D192" s="195">
        <v>6</v>
      </c>
      <c r="E192" s="195" t="s">
        <v>171</v>
      </c>
      <c r="F192" s="196">
        <v>44220</v>
      </c>
      <c r="G192" s="197" t="s">
        <v>10</v>
      </c>
      <c r="H192" s="198">
        <v>2104</v>
      </c>
      <c r="I192" s="196" t="s">
        <v>174</v>
      </c>
      <c r="J192" s="199">
        <v>1958</v>
      </c>
      <c r="K192" s="198">
        <v>2053</v>
      </c>
      <c r="L192" s="200">
        <v>0</v>
      </c>
      <c r="M192" s="201"/>
      <c r="N192" s="199">
        <v>2104</v>
      </c>
      <c r="O192" s="202">
        <v>10.1</v>
      </c>
      <c r="P192" s="203">
        <v>9.4</v>
      </c>
      <c r="Q192" s="203">
        <v>0.7</v>
      </c>
      <c r="R192" s="204">
        <v>8.1</v>
      </c>
      <c r="S192" s="203">
        <v>7.8</v>
      </c>
      <c r="T192" s="203">
        <v>0.3</v>
      </c>
      <c r="V192" s="198">
        <v>2104</v>
      </c>
      <c r="W192" s="202">
        <v>10.1</v>
      </c>
      <c r="X192" s="203">
        <v>9.4</v>
      </c>
      <c r="Y192" s="203">
        <v>0.7</v>
      </c>
      <c r="Z192" s="204">
        <v>8.1</v>
      </c>
      <c r="AA192" s="203">
        <v>7.8</v>
      </c>
      <c r="AB192" s="203">
        <v>0.3</v>
      </c>
      <c r="AD192" s="198">
        <v>2104</v>
      </c>
      <c r="AE192" s="202" t="s">
        <v>82</v>
      </c>
      <c r="AF192" s="203" t="s">
        <v>82</v>
      </c>
      <c r="AG192" s="203" t="s">
        <v>82</v>
      </c>
      <c r="AH192" s="204" t="s">
        <v>82</v>
      </c>
      <c r="AI192" s="203" t="s">
        <v>82</v>
      </c>
      <c r="AJ192" s="203" t="s">
        <v>82</v>
      </c>
    </row>
    <row customFormat="1" r="193" s="205" spans="1:36" x14ac:dyDescent="0.2">
      <c r="A193" s="193">
        <v>189</v>
      </c>
      <c r="B193" s="215">
        <v>3</v>
      </c>
      <c r="C193" s="195" t="s">
        <v>166</v>
      </c>
      <c r="D193" s="195">
        <v>6</v>
      </c>
      <c r="E193" s="195" t="s">
        <v>171</v>
      </c>
      <c r="F193" s="196">
        <v>44449</v>
      </c>
      <c r="G193" s="197" t="s">
        <v>8</v>
      </c>
      <c r="H193" s="198">
        <v>2137</v>
      </c>
      <c r="I193" s="196" t="s">
        <v>175</v>
      </c>
      <c r="J193" s="199">
        <v>1025</v>
      </c>
      <c r="K193" s="198">
        <v>1154</v>
      </c>
      <c r="L193" s="200">
        <v>1</v>
      </c>
      <c r="M193" s="201"/>
      <c r="N193" s="199">
        <v>2137</v>
      </c>
      <c r="O193" s="202">
        <v>2.6</v>
      </c>
      <c r="P193" s="203">
        <v>1.9</v>
      </c>
      <c r="Q193" s="203">
        <v>0.7</v>
      </c>
      <c r="R193" s="204">
        <v>18.5</v>
      </c>
      <c r="S193" s="203">
        <v>2</v>
      </c>
      <c r="T193" s="203">
        <v>16.5</v>
      </c>
      <c r="V193" s="198">
        <v>2137</v>
      </c>
      <c r="W193" s="202">
        <v>1.9</v>
      </c>
      <c r="X193" s="203">
        <v>1.9</v>
      </c>
      <c r="Y193" s="203">
        <v>0</v>
      </c>
      <c r="Z193" s="204">
        <v>2</v>
      </c>
      <c r="AA193" s="203">
        <v>2</v>
      </c>
      <c r="AB193" s="203">
        <v>0</v>
      </c>
      <c r="AD193" s="198">
        <v>2137</v>
      </c>
      <c r="AE193" s="202">
        <v>-0.70000000000000018</v>
      </c>
      <c r="AF193" s="203" t="s">
        <v>82</v>
      </c>
      <c r="AG193" s="203">
        <v>-0.7</v>
      </c>
      <c r="AH193" s="204">
        <v>-16.5</v>
      </c>
      <c r="AI193" s="203" t="s">
        <v>82</v>
      </c>
      <c r="AJ193" s="203">
        <v>-16.5</v>
      </c>
    </row>
    <row customFormat="1" r="194" s="205" spans="1:36" x14ac:dyDescent="0.2">
      <c r="A194" s="193">
        <v>190</v>
      </c>
      <c r="B194" s="215">
        <v>3</v>
      </c>
      <c r="C194" s="195" t="s">
        <v>166</v>
      </c>
      <c r="D194" s="195">
        <v>6</v>
      </c>
      <c r="E194" s="195" t="s">
        <v>171</v>
      </c>
      <c r="F194" s="196">
        <v>44456</v>
      </c>
      <c r="G194" s="197" t="s">
        <v>8</v>
      </c>
      <c r="H194" s="198">
        <v>2138</v>
      </c>
      <c r="I194" s="196" t="s">
        <v>175</v>
      </c>
      <c r="J194" s="199">
        <v>1025</v>
      </c>
      <c r="K194" s="198">
        <v>1154</v>
      </c>
      <c r="L194" s="200">
        <v>1</v>
      </c>
      <c r="M194" s="201"/>
      <c r="N194" s="199">
        <v>2138</v>
      </c>
      <c r="O194" s="202">
        <v>2.2000000000000002</v>
      </c>
      <c r="P194" s="203">
        <v>1.6</v>
      </c>
      <c r="Q194" s="203">
        <v>0.6</v>
      </c>
      <c r="R194" s="204">
        <v>18.100000000000001</v>
      </c>
      <c r="S194" s="203">
        <v>1.6</v>
      </c>
      <c r="T194" s="203">
        <v>16.5</v>
      </c>
      <c r="V194" s="198">
        <v>2138</v>
      </c>
      <c r="W194" s="202">
        <v>1.6</v>
      </c>
      <c r="X194" s="203">
        <v>1.6</v>
      </c>
      <c r="Y194" s="203">
        <v>0</v>
      </c>
      <c r="Z194" s="204">
        <v>1.6</v>
      </c>
      <c r="AA194" s="203">
        <v>1.6</v>
      </c>
      <c r="AB194" s="203">
        <v>0</v>
      </c>
      <c r="AD194" s="198">
        <v>2138</v>
      </c>
      <c r="AE194" s="202">
        <v>-0.60000000000000009</v>
      </c>
      <c r="AF194" s="203" t="s">
        <v>82</v>
      </c>
      <c r="AG194" s="203">
        <v>-0.6</v>
      </c>
      <c r="AH194" s="204">
        <v>-16.5</v>
      </c>
      <c r="AI194" s="203" t="s">
        <v>82</v>
      </c>
      <c r="AJ194" s="203">
        <v>-16.5</v>
      </c>
    </row>
    <row customFormat="1" r="195" s="205" spans="1:36" x14ac:dyDescent="0.2">
      <c r="A195" s="193">
        <v>191</v>
      </c>
      <c r="B195" s="215">
        <v>3</v>
      </c>
      <c r="C195" s="195" t="s">
        <v>166</v>
      </c>
      <c r="D195" s="195">
        <v>6</v>
      </c>
      <c r="E195" s="195" t="s">
        <v>171</v>
      </c>
      <c r="F195" s="196">
        <v>44463</v>
      </c>
      <c r="G195" s="197" t="s">
        <v>8</v>
      </c>
      <c r="H195" s="198">
        <v>2139</v>
      </c>
      <c r="I195" s="196" t="s">
        <v>175</v>
      </c>
      <c r="J195" s="199">
        <v>1025</v>
      </c>
      <c r="K195" s="198">
        <v>1154</v>
      </c>
      <c r="L195" s="200">
        <v>1</v>
      </c>
      <c r="M195" s="201"/>
      <c r="N195" s="199">
        <v>2139</v>
      </c>
      <c r="O195" s="202">
        <v>2.2000000000000002</v>
      </c>
      <c r="P195" s="203">
        <v>1.5</v>
      </c>
      <c r="Q195" s="203">
        <v>0.7</v>
      </c>
      <c r="R195" s="204">
        <v>18.2</v>
      </c>
      <c r="S195" s="203">
        <v>1.6</v>
      </c>
      <c r="T195" s="203">
        <v>16.600000000000001</v>
      </c>
      <c r="V195" s="198">
        <v>2139</v>
      </c>
      <c r="W195" s="202">
        <v>1.5</v>
      </c>
      <c r="X195" s="203">
        <v>1.5</v>
      </c>
      <c r="Y195" s="203">
        <v>0</v>
      </c>
      <c r="Z195" s="204">
        <v>1.6</v>
      </c>
      <c r="AA195" s="203">
        <v>1.6</v>
      </c>
      <c r="AB195" s="203">
        <v>0</v>
      </c>
      <c r="AD195" s="198">
        <v>2139</v>
      </c>
      <c r="AE195" s="202">
        <v>-0.70000000000000018</v>
      </c>
      <c r="AF195" s="203" t="s">
        <v>82</v>
      </c>
      <c r="AG195" s="203">
        <v>-0.7</v>
      </c>
      <c r="AH195" s="204">
        <v>-16.599999999999998</v>
      </c>
      <c r="AI195" s="203" t="s">
        <v>82</v>
      </c>
      <c r="AJ195" s="203">
        <v>-16.600000000000001</v>
      </c>
    </row>
    <row customFormat="1" r="196" s="205" spans="1:36" x14ac:dyDescent="0.2">
      <c r="A196" s="193">
        <v>192</v>
      </c>
      <c r="B196" s="215">
        <v>3</v>
      </c>
      <c r="C196" s="195" t="s">
        <v>166</v>
      </c>
      <c r="D196" s="195">
        <v>6</v>
      </c>
      <c r="E196" s="195" t="s">
        <v>171</v>
      </c>
      <c r="F196" s="196">
        <v>44470</v>
      </c>
      <c r="G196" s="197" t="s">
        <v>8</v>
      </c>
      <c r="H196" s="198">
        <v>2140</v>
      </c>
      <c r="I196" s="196" t="s">
        <v>175</v>
      </c>
      <c r="J196" s="199">
        <v>1025</v>
      </c>
      <c r="K196" s="198">
        <v>1154</v>
      </c>
      <c r="L196" s="200">
        <v>1</v>
      </c>
      <c r="M196" s="201"/>
      <c r="N196" s="199">
        <v>2140</v>
      </c>
      <c r="O196" s="202">
        <v>2.1</v>
      </c>
      <c r="P196" s="203">
        <v>1.4</v>
      </c>
      <c r="Q196" s="203">
        <v>0.7</v>
      </c>
      <c r="R196" s="204">
        <v>17.899999999999999</v>
      </c>
      <c r="S196" s="203">
        <v>1.3</v>
      </c>
      <c r="T196" s="203">
        <v>16.600000000000001</v>
      </c>
      <c r="V196" s="198">
        <v>2140</v>
      </c>
      <c r="W196" s="202">
        <v>1.4</v>
      </c>
      <c r="X196" s="203">
        <v>1.4</v>
      </c>
      <c r="Y196" s="203">
        <v>0</v>
      </c>
      <c r="Z196" s="204">
        <v>1.3</v>
      </c>
      <c r="AA196" s="203">
        <v>1.3</v>
      </c>
      <c r="AB196" s="203">
        <v>0</v>
      </c>
      <c r="AD196" s="198">
        <v>2140</v>
      </c>
      <c r="AE196" s="202">
        <v>-0.70000000000000018</v>
      </c>
      <c r="AF196" s="203" t="s">
        <v>82</v>
      </c>
      <c r="AG196" s="203">
        <v>-0.7</v>
      </c>
      <c r="AH196" s="204">
        <v>-16.599999999999998</v>
      </c>
      <c r="AI196" s="203" t="s">
        <v>82</v>
      </c>
      <c r="AJ196" s="203">
        <v>-16.600000000000001</v>
      </c>
    </row>
    <row customFormat="1" r="197" s="205" spans="1:36" x14ac:dyDescent="0.2">
      <c r="A197" s="193">
        <v>193</v>
      </c>
      <c r="B197" s="215">
        <v>3</v>
      </c>
      <c r="C197" s="195" t="s">
        <v>166</v>
      </c>
      <c r="D197" s="195">
        <v>6</v>
      </c>
      <c r="E197" s="195" t="s">
        <v>171</v>
      </c>
      <c r="F197" s="196">
        <v>44503</v>
      </c>
      <c r="G197" s="197" t="s">
        <v>6</v>
      </c>
      <c r="H197" s="198">
        <v>2145</v>
      </c>
      <c r="I197" s="196" t="s">
        <v>176</v>
      </c>
      <c r="J197" s="199">
        <v>800</v>
      </c>
      <c r="K197" s="198">
        <v>929</v>
      </c>
      <c r="L197" s="200">
        <v>0</v>
      </c>
      <c r="M197" s="201"/>
      <c r="N197" s="199">
        <v>2145</v>
      </c>
      <c r="O197" s="202">
        <v>3.3</v>
      </c>
      <c r="P197" s="203">
        <v>2.5</v>
      </c>
      <c r="Q197" s="203">
        <v>0.8</v>
      </c>
      <c r="R197" s="204">
        <v>1.8</v>
      </c>
      <c r="S197" s="203">
        <v>1.8</v>
      </c>
      <c r="T197" s="203">
        <v>0</v>
      </c>
      <c r="V197" s="198">
        <v>2145</v>
      </c>
      <c r="W197" s="202">
        <v>2.5</v>
      </c>
      <c r="X197" s="203">
        <v>2.5</v>
      </c>
      <c r="Y197" s="203">
        <v>0</v>
      </c>
      <c r="Z197" s="204">
        <v>1.8</v>
      </c>
      <c r="AA197" s="203">
        <v>1.8</v>
      </c>
      <c r="AB197" s="203">
        <v>0</v>
      </c>
      <c r="AD197" s="198">
        <v>2145</v>
      </c>
      <c r="AE197" s="202">
        <v>-0.79999999999999982</v>
      </c>
      <c r="AF197" s="203" t="s">
        <v>82</v>
      </c>
      <c r="AG197" s="203">
        <v>-0.8</v>
      </c>
      <c r="AH197" s="204" t="s">
        <v>82</v>
      </c>
      <c r="AI197" s="203" t="s">
        <v>82</v>
      </c>
      <c r="AJ197" s="203" t="s">
        <v>82</v>
      </c>
    </row>
    <row customFormat="1" r="198" s="205" spans="1:36" x14ac:dyDescent="0.2">
      <c r="A198" s="193">
        <v>194</v>
      </c>
      <c r="B198" s="215">
        <v>3</v>
      </c>
      <c r="C198" s="195" t="s">
        <v>166</v>
      </c>
      <c r="D198" s="195">
        <v>6</v>
      </c>
      <c r="E198" s="195" t="s">
        <v>171</v>
      </c>
      <c r="F198" s="196">
        <v>44510</v>
      </c>
      <c r="G198" s="197" t="s">
        <v>6</v>
      </c>
      <c r="H198" s="198">
        <v>2146</v>
      </c>
      <c r="I198" s="196" t="s">
        <v>176</v>
      </c>
      <c r="J198" s="199">
        <v>800</v>
      </c>
      <c r="K198" s="198">
        <v>929</v>
      </c>
      <c r="L198" s="200">
        <v>0</v>
      </c>
      <c r="M198" s="201"/>
      <c r="N198" s="199">
        <v>2146</v>
      </c>
      <c r="O198" s="202">
        <v>3.5</v>
      </c>
      <c r="P198" s="203">
        <v>2.7</v>
      </c>
      <c r="Q198" s="203">
        <v>0.8</v>
      </c>
      <c r="R198" s="204">
        <v>2.4</v>
      </c>
      <c r="S198" s="203">
        <v>2.4</v>
      </c>
      <c r="T198" s="203">
        <v>0</v>
      </c>
      <c r="V198" s="198">
        <v>2146</v>
      </c>
      <c r="W198" s="202">
        <v>2.8</v>
      </c>
      <c r="X198" s="203">
        <v>2.7</v>
      </c>
      <c r="Y198" s="203">
        <v>0.1</v>
      </c>
      <c r="Z198" s="204">
        <v>2.4</v>
      </c>
      <c r="AA198" s="203">
        <v>2.4</v>
      </c>
      <c r="AB198" s="203">
        <v>0</v>
      </c>
      <c r="AD198" s="198">
        <v>2146</v>
      </c>
      <c r="AE198" s="202">
        <v>-0.70000000000000018</v>
      </c>
      <c r="AF198" s="203" t="s">
        <v>82</v>
      </c>
      <c r="AG198" s="203">
        <v>-0.70000000000000007</v>
      </c>
      <c r="AH198" s="204" t="s">
        <v>82</v>
      </c>
      <c r="AI198" s="203" t="s">
        <v>82</v>
      </c>
      <c r="AJ198" s="203" t="s">
        <v>82</v>
      </c>
    </row>
    <row customFormat="1" r="199" s="205" spans="1:36" x14ac:dyDescent="0.2">
      <c r="A199" s="193">
        <v>195</v>
      </c>
      <c r="B199" s="215">
        <v>3</v>
      </c>
      <c r="C199" s="195" t="s">
        <v>166</v>
      </c>
      <c r="D199" s="195">
        <v>6</v>
      </c>
      <c r="E199" s="195" t="s">
        <v>171</v>
      </c>
      <c r="F199" s="196">
        <v>44517</v>
      </c>
      <c r="G199" s="197" t="s">
        <v>6</v>
      </c>
      <c r="H199" s="198">
        <v>2147</v>
      </c>
      <c r="I199" s="196" t="s">
        <v>176</v>
      </c>
      <c r="J199" s="199">
        <v>800</v>
      </c>
      <c r="K199" s="198">
        <v>929</v>
      </c>
      <c r="L199" s="200">
        <v>0</v>
      </c>
      <c r="M199" s="201"/>
      <c r="N199" s="199">
        <v>2147</v>
      </c>
      <c r="O199" s="202">
        <v>3.5</v>
      </c>
      <c r="P199" s="203">
        <v>2.7</v>
      </c>
      <c r="Q199" s="203">
        <v>0.8</v>
      </c>
      <c r="R199" s="204">
        <v>2.4</v>
      </c>
      <c r="S199" s="203">
        <v>2.4</v>
      </c>
      <c r="T199" s="203">
        <v>0</v>
      </c>
      <c r="V199" s="198">
        <v>2147</v>
      </c>
      <c r="W199" s="202">
        <v>2.8</v>
      </c>
      <c r="X199" s="203">
        <v>2.7</v>
      </c>
      <c r="Y199" s="203">
        <v>0.1</v>
      </c>
      <c r="Z199" s="204">
        <v>2.4</v>
      </c>
      <c r="AA199" s="203">
        <v>2.4</v>
      </c>
      <c r="AB199" s="203">
        <v>0</v>
      </c>
      <c r="AD199" s="198">
        <v>2147</v>
      </c>
      <c r="AE199" s="202">
        <v>-0.70000000000000018</v>
      </c>
      <c r="AF199" s="203" t="s">
        <v>82</v>
      </c>
      <c r="AG199" s="203">
        <v>-0.70000000000000007</v>
      </c>
      <c r="AH199" s="204" t="s">
        <v>82</v>
      </c>
      <c r="AI199" s="203" t="s">
        <v>82</v>
      </c>
      <c r="AJ199" s="203" t="s">
        <v>82</v>
      </c>
    </row>
    <row customFormat="1" r="200" s="205" spans="1:36" x14ac:dyDescent="0.2">
      <c r="A200" s="193">
        <v>196</v>
      </c>
      <c r="B200" s="215">
        <v>3</v>
      </c>
      <c r="C200" s="195" t="s">
        <v>166</v>
      </c>
      <c r="D200" s="195">
        <v>6</v>
      </c>
      <c r="E200" s="195" t="s">
        <v>171</v>
      </c>
      <c r="F200" s="196">
        <v>44524</v>
      </c>
      <c r="G200" s="197" t="s">
        <v>6</v>
      </c>
      <c r="H200" s="198">
        <v>2148</v>
      </c>
      <c r="I200" s="196" t="s">
        <v>176</v>
      </c>
      <c r="J200" s="199">
        <v>800</v>
      </c>
      <c r="K200" s="198">
        <v>929</v>
      </c>
      <c r="L200" s="200">
        <v>0</v>
      </c>
      <c r="M200" s="201"/>
      <c r="N200" s="199">
        <v>2148</v>
      </c>
      <c r="O200" s="202">
        <v>3.7</v>
      </c>
      <c r="P200" s="203">
        <v>2.9</v>
      </c>
      <c r="Q200" s="203">
        <v>0.8</v>
      </c>
      <c r="R200" s="204">
        <v>2.5</v>
      </c>
      <c r="S200" s="203">
        <v>2.5</v>
      </c>
      <c r="T200" s="203">
        <v>0</v>
      </c>
      <c r="V200" s="198">
        <v>2148</v>
      </c>
      <c r="W200" s="202">
        <v>3</v>
      </c>
      <c r="X200" s="203">
        <v>2.9</v>
      </c>
      <c r="Y200" s="203">
        <v>0.1</v>
      </c>
      <c r="Z200" s="204">
        <v>2.5</v>
      </c>
      <c r="AA200" s="203">
        <v>2.5</v>
      </c>
      <c r="AB200" s="203">
        <v>0</v>
      </c>
      <c r="AD200" s="198">
        <v>2148</v>
      </c>
      <c r="AE200" s="202">
        <v>-0.70000000000000018</v>
      </c>
      <c r="AF200" s="203" t="s">
        <v>82</v>
      </c>
      <c r="AG200" s="203">
        <v>-0.70000000000000007</v>
      </c>
      <c r="AH200" s="204" t="s">
        <v>82</v>
      </c>
      <c r="AI200" s="203" t="s">
        <v>82</v>
      </c>
      <c r="AJ200" s="203" t="s">
        <v>82</v>
      </c>
    </row>
    <row customFormat="1" r="201" s="205" spans="1:36" x14ac:dyDescent="0.2">
      <c r="A201" s="193">
        <v>197</v>
      </c>
      <c r="B201" s="215">
        <v>3</v>
      </c>
      <c r="C201" s="195" t="s">
        <v>166</v>
      </c>
      <c r="D201" s="195">
        <v>6</v>
      </c>
      <c r="E201" s="195" t="s">
        <v>171</v>
      </c>
      <c r="F201" s="196">
        <v>44569</v>
      </c>
      <c r="G201" s="197" t="s">
        <v>9</v>
      </c>
      <c r="H201" s="198">
        <v>2202</v>
      </c>
      <c r="I201" s="196" t="s">
        <v>177</v>
      </c>
      <c r="J201" s="199">
        <v>800</v>
      </c>
      <c r="K201" s="198">
        <v>924</v>
      </c>
      <c r="L201" s="200">
        <v>0</v>
      </c>
      <c r="M201" s="201"/>
      <c r="N201" s="199">
        <v>2202</v>
      </c>
      <c r="O201" s="202">
        <v>3.7</v>
      </c>
      <c r="P201" s="203">
        <v>3.7</v>
      </c>
      <c r="Q201" s="203">
        <v>0</v>
      </c>
      <c r="R201" s="204">
        <v>2.5</v>
      </c>
      <c r="S201" s="203">
        <v>2.5</v>
      </c>
      <c r="T201" s="203">
        <v>0</v>
      </c>
      <c r="V201" s="198">
        <v>2202</v>
      </c>
      <c r="W201" s="202">
        <v>3.7</v>
      </c>
      <c r="X201" s="203">
        <v>3.7</v>
      </c>
      <c r="Y201" s="203">
        <v>0</v>
      </c>
      <c r="Z201" s="204">
        <v>2.5</v>
      </c>
      <c r="AA201" s="203">
        <v>2.5</v>
      </c>
      <c r="AB201" s="203">
        <v>0</v>
      </c>
      <c r="AD201" s="198">
        <v>2202</v>
      </c>
      <c r="AE201" s="202" t="s">
        <v>82</v>
      </c>
      <c r="AF201" s="203" t="s">
        <v>82</v>
      </c>
      <c r="AG201" s="203" t="s">
        <v>82</v>
      </c>
      <c r="AH201" s="204" t="s">
        <v>82</v>
      </c>
      <c r="AI201" s="203" t="s">
        <v>82</v>
      </c>
      <c r="AJ201" s="203" t="s">
        <v>82</v>
      </c>
    </row>
    <row customFormat="1" r="202" s="205" spans="1:36" x14ac:dyDescent="0.2">
      <c r="A202" s="193">
        <v>198</v>
      </c>
      <c r="B202" s="215">
        <v>3</v>
      </c>
      <c r="C202" s="195" t="s">
        <v>166</v>
      </c>
      <c r="D202" s="195">
        <v>6</v>
      </c>
      <c r="E202" s="195" t="s">
        <v>171</v>
      </c>
      <c r="F202" s="196">
        <v>44576</v>
      </c>
      <c r="G202" s="197" t="s">
        <v>9</v>
      </c>
      <c r="H202" s="198">
        <v>2203</v>
      </c>
      <c r="I202" s="196" t="s">
        <v>177</v>
      </c>
      <c r="J202" s="199">
        <v>800</v>
      </c>
      <c r="K202" s="198">
        <v>924</v>
      </c>
      <c r="L202" s="200">
        <v>0</v>
      </c>
      <c r="M202" s="201"/>
      <c r="N202" s="199">
        <v>2203</v>
      </c>
      <c r="O202" s="202">
        <v>3.7</v>
      </c>
      <c r="P202" s="203">
        <v>3.7</v>
      </c>
      <c r="Q202" s="203">
        <v>0</v>
      </c>
      <c r="R202" s="204">
        <v>2.4</v>
      </c>
      <c r="S202" s="203">
        <v>2.4</v>
      </c>
      <c r="T202" s="203">
        <v>0</v>
      </c>
      <c r="V202" s="198">
        <v>2203</v>
      </c>
      <c r="W202" s="202">
        <v>3.7</v>
      </c>
      <c r="X202" s="203">
        <v>3.7</v>
      </c>
      <c r="Y202" s="203">
        <v>0</v>
      </c>
      <c r="Z202" s="204">
        <v>2.4</v>
      </c>
      <c r="AA202" s="203">
        <v>2.4</v>
      </c>
      <c r="AB202" s="203">
        <v>0</v>
      </c>
      <c r="AD202" s="198">
        <v>2203</v>
      </c>
      <c r="AE202" s="202" t="s">
        <v>82</v>
      </c>
      <c r="AF202" s="203" t="s">
        <v>82</v>
      </c>
      <c r="AG202" s="203" t="s">
        <v>82</v>
      </c>
      <c r="AH202" s="204" t="s">
        <v>82</v>
      </c>
      <c r="AI202" s="203" t="s">
        <v>82</v>
      </c>
      <c r="AJ202" s="203" t="s">
        <v>82</v>
      </c>
    </row>
    <row customFormat="1" r="203" s="205" spans="1:36" x14ac:dyDescent="0.2">
      <c r="A203" s="193">
        <v>199</v>
      </c>
      <c r="B203" s="215">
        <v>3</v>
      </c>
      <c r="C203" s="195" t="s">
        <v>166</v>
      </c>
      <c r="D203" s="195">
        <v>6</v>
      </c>
      <c r="E203" s="195" t="s">
        <v>171</v>
      </c>
      <c r="F203" s="196">
        <v>44583</v>
      </c>
      <c r="G203" s="197" t="s">
        <v>9</v>
      </c>
      <c r="H203" s="198">
        <v>2204</v>
      </c>
      <c r="I203" s="196" t="s">
        <v>177</v>
      </c>
      <c r="J203" s="199">
        <v>800</v>
      </c>
      <c r="K203" s="198">
        <v>924</v>
      </c>
      <c r="L203" s="200">
        <v>0</v>
      </c>
      <c r="M203" s="201"/>
      <c r="N203" s="199">
        <v>2204</v>
      </c>
      <c r="O203" s="202">
        <v>3.5</v>
      </c>
      <c r="P203" s="203">
        <v>3.5</v>
      </c>
      <c r="Q203" s="203">
        <v>0</v>
      </c>
      <c r="R203" s="204">
        <v>2.2999999999999998</v>
      </c>
      <c r="S203" s="203">
        <v>2.2999999999999998</v>
      </c>
      <c r="T203" s="203">
        <v>0</v>
      </c>
      <c r="V203" s="198">
        <v>2204</v>
      </c>
      <c r="W203" s="202">
        <v>3.5</v>
      </c>
      <c r="X203" s="203">
        <v>3.5</v>
      </c>
      <c r="Y203" s="203">
        <v>0</v>
      </c>
      <c r="Z203" s="204">
        <v>2.2999999999999998</v>
      </c>
      <c r="AA203" s="203">
        <v>2.2999999999999998</v>
      </c>
      <c r="AB203" s="203">
        <v>0</v>
      </c>
      <c r="AD203" s="198">
        <v>2204</v>
      </c>
      <c r="AE203" s="202" t="s">
        <v>82</v>
      </c>
      <c r="AF203" s="203" t="s">
        <v>82</v>
      </c>
      <c r="AG203" s="203" t="s">
        <v>82</v>
      </c>
      <c r="AH203" s="204" t="s">
        <v>82</v>
      </c>
      <c r="AI203" s="203" t="s">
        <v>82</v>
      </c>
      <c r="AJ203" s="203" t="s">
        <v>82</v>
      </c>
    </row>
    <row customFormat="1" r="204" s="205" spans="1:36" x14ac:dyDescent="0.2">
      <c r="A204" s="193">
        <v>200</v>
      </c>
      <c r="B204" s="215">
        <v>3</v>
      </c>
      <c r="C204" s="195" t="s">
        <v>166</v>
      </c>
      <c r="D204" s="195">
        <v>6</v>
      </c>
      <c r="E204" s="195" t="s">
        <v>171</v>
      </c>
      <c r="F204" s="196">
        <v>44590</v>
      </c>
      <c r="G204" s="197" t="s">
        <v>9</v>
      </c>
      <c r="H204" s="198">
        <v>2205</v>
      </c>
      <c r="I204" s="196" t="s">
        <v>177</v>
      </c>
      <c r="J204" s="199">
        <v>800</v>
      </c>
      <c r="K204" s="198">
        <v>924</v>
      </c>
      <c r="L204" s="200">
        <v>0</v>
      </c>
      <c r="M204" s="201"/>
      <c r="N204" s="199">
        <v>2205</v>
      </c>
      <c r="O204" s="202">
        <v>3.7</v>
      </c>
      <c r="P204" s="203">
        <v>3.7</v>
      </c>
      <c r="Q204" s="203">
        <v>0</v>
      </c>
      <c r="R204" s="204">
        <v>2.6</v>
      </c>
      <c r="S204" s="203">
        <v>2.6</v>
      </c>
      <c r="T204" s="203">
        <v>0</v>
      </c>
      <c r="V204" s="198">
        <v>2205</v>
      </c>
      <c r="W204" s="202">
        <v>3.7</v>
      </c>
      <c r="X204" s="203">
        <v>3.7</v>
      </c>
      <c r="Y204" s="203">
        <v>0</v>
      </c>
      <c r="Z204" s="204">
        <v>2.6</v>
      </c>
      <c r="AA204" s="203">
        <v>2.6</v>
      </c>
      <c r="AB204" s="203">
        <v>0</v>
      </c>
      <c r="AD204" s="198">
        <v>2205</v>
      </c>
      <c r="AE204" s="202" t="s">
        <v>82</v>
      </c>
      <c r="AF204" s="203" t="s">
        <v>82</v>
      </c>
      <c r="AG204" s="203" t="s">
        <v>82</v>
      </c>
      <c r="AH204" s="204" t="s">
        <v>82</v>
      </c>
      <c r="AI204" s="203" t="s">
        <v>82</v>
      </c>
      <c r="AJ204" s="203" t="s">
        <v>82</v>
      </c>
    </row>
    <row customFormat="1" r="205" s="205" spans="1:36" x14ac:dyDescent="0.2">
      <c r="A205" s="193">
        <v>201</v>
      </c>
      <c r="B205" s="215">
        <v>4</v>
      </c>
      <c r="C205" s="195" t="s">
        <v>178</v>
      </c>
      <c r="D205" s="195">
        <v>1</v>
      </c>
      <c r="E205" s="195" t="s">
        <v>179</v>
      </c>
      <c r="F205" s="196">
        <v>44021</v>
      </c>
      <c r="G205" s="197" t="s">
        <v>7</v>
      </c>
      <c r="H205" s="198">
        <v>2028</v>
      </c>
      <c r="I205" s="196" t="s">
        <v>180</v>
      </c>
      <c r="J205" s="199">
        <v>2100</v>
      </c>
      <c r="K205" s="198">
        <v>2153</v>
      </c>
      <c r="L205" s="200">
        <v>0</v>
      </c>
      <c r="M205" s="201"/>
      <c r="N205" s="199">
        <v>2028</v>
      </c>
      <c r="O205" s="202">
        <v>10.3</v>
      </c>
      <c r="P205" s="203">
        <v>7.9</v>
      </c>
      <c r="Q205" s="203">
        <v>2.4</v>
      </c>
      <c r="R205" s="204">
        <v>9.8000000000000007</v>
      </c>
      <c r="S205" s="203">
        <v>9.8000000000000007</v>
      </c>
      <c r="T205" s="203" t="s">
        <v>84</v>
      </c>
      <c r="V205" s="198">
        <v>2028</v>
      </c>
      <c r="W205" s="202">
        <v>10.199999999999999</v>
      </c>
      <c r="X205" s="203">
        <v>7.9</v>
      </c>
      <c r="Y205" s="203">
        <v>2.2999999999999998</v>
      </c>
      <c r="Z205" s="204">
        <v>9.8000000000000007</v>
      </c>
      <c r="AA205" s="203">
        <v>9.8000000000000007</v>
      </c>
      <c r="AB205" s="203" t="s">
        <v>84</v>
      </c>
      <c r="AD205" s="198">
        <v>2028</v>
      </c>
      <c r="AE205" s="202">
        <v>-0.10000000000000142</v>
      </c>
      <c r="AF205" s="203" t="s">
        <v>82</v>
      </c>
      <c r="AG205" s="203">
        <v>-0.10000000000000009</v>
      </c>
      <c r="AH205" s="204" t="s">
        <v>82</v>
      </c>
      <c r="AI205" s="203" t="s">
        <v>82</v>
      </c>
      <c r="AJ205" s="203" t="s">
        <v>82</v>
      </c>
    </row>
    <row customFormat="1" r="206" s="205" spans="1:36" x14ac:dyDescent="0.2">
      <c r="A206" s="193">
        <v>202</v>
      </c>
      <c r="B206" s="215">
        <v>4</v>
      </c>
      <c r="C206" s="195" t="s">
        <v>178</v>
      </c>
      <c r="D206" s="195">
        <v>1</v>
      </c>
      <c r="E206" s="195" t="s">
        <v>179</v>
      </c>
      <c r="F206" s="196">
        <v>44028</v>
      </c>
      <c r="G206" s="197" t="s">
        <v>7</v>
      </c>
      <c r="H206" s="198">
        <v>2029</v>
      </c>
      <c r="I206" s="196" t="s">
        <v>180</v>
      </c>
      <c r="J206" s="199">
        <v>2100</v>
      </c>
      <c r="K206" s="198">
        <v>2153</v>
      </c>
      <c r="L206" s="200">
        <v>0</v>
      </c>
      <c r="M206" s="201"/>
      <c r="N206" s="199">
        <v>2029</v>
      </c>
      <c r="O206" s="202">
        <v>11.3</v>
      </c>
      <c r="P206" s="203">
        <v>8.6</v>
      </c>
      <c r="Q206" s="203">
        <v>2.7</v>
      </c>
      <c r="R206" s="204">
        <v>10.1</v>
      </c>
      <c r="S206" s="203">
        <v>10.1</v>
      </c>
      <c r="T206" s="203" t="s">
        <v>84</v>
      </c>
      <c r="V206" s="198">
        <v>2029</v>
      </c>
      <c r="W206" s="202">
        <v>11.3</v>
      </c>
      <c r="X206" s="203">
        <v>8.6</v>
      </c>
      <c r="Y206" s="203">
        <v>2.7</v>
      </c>
      <c r="Z206" s="204">
        <v>10.1</v>
      </c>
      <c r="AA206" s="203">
        <v>10.1</v>
      </c>
      <c r="AB206" s="203" t="s">
        <v>84</v>
      </c>
      <c r="AD206" s="198">
        <v>2029</v>
      </c>
      <c r="AE206" s="202" t="s">
        <v>82</v>
      </c>
      <c r="AF206" s="203" t="s">
        <v>82</v>
      </c>
      <c r="AG206" s="203" t="s">
        <v>82</v>
      </c>
      <c r="AH206" s="204" t="s">
        <v>82</v>
      </c>
      <c r="AI206" s="203" t="s">
        <v>82</v>
      </c>
      <c r="AJ206" s="203" t="s">
        <v>82</v>
      </c>
    </row>
    <row customFormat="1" r="207" s="205" spans="1:36" x14ac:dyDescent="0.2">
      <c r="A207" s="193">
        <v>203</v>
      </c>
      <c r="B207" s="215">
        <v>4</v>
      </c>
      <c r="C207" s="195" t="s">
        <v>178</v>
      </c>
      <c r="D207" s="195">
        <v>1</v>
      </c>
      <c r="E207" s="195" t="s">
        <v>179</v>
      </c>
      <c r="F207" s="196">
        <v>44035</v>
      </c>
      <c r="G207" s="197" t="s">
        <v>7</v>
      </c>
      <c r="H207" s="198">
        <v>2030</v>
      </c>
      <c r="I207" s="196" t="s">
        <v>180</v>
      </c>
      <c r="J207" s="199">
        <v>2100</v>
      </c>
      <c r="K207" s="198">
        <v>2203</v>
      </c>
      <c r="L207" s="200">
        <v>0</v>
      </c>
      <c r="M207" s="201"/>
      <c r="N207" s="199">
        <v>2030</v>
      </c>
      <c r="O207" s="202">
        <v>10.199999999999999</v>
      </c>
      <c r="P207" s="203">
        <v>8.1</v>
      </c>
      <c r="Q207" s="203">
        <v>2.1</v>
      </c>
      <c r="R207" s="204">
        <v>10.5</v>
      </c>
      <c r="S207" s="203">
        <v>10.5</v>
      </c>
      <c r="T207" s="203" t="s">
        <v>84</v>
      </c>
      <c r="V207" s="198">
        <v>2030</v>
      </c>
      <c r="W207" s="202">
        <v>10.199999999999999</v>
      </c>
      <c r="X207" s="203">
        <v>8.1</v>
      </c>
      <c r="Y207" s="203">
        <v>2.1</v>
      </c>
      <c r="Z207" s="204">
        <v>10.5</v>
      </c>
      <c r="AA207" s="203">
        <v>10.5</v>
      </c>
      <c r="AB207" s="203" t="s">
        <v>84</v>
      </c>
      <c r="AD207" s="198">
        <v>2030</v>
      </c>
      <c r="AE207" s="202" t="s">
        <v>82</v>
      </c>
      <c r="AF207" s="203" t="s">
        <v>82</v>
      </c>
      <c r="AG207" s="203" t="s">
        <v>82</v>
      </c>
      <c r="AH207" s="204" t="s">
        <v>82</v>
      </c>
      <c r="AI207" s="203" t="s">
        <v>82</v>
      </c>
      <c r="AJ207" s="203" t="s">
        <v>82</v>
      </c>
    </row>
    <row customFormat="1" r="208" s="205" spans="1:36" x14ac:dyDescent="0.2">
      <c r="A208" s="193">
        <v>204</v>
      </c>
      <c r="B208" s="215">
        <v>4</v>
      </c>
      <c r="C208" s="195" t="s">
        <v>178</v>
      </c>
      <c r="D208" s="195">
        <v>1</v>
      </c>
      <c r="E208" s="195" t="s">
        <v>179</v>
      </c>
      <c r="F208" s="196">
        <v>44042</v>
      </c>
      <c r="G208" s="197" t="s">
        <v>7</v>
      </c>
      <c r="H208" s="198">
        <v>2031</v>
      </c>
      <c r="I208" s="196" t="s">
        <v>181</v>
      </c>
      <c r="J208" s="199">
        <v>2100</v>
      </c>
      <c r="K208" s="198">
        <v>2213</v>
      </c>
      <c r="L208" s="200">
        <v>0</v>
      </c>
      <c r="M208" s="201"/>
      <c r="N208" s="199">
        <v>2031</v>
      </c>
      <c r="O208" s="202">
        <v>10.3</v>
      </c>
      <c r="P208" s="203">
        <v>8.4</v>
      </c>
      <c r="Q208" s="203">
        <v>1.9</v>
      </c>
      <c r="R208" s="204">
        <v>10.3</v>
      </c>
      <c r="S208" s="203">
        <v>10.3</v>
      </c>
      <c r="T208" s="203" t="s">
        <v>84</v>
      </c>
      <c r="V208" s="198">
        <v>2031</v>
      </c>
      <c r="W208" s="202">
        <v>10.3</v>
      </c>
      <c r="X208" s="203">
        <v>8.4</v>
      </c>
      <c r="Y208" s="203">
        <v>1.9</v>
      </c>
      <c r="Z208" s="204">
        <v>10.3</v>
      </c>
      <c r="AA208" s="203">
        <v>10.3</v>
      </c>
      <c r="AB208" s="203" t="s">
        <v>84</v>
      </c>
      <c r="AD208" s="198">
        <v>2031</v>
      </c>
      <c r="AE208" s="202" t="s">
        <v>82</v>
      </c>
      <c r="AF208" s="203" t="s">
        <v>82</v>
      </c>
      <c r="AG208" s="203" t="s">
        <v>82</v>
      </c>
      <c r="AH208" s="204" t="s">
        <v>82</v>
      </c>
      <c r="AI208" s="203" t="s">
        <v>82</v>
      </c>
      <c r="AJ208" s="203" t="s">
        <v>82</v>
      </c>
    </row>
    <row customFormat="1" r="209" s="205" spans="1:36" x14ac:dyDescent="0.2">
      <c r="A209" s="193">
        <v>205</v>
      </c>
      <c r="B209" s="215">
        <v>4</v>
      </c>
      <c r="C209" s="195" t="s">
        <v>178</v>
      </c>
      <c r="D209" s="195">
        <v>1</v>
      </c>
      <c r="E209" s="195" t="s">
        <v>179</v>
      </c>
      <c r="F209" s="196">
        <v>44082</v>
      </c>
      <c r="G209" s="197" t="s">
        <v>5</v>
      </c>
      <c r="H209" s="198">
        <v>2037</v>
      </c>
      <c r="I209" s="196" t="s">
        <v>182</v>
      </c>
      <c r="J209" s="199">
        <v>800</v>
      </c>
      <c r="K209" s="198">
        <v>954</v>
      </c>
      <c r="L209" s="200">
        <v>0</v>
      </c>
      <c r="M209" s="201"/>
      <c r="N209" s="199">
        <v>2037</v>
      </c>
      <c r="O209" s="202">
        <v>6.7</v>
      </c>
      <c r="P209" s="203">
        <v>6.6</v>
      </c>
      <c r="Q209" s="203">
        <v>0.1</v>
      </c>
      <c r="R209" s="204">
        <v>3.3</v>
      </c>
      <c r="S209" s="203">
        <v>3.3</v>
      </c>
      <c r="T209" s="203">
        <v>0</v>
      </c>
      <c r="V209" s="198">
        <v>2037</v>
      </c>
      <c r="W209" s="202">
        <v>6.6</v>
      </c>
      <c r="X209" s="203">
        <v>6.6</v>
      </c>
      <c r="Y209" s="203">
        <v>0</v>
      </c>
      <c r="Z209" s="204">
        <v>3.3</v>
      </c>
      <c r="AA209" s="203">
        <v>3.3</v>
      </c>
      <c r="AB209" s="203">
        <v>0</v>
      </c>
      <c r="AD209" s="198">
        <v>2037</v>
      </c>
      <c r="AE209" s="202">
        <v>-0.10000000000000053</v>
      </c>
      <c r="AF209" s="203" t="s">
        <v>82</v>
      </c>
      <c r="AG209" s="203">
        <v>-0.1</v>
      </c>
      <c r="AH209" s="204" t="s">
        <v>82</v>
      </c>
      <c r="AI209" s="203" t="s">
        <v>82</v>
      </c>
      <c r="AJ209" s="203" t="s">
        <v>82</v>
      </c>
    </row>
    <row customFormat="1" r="210" s="205" spans="1:36" x14ac:dyDescent="0.2">
      <c r="A210" s="193">
        <v>206</v>
      </c>
      <c r="B210" s="215">
        <v>4</v>
      </c>
      <c r="C210" s="195" t="s">
        <v>178</v>
      </c>
      <c r="D210" s="195">
        <v>1</v>
      </c>
      <c r="E210" s="195" t="s">
        <v>179</v>
      </c>
      <c r="F210" s="196">
        <v>44089</v>
      </c>
      <c r="G210" s="197" t="s">
        <v>5</v>
      </c>
      <c r="H210" s="198">
        <v>2038</v>
      </c>
      <c r="I210" s="196" t="s">
        <v>182</v>
      </c>
      <c r="J210" s="199">
        <v>800</v>
      </c>
      <c r="K210" s="198">
        <v>954</v>
      </c>
      <c r="L210" s="200">
        <v>0</v>
      </c>
      <c r="M210" s="201"/>
      <c r="N210" s="199">
        <v>2038</v>
      </c>
      <c r="O210" s="202">
        <v>6.7</v>
      </c>
      <c r="P210" s="203">
        <v>6.6</v>
      </c>
      <c r="Q210" s="203">
        <v>0.1</v>
      </c>
      <c r="R210" s="204">
        <v>3.4</v>
      </c>
      <c r="S210" s="203">
        <v>3.4</v>
      </c>
      <c r="T210" s="203">
        <v>0</v>
      </c>
      <c r="V210" s="198">
        <v>2038</v>
      </c>
      <c r="W210" s="202">
        <v>6.6</v>
      </c>
      <c r="X210" s="203">
        <v>6.6</v>
      </c>
      <c r="Y210" s="203">
        <v>0</v>
      </c>
      <c r="Z210" s="204">
        <v>3.4</v>
      </c>
      <c r="AA210" s="203">
        <v>3.4</v>
      </c>
      <c r="AB210" s="203">
        <v>0</v>
      </c>
      <c r="AD210" s="198">
        <v>2038</v>
      </c>
      <c r="AE210" s="202">
        <v>-0.10000000000000053</v>
      </c>
      <c r="AF210" s="203" t="s">
        <v>82</v>
      </c>
      <c r="AG210" s="203">
        <v>-0.1</v>
      </c>
      <c r="AH210" s="204" t="s">
        <v>82</v>
      </c>
      <c r="AI210" s="203" t="s">
        <v>82</v>
      </c>
      <c r="AJ210" s="203" t="s">
        <v>82</v>
      </c>
    </row>
    <row customFormat="1" r="211" s="205" spans="1:36" x14ac:dyDescent="0.2">
      <c r="A211" s="193">
        <v>207</v>
      </c>
      <c r="B211" s="215">
        <v>4</v>
      </c>
      <c r="C211" s="195" t="s">
        <v>178</v>
      </c>
      <c r="D211" s="195">
        <v>1</v>
      </c>
      <c r="E211" s="195" t="s">
        <v>179</v>
      </c>
      <c r="F211" s="196">
        <v>44096</v>
      </c>
      <c r="G211" s="197" t="s">
        <v>5</v>
      </c>
      <c r="H211" s="198">
        <v>2039</v>
      </c>
      <c r="I211" s="196" t="s">
        <v>182</v>
      </c>
      <c r="J211" s="199">
        <v>800</v>
      </c>
      <c r="K211" s="198">
        <v>954</v>
      </c>
      <c r="L211" s="200">
        <v>0</v>
      </c>
      <c r="M211" s="201"/>
      <c r="N211" s="199">
        <v>2039</v>
      </c>
      <c r="O211" s="202">
        <v>6.4</v>
      </c>
      <c r="P211" s="203">
        <v>6.3</v>
      </c>
      <c r="Q211" s="203">
        <v>0.1</v>
      </c>
      <c r="R211" s="204">
        <v>3.2</v>
      </c>
      <c r="S211" s="203">
        <v>3.2</v>
      </c>
      <c r="T211" s="203">
        <v>0</v>
      </c>
      <c r="V211" s="198">
        <v>2039</v>
      </c>
      <c r="W211" s="202">
        <v>6.3</v>
      </c>
      <c r="X211" s="203">
        <v>6.3</v>
      </c>
      <c r="Y211" s="203">
        <v>0</v>
      </c>
      <c r="Z211" s="204">
        <v>3.2</v>
      </c>
      <c r="AA211" s="203">
        <v>3.2</v>
      </c>
      <c r="AB211" s="203">
        <v>0</v>
      </c>
      <c r="AD211" s="198">
        <v>2039</v>
      </c>
      <c r="AE211" s="202">
        <v>-0.10000000000000053</v>
      </c>
      <c r="AF211" s="203" t="s">
        <v>82</v>
      </c>
      <c r="AG211" s="203">
        <v>-0.1</v>
      </c>
      <c r="AH211" s="204" t="s">
        <v>82</v>
      </c>
      <c r="AI211" s="203" t="s">
        <v>82</v>
      </c>
      <c r="AJ211" s="203" t="s">
        <v>82</v>
      </c>
    </row>
    <row customFormat="1" r="212" s="205" spans="1:36" x14ac:dyDescent="0.2">
      <c r="A212" s="193">
        <v>208</v>
      </c>
      <c r="B212" s="215">
        <v>4</v>
      </c>
      <c r="C212" s="195" t="s">
        <v>178</v>
      </c>
      <c r="D212" s="195">
        <v>1</v>
      </c>
      <c r="E212" s="195" t="s">
        <v>179</v>
      </c>
      <c r="F212" s="196">
        <v>44103</v>
      </c>
      <c r="G212" s="197" t="s">
        <v>5</v>
      </c>
      <c r="H212" s="198">
        <v>2040</v>
      </c>
      <c r="I212" s="196" t="s">
        <v>182</v>
      </c>
      <c r="J212" s="199">
        <v>800</v>
      </c>
      <c r="K212" s="198">
        <v>954</v>
      </c>
      <c r="L212" s="200">
        <v>0</v>
      </c>
      <c r="M212" s="201"/>
      <c r="N212" s="199">
        <v>2040</v>
      </c>
      <c r="O212" s="202">
        <v>6.7</v>
      </c>
      <c r="P212" s="203">
        <v>6.6</v>
      </c>
      <c r="Q212" s="203">
        <v>0.1</v>
      </c>
      <c r="R212" s="204">
        <v>3.5</v>
      </c>
      <c r="S212" s="203">
        <v>3.5</v>
      </c>
      <c r="T212" s="203">
        <v>0</v>
      </c>
      <c r="V212" s="198">
        <v>2040</v>
      </c>
      <c r="W212" s="202">
        <v>6.6</v>
      </c>
      <c r="X212" s="203">
        <v>6.6</v>
      </c>
      <c r="Y212" s="203">
        <v>0</v>
      </c>
      <c r="Z212" s="204">
        <v>3.5</v>
      </c>
      <c r="AA212" s="203">
        <v>3.5</v>
      </c>
      <c r="AB212" s="203">
        <v>0</v>
      </c>
      <c r="AD212" s="198">
        <v>2040</v>
      </c>
      <c r="AE212" s="202">
        <v>-0.10000000000000053</v>
      </c>
      <c r="AF212" s="203" t="s">
        <v>82</v>
      </c>
      <c r="AG212" s="203">
        <v>-0.1</v>
      </c>
      <c r="AH212" s="204" t="s">
        <v>82</v>
      </c>
      <c r="AI212" s="203" t="s">
        <v>82</v>
      </c>
      <c r="AJ212" s="203" t="s">
        <v>82</v>
      </c>
    </row>
    <row customFormat="1" r="213" s="205" spans="1:36" x14ac:dyDescent="0.2">
      <c r="A213" s="193">
        <v>209</v>
      </c>
      <c r="B213" s="215">
        <v>4</v>
      </c>
      <c r="C213" s="195" t="s">
        <v>178</v>
      </c>
      <c r="D213" s="195">
        <v>1</v>
      </c>
      <c r="E213" s="195" t="s">
        <v>179</v>
      </c>
      <c r="F213" s="196">
        <v>44367</v>
      </c>
      <c r="G213" s="197" t="s">
        <v>10</v>
      </c>
      <c r="H213" s="198">
        <v>2125</v>
      </c>
      <c r="I213" s="196" t="s">
        <v>145</v>
      </c>
      <c r="J213" s="199">
        <v>1900</v>
      </c>
      <c r="K213" s="198">
        <v>1957</v>
      </c>
      <c r="L213" s="200">
        <v>0</v>
      </c>
      <c r="M213" s="201"/>
      <c r="N213" s="199">
        <v>2125</v>
      </c>
      <c r="O213" s="202">
        <v>8.1</v>
      </c>
      <c r="P213" s="203">
        <v>7.7</v>
      </c>
      <c r="Q213" s="203">
        <v>0.4</v>
      </c>
      <c r="R213" s="204">
        <v>9.1</v>
      </c>
      <c r="S213" s="203">
        <v>9.1</v>
      </c>
      <c r="T213" s="203" t="s">
        <v>84</v>
      </c>
      <c r="V213" s="198">
        <v>2125</v>
      </c>
      <c r="W213" s="202">
        <v>7.9</v>
      </c>
      <c r="X213" s="203">
        <v>7.7</v>
      </c>
      <c r="Y213" s="203">
        <v>0.2</v>
      </c>
      <c r="Z213" s="204">
        <v>9.1</v>
      </c>
      <c r="AA213" s="203">
        <v>9.1</v>
      </c>
      <c r="AB213" s="203" t="s">
        <v>84</v>
      </c>
      <c r="AD213" s="198">
        <v>2125</v>
      </c>
      <c r="AE213" s="202">
        <v>-0.19999999999999929</v>
      </c>
      <c r="AF213" s="203" t="s">
        <v>82</v>
      </c>
      <c r="AG213" s="203">
        <v>-0.2</v>
      </c>
      <c r="AH213" s="204" t="s">
        <v>82</v>
      </c>
      <c r="AI213" s="203" t="s">
        <v>82</v>
      </c>
      <c r="AJ213" s="203" t="s">
        <v>82</v>
      </c>
    </row>
    <row customFormat="1" r="214" s="205" spans="1:36" x14ac:dyDescent="0.2">
      <c r="A214" s="193">
        <v>210</v>
      </c>
      <c r="B214" s="215">
        <v>4</v>
      </c>
      <c r="C214" s="195" t="s">
        <v>178</v>
      </c>
      <c r="D214" s="195">
        <v>1</v>
      </c>
      <c r="E214" s="195" t="s">
        <v>179</v>
      </c>
      <c r="F214" s="196">
        <v>44374</v>
      </c>
      <c r="G214" s="197" t="s">
        <v>10</v>
      </c>
      <c r="H214" s="198">
        <v>2126</v>
      </c>
      <c r="I214" s="196" t="s">
        <v>145</v>
      </c>
      <c r="J214" s="199">
        <v>1900</v>
      </c>
      <c r="K214" s="198">
        <v>1957</v>
      </c>
      <c r="L214" s="200">
        <v>0</v>
      </c>
      <c r="M214" s="201"/>
      <c r="N214" s="199">
        <v>2126</v>
      </c>
      <c r="O214" s="202">
        <v>7.8</v>
      </c>
      <c r="P214" s="203">
        <v>7.4</v>
      </c>
      <c r="Q214" s="203">
        <v>0.4</v>
      </c>
      <c r="R214" s="204">
        <v>8.5</v>
      </c>
      <c r="S214" s="203">
        <v>8.5</v>
      </c>
      <c r="T214" s="203" t="s">
        <v>84</v>
      </c>
      <c r="V214" s="198">
        <v>2126</v>
      </c>
      <c r="W214" s="202">
        <v>7.6</v>
      </c>
      <c r="X214" s="203">
        <v>7.4</v>
      </c>
      <c r="Y214" s="203">
        <v>0.2</v>
      </c>
      <c r="Z214" s="204">
        <v>8.5</v>
      </c>
      <c r="AA214" s="203">
        <v>8.5</v>
      </c>
      <c r="AB214" s="203" t="s">
        <v>84</v>
      </c>
      <c r="AD214" s="198">
        <v>2126</v>
      </c>
      <c r="AE214" s="202">
        <v>-0.20000000000000018</v>
      </c>
      <c r="AF214" s="203" t="s">
        <v>82</v>
      </c>
      <c r="AG214" s="203">
        <v>-0.2</v>
      </c>
      <c r="AH214" s="204" t="s">
        <v>82</v>
      </c>
      <c r="AI214" s="203" t="s">
        <v>82</v>
      </c>
      <c r="AJ214" s="203" t="s">
        <v>82</v>
      </c>
    </row>
    <row customFormat="1" r="215" s="205" spans="1:36" x14ac:dyDescent="0.2">
      <c r="A215" s="193">
        <v>211</v>
      </c>
      <c r="B215" s="215">
        <v>4</v>
      </c>
      <c r="C215" s="195" t="s">
        <v>178</v>
      </c>
      <c r="D215" s="195">
        <v>1</v>
      </c>
      <c r="E215" s="195" t="s">
        <v>179</v>
      </c>
      <c r="F215" s="196">
        <v>44381</v>
      </c>
      <c r="G215" s="197" t="s">
        <v>10</v>
      </c>
      <c r="H215" s="198">
        <v>2127</v>
      </c>
      <c r="I215" s="196" t="s">
        <v>183</v>
      </c>
      <c r="J215" s="199">
        <v>1055</v>
      </c>
      <c r="K215" s="198">
        <v>1149</v>
      </c>
      <c r="L215" s="200">
        <v>0</v>
      </c>
      <c r="M215" s="201"/>
      <c r="N215" s="199">
        <v>2127</v>
      </c>
      <c r="O215" s="202">
        <v>5.0999999999999996</v>
      </c>
      <c r="P215" s="203">
        <v>4.3</v>
      </c>
      <c r="Q215" s="203">
        <v>0.8</v>
      </c>
      <c r="R215" s="204">
        <v>5.0999999999999996</v>
      </c>
      <c r="S215" s="203">
        <v>5.0999999999999996</v>
      </c>
      <c r="T215" s="203">
        <v>0</v>
      </c>
      <c r="V215" s="198">
        <v>2127</v>
      </c>
      <c r="W215" s="202">
        <v>4.4000000000000004</v>
      </c>
      <c r="X215" s="203">
        <v>4.3</v>
      </c>
      <c r="Y215" s="203">
        <v>0.1</v>
      </c>
      <c r="Z215" s="204">
        <v>5.0999999999999996</v>
      </c>
      <c r="AA215" s="203">
        <v>5.0999999999999996</v>
      </c>
      <c r="AB215" s="203">
        <v>0</v>
      </c>
      <c r="AD215" s="198">
        <v>2127</v>
      </c>
      <c r="AE215" s="202">
        <v>-0.69999999999999929</v>
      </c>
      <c r="AF215" s="203" t="s">
        <v>82</v>
      </c>
      <c r="AG215" s="203">
        <v>-0.70000000000000007</v>
      </c>
      <c r="AH215" s="204" t="s">
        <v>82</v>
      </c>
      <c r="AI215" s="203" t="s">
        <v>82</v>
      </c>
      <c r="AJ215" s="203" t="s">
        <v>82</v>
      </c>
    </row>
    <row customFormat="1" r="216" s="205" spans="1:36" x14ac:dyDescent="0.2">
      <c r="A216" s="193">
        <v>212</v>
      </c>
      <c r="B216" s="215">
        <v>4</v>
      </c>
      <c r="C216" s="195" t="s">
        <v>178</v>
      </c>
      <c r="D216" s="195">
        <v>1</v>
      </c>
      <c r="E216" s="195" t="s">
        <v>179</v>
      </c>
      <c r="F216" s="196">
        <v>44381</v>
      </c>
      <c r="G216" s="197" t="s">
        <v>10</v>
      </c>
      <c r="H216" s="198">
        <v>2127</v>
      </c>
      <c r="I216" s="196" t="s">
        <v>184</v>
      </c>
      <c r="J216" s="199">
        <v>1900</v>
      </c>
      <c r="K216" s="198">
        <v>2055</v>
      </c>
      <c r="L216" s="200">
        <v>0</v>
      </c>
      <c r="M216" s="201"/>
      <c r="N216" s="199">
        <v>2127</v>
      </c>
      <c r="O216" s="202">
        <v>8.5</v>
      </c>
      <c r="P216" s="203">
        <v>8.1999999999999993</v>
      </c>
      <c r="Q216" s="203">
        <v>0.3</v>
      </c>
      <c r="R216" s="204">
        <v>6.6</v>
      </c>
      <c r="S216" s="203">
        <v>6.6</v>
      </c>
      <c r="T216" s="203">
        <v>0</v>
      </c>
      <c r="V216" s="198">
        <v>2127</v>
      </c>
      <c r="W216" s="202">
        <v>8.4</v>
      </c>
      <c r="X216" s="203">
        <v>8.1999999999999993</v>
      </c>
      <c r="Y216" s="203">
        <v>0.2</v>
      </c>
      <c r="Z216" s="204">
        <v>6.6</v>
      </c>
      <c r="AA216" s="203">
        <v>6.6</v>
      </c>
      <c r="AB216" s="203">
        <v>0</v>
      </c>
      <c r="AD216" s="198">
        <v>2127</v>
      </c>
      <c r="AE216" s="202">
        <v>-9.9999999999999645E-2</v>
      </c>
      <c r="AF216" s="203" t="s">
        <v>82</v>
      </c>
      <c r="AG216" s="203">
        <v>-9.9999999999999978E-2</v>
      </c>
      <c r="AH216" s="204" t="s">
        <v>82</v>
      </c>
      <c r="AI216" s="203" t="s">
        <v>82</v>
      </c>
      <c r="AJ216" s="203" t="s">
        <v>82</v>
      </c>
    </row>
    <row customFormat="1" r="217" s="205" spans="1:36" x14ac:dyDescent="0.2">
      <c r="A217" s="193">
        <v>213</v>
      </c>
      <c r="B217" s="215">
        <v>4</v>
      </c>
      <c r="C217" s="195" t="s">
        <v>178</v>
      </c>
      <c r="D217" s="195">
        <v>1</v>
      </c>
      <c r="E217" s="195" t="s">
        <v>179</v>
      </c>
      <c r="F217" s="196">
        <v>44388</v>
      </c>
      <c r="G217" s="197" t="s">
        <v>10</v>
      </c>
      <c r="H217" s="198">
        <v>2128</v>
      </c>
      <c r="I217" s="196" t="s">
        <v>183</v>
      </c>
      <c r="J217" s="199">
        <v>1055</v>
      </c>
      <c r="K217" s="198">
        <v>1149</v>
      </c>
      <c r="L217" s="200">
        <v>0</v>
      </c>
      <c r="M217" s="201"/>
      <c r="N217" s="199">
        <v>2128</v>
      </c>
      <c r="O217" s="202">
        <v>5.0999999999999996</v>
      </c>
      <c r="P217" s="203">
        <v>4.3</v>
      </c>
      <c r="Q217" s="203">
        <v>0.8</v>
      </c>
      <c r="R217" s="204">
        <v>4.8</v>
      </c>
      <c r="S217" s="203">
        <v>4.8</v>
      </c>
      <c r="T217" s="203">
        <v>0</v>
      </c>
      <c r="V217" s="198">
        <v>2128</v>
      </c>
      <c r="W217" s="202">
        <v>4.4000000000000004</v>
      </c>
      <c r="X217" s="203">
        <v>4.3</v>
      </c>
      <c r="Y217" s="203">
        <v>0.1</v>
      </c>
      <c r="Z217" s="204">
        <v>4.8</v>
      </c>
      <c r="AA217" s="203">
        <v>4.8</v>
      </c>
      <c r="AB217" s="203">
        <v>0</v>
      </c>
      <c r="AD217" s="198">
        <v>2128</v>
      </c>
      <c r="AE217" s="202">
        <v>-0.69999999999999929</v>
      </c>
      <c r="AF217" s="203" t="s">
        <v>82</v>
      </c>
      <c r="AG217" s="203">
        <v>-0.70000000000000007</v>
      </c>
      <c r="AH217" s="204" t="s">
        <v>82</v>
      </c>
      <c r="AI217" s="203" t="s">
        <v>82</v>
      </c>
      <c r="AJ217" s="203" t="s">
        <v>82</v>
      </c>
    </row>
    <row customFormat="1" r="218" s="205" spans="1:36" x14ac:dyDescent="0.2">
      <c r="A218" s="193">
        <v>214</v>
      </c>
      <c r="B218" s="215">
        <v>4</v>
      </c>
      <c r="C218" s="195" t="s">
        <v>178</v>
      </c>
      <c r="D218" s="195">
        <v>1</v>
      </c>
      <c r="E218" s="195" t="s">
        <v>179</v>
      </c>
      <c r="F218" s="196">
        <v>44388</v>
      </c>
      <c r="G218" s="197" t="s">
        <v>10</v>
      </c>
      <c r="H218" s="198">
        <v>2128</v>
      </c>
      <c r="I218" s="196" t="s">
        <v>145</v>
      </c>
      <c r="J218" s="199">
        <v>1900</v>
      </c>
      <c r="K218" s="198">
        <v>1957</v>
      </c>
      <c r="L218" s="200">
        <v>0</v>
      </c>
      <c r="M218" s="201"/>
      <c r="N218" s="199">
        <v>2128</v>
      </c>
      <c r="O218" s="202">
        <v>6.8</v>
      </c>
      <c r="P218" s="203">
        <v>6.5</v>
      </c>
      <c r="Q218" s="203">
        <v>0.3</v>
      </c>
      <c r="R218" s="204">
        <v>7.6</v>
      </c>
      <c r="S218" s="203">
        <v>7.6</v>
      </c>
      <c r="T218" s="203" t="s">
        <v>84</v>
      </c>
      <c r="V218" s="198">
        <v>2128</v>
      </c>
      <c r="W218" s="202">
        <v>6.6</v>
      </c>
      <c r="X218" s="203">
        <v>6.5</v>
      </c>
      <c r="Y218" s="203">
        <v>0.1</v>
      </c>
      <c r="Z218" s="204">
        <v>7.6</v>
      </c>
      <c r="AA218" s="203">
        <v>7.6</v>
      </c>
      <c r="AB218" s="203" t="s">
        <v>84</v>
      </c>
      <c r="AD218" s="198">
        <v>2128</v>
      </c>
      <c r="AE218" s="202">
        <v>-0.20000000000000018</v>
      </c>
      <c r="AF218" s="203" t="s">
        <v>82</v>
      </c>
      <c r="AG218" s="203">
        <v>-0.19999999999999998</v>
      </c>
      <c r="AH218" s="204" t="s">
        <v>82</v>
      </c>
      <c r="AI218" s="203" t="s">
        <v>82</v>
      </c>
      <c r="AJ218" s="203" t="s">
        <v>82</v>
      </c>
    </row>
    <row customFormat="1" r="219" s="205" spans="1:36" x14ac:dyDescent="0.2">
      <c r="A219" s="193">
        <v>215</v>
      </c>
      <c r="B219" s="215">
        <v>4</v>
      </c>
      <c r="C219" s="195" t="s">
        <v>178</v>
      </c>
      <c r="D219" s="195">
        <v>1</v>
      </c>
      <c r="E219" s="195" t="s">
        <v>179</v>
      </c>
      <c r="F219" s="196">
        <v>44395</v>
      </c>
      <c r="G219" s="197" t="s">
        <v>10</v>
      </c>
      <c r="H219" s="198">
        <v>2129</v>
      </c>
      <c r="I219" s="196" t="s">
        <v>183</v>
      </c>
      <c r="J219" s="199">
        <v>1055</v>
      </c>
      <c r="K219" s="198">
        <v>1149</v>
      </c>
      <c r="L219" s="200">
        <v>0</v>
      </c>
      <c r="M219" s="201"/>
      <c r="N219" s="199">
        <v>2129</v>
      </c>
      <c r="O219" s="202">
        <v>4.8</v>
      </c>
      <c r="P219" s="203">
        <v>4.0999999999999996</v>
      </c>
      <c r="Q219" s="203">
        <v>0.7</v>
      </c>
      <c r="R219" s="204">
        <v>4.8</v>
      </c>
      <c r="S219" s="203">
        <v>4.8</v>
      </c>
      <c r="T219" s="203">
        <v>0</v>
      </c>
      <c r="V219" s="198">
        <v>2129</v>
      </c>
      <c r="W219" s="202">
        <v>4.0999999999999996</v>
      </c>
      <c r="X219" s="203">
        <v>4.0999999999999996</v>
      </c>
      <c r="Y219" s="203">
        <v>0</v>
      </c>
      <c r="Z219" s="204">
        <v>4.8</v>
      </c>
      <c r="AA219" s="203">
        <v>4.8</v>
      </c>
      <c r="AB219" s="203">
        <v>0</v>
      </c>
      <c r="AD219" s="198">
        <v>2129</v>
      </c>
      <c r="AE219" s="202">
        <v>-0.70000000000000018</v>
      </c>
      <c r="AF219" s="203" t="s">
        <v>82</v>
      </c>
      <c r="AG219" s="203">
        <v>-0.7</v>
      </c>
      <c r="AH219" s="204" t="s">
        <v>82</v>
      </c>
      <c r="AI219" s="203" t="s">
        <v>82</v>
      </c>
      <c r="AJ219" s="203" t="s">
        <v>82</v>
      </c>
    </row>
    <row customFormat="1" r="220" s="205" spans="1:36" x14ac:dyDescent="0.2">
      <c r="A220" s="193">
        <v>216</v>
      </c>
      <c r="B220" s="215">
        <v>4</v>
      </c>
      <c r="C220" s="195" t="s">
        <v>178</v>
      </c>
      <c r="D220" s="195">
        <v>1</v>
      </c>
      <c r="E220" s="195" t="s">
        <v>179</v>
      </c>
      <c r="F220" s="196">
        <v>44402</v>
      </c>
      <c r="G220" s="197" t="s">
        <v>10</v>
      </c>
      <c r="H220" s="198">
        <v>2130</v>
      </c>
      <c r="I220" s="196" t="s">
        <v>185</v>
      </c>
      <c r="J220" s="199">
        <v>1100</v>
      </c>
      <c r="K220" s="198">
        <v>1439</v>
      </c>
      <c r="L220" s="200">
        <v>0</v>
      </c>
      <c r="M220" s="201"/>
      <c r="N220" s="199">
        <v>2130</v>
      </c>
      <c r="O220" s="202">
        <v>4.5999999999999996</v>
      </c>
      <c r="P220" s="203">
        <v>4.4000000000000004</v>
      </c>
      <c r="Q220" s="203">
        <v>0.2</v>
      </c>
      <c r="R220" s="204">
        <v>3.9</v>
      </c>
      <c r="S220" s="203">
        <v>3.9</v>
      </c>
      <c r="T220" s="203">
        <v>0</v>
      </c>
      <c r="V220" s="198">
        <v>2130</v>
      </c>
      <c r="W220" s="202">
        <v>4.4000000000000004</v>
      </c>
      <c r="X220" s="203">
        <v>4.4000000000000004</v>
      </c>
      <c r="Y220" s="203">
        <v>0</v>
      </c>
      <c r="Z220" s="204">
        <v>3.9</v>
      </c>
      <c r="AA220" s="203">
        <v>3.9</v>
      </c>
      <c r="AB220" s="203">
        <v>0</v>
      </c>
      <c r="AD220" s="198">
        <v>2130</v>
      </c>
      <c r="AE220" s="202">
        <v>-0.19999999999999929</v>
      </c>
      <c r="AF220" s="203" t="s">
        <v>82</v>
      </c>
      <c r="AG220" s="203">
        <v>-0.2</v>
      </c>
      <c r="AH220" s="204" t="s">
        <v>82</v>
      </c>
      <c r="AI220" s="203" t="s">
        <v>82</v>
      </c>
      <c r="AJ220" s="203" t="s">
        <v>82</v>
      </c>
    </row>
    <row customFormat="1" r="221" s="205" spans="1:36" x14ac:dyDescent="0.2">
      <c r="A221" s="193">
        <v>217</v>
      </c>
      <c r="B221" s="215">
        <v>4</v>
      </c>
      <c r="C221" s="195" t="s">
        <v>178</v>
      </c>
      <c r="D221" s="195">
        <v>1</v>
      </c>
      <c r="E221" s="195" t="s">
        <v>179</v>
      </c>
      <c r="F221" s="196">
        <v>44545</v>
      </c>
      <c r="G221" s="197" t="s">
        <v>6</v>
      </c>
      <c r="H221" s="198">
        <v>2151</v>
      </c>
      <c r="I221" s="196" t="s">
        <v>186</v>
      </c>
      <c r="J221" s="199">
        <v>645</v>
      </c>
      <c r="K221" s="198">
        <v>759</v>
      </c>
      <c r="L221" s="200">
        <v>0</v>
      </c>
      <c r="M221" s="201"/>
      <c r="N221" s="199">
        <v>2151</v>
      </c>
      <c r="O221" s="202">
        <v>9.5</v>
      </c>
      <c r="P221" s="203">
        <v>9.4</v>
      </c>
      <c r="Q221" s="203">
        <v>0.1</v>
      </c>
      <c r="R221" s="204">
        <v>7.1</v>
      </c>
      <c r="S221" s="203">
        <v>7.1</v>
      </c>
      <c r="T221" s="203">
        <v>0</v>
      </c>
      <c r="V221" s="198">
        <v>2151</v>
      </c>
      <c r="W221" s="202">
        <v>9.4</v>
      </c>
      <c r="X221" s="203">
        <v>9.4</v>
      </c>
      <c r="Y221" s="203">
        <v>0</v>
      </c>
      <c r="Z221" s="204">
        <v>7.1</v>
      </c>
      <c r="AA221" s="203">
        <v>7.1</v>
      </c>
      <c r="AB221" s="203">
        <v>0</v>
      </c>
      <c r="AD221" s="198">
        <v>2151</v>
      </c>
      <c r="AE221" s="202">
        <v>-9.9999999999999645E-2</v>
      </c>
      <c r="AF221" s="203" t="s">
        <v>82</v>
      </c>
      <c r="AG221" s="203">
        <v>-0.1</v>
      </c>
      <c r="AH221" s="204" t="s">
        <v>82</v>
      </c>
      <c r="AI221" s="203" t="s">
        <v>82</v>
      </c>
      <c r="AJ221" s="203" t="s">
        <v>82</v>
      </c>
    </row>
    <row customFormat="1" r="222" s="205" spans="1:36" x14ac:dyDescent="0.2">
      <c r="A222" s="193">
        <v>218</v>
      </c>
      <c r="B222" s="215">
        <v>4</v>
      </c>
      <c r="C222" s="195" t="s">
        <v>178</v>
      </c>
      <c r="D222" s="195">
        <v>1</v>
      </c>
      <c r="E222" s="195" t="s">
        <v>179</v>
      </c>
      <c r="F222" s="196">
        <v>44552</v>
      </c>
      <c r="G222" s="197" t="s">
        <v>6</v>
      </c>
      <c r="H222" s="198">
        <v>2152</v>
      </c>
      <c r="I222" s="196" t="s">
        <v>186</v>
      </c>
      <c r="J222" s="199">
        <v>645</v>
      </c>
      <c r="K222" s="198">
        <v>759</v>
      </c>
      <c r="L222" s="200">
        <v>0</v>
      </c>
      <c r="M222" s="201"/>
      <c r="N222" s="199">
        <v>2152</v>
      </c>
      <c r="O222" s="202">
        <v>9.3000000000000007</v>
      </c>
      <c r="P222" s="203">
        <v>9.1999999999999993</v>
      </c>
      <c r="Q222" s="203">
        <v>0.1</v>
      </c>
      <c r="R222" s="204">
        <v>6.5</v>
      </c>
      <c r="S222" s="203">
        <v>6.4</v>
      </c>
      <c r="T222" s="203">
        <v>0.1</v>
      </c>
      <c r="V222" s="198">
        <v>2152</v>
      </c>
      <c r="W222" s="202">
        <v>9.3000000000000007</v>
      </c>
      <c r="X222" s="203">
        <v>9.1999999999999993</v>
      </c>
      <c r="Y222" s="203">
        <v>0.1</v>
      </c>
      <c r="Z222" s="204">
        <v>6.5</v>
      </c>
      <c r="AA222" s="203">
        <v>6.4</v>
      </c>
      <c r="AB222" s="203">
        <v>0.1</v>
      </c>
      <c r="AD222" s="198">
        <v>2152</v>
      </c>
      <c r="AE222" s="202"/>
      <c r="AF222" s="203" t="s">
        <v>82</v>
      </c>
      <c r="AG222" s="203" t="s">
        <v>82</v>
      </c>
      <c r="AH222" s="204" t="s">
        <v>82</v>
      </c>
      <c r="AI222" s="203" t="s">
        <v>82</v>
      </c>
      <c r="AJ222" s="203" t="s">
        <v>82</v>
      </c>
    </row>
    <row customFormat="1" r="223" s="205" spans="1:36" x14ac:dyDescent="0.2">
      <c r="A223" s="193">
        <v>219</v>
      </c>
      <c r="B223" s="215">
        <v>4</v>
      </c>
      <c r="C223" s="195" t="s">
        <v>178</v>
      </c>
      <c r="D223" s="195">
        <v>1</v>
      </c>
      <c r="E223" s="195" t="s">
        <v>179</v>
      </c>
      <c r="F223" s="196">
        <v>44559</v>
      </c>
      <c r="G223" s="197" t="s">
        <v>6</v>
      </c>
      <c r="H223" s="198">
        <v>2201</v>
      </c>
      <c r="I223" s="196" t="s">
        <v>187</v>
      </c>
      <c r="J223" s="199">
        <v>600</v>
      </c>
      <c r="K223" s="198">
        <v>759</v>
      </c>
      <c r="L223" s="200">
        <v>0</v>
      </c>
      <c r="M223" s="201"/>
      <c r="N223" s="199">
        <v>2201</v>
      </c>
      <c r="O223" s="202">
        <v>7.6</v>
      </c>
      <c r="P223" s="203">
        <v>7.5</v>
      </c>
      <c r="Q223" s="203">
        <v>0.1</v>
      </c>
      <c r="R223" s="204">
        <v>6.5</v>
      </c>
      <c r="S223" s="203">
        <v>6.4</v>
      </c>
      <c r="T223" s="203">
        <v>0.1</v>
      </c>
      <c r="V223" s="198">
        <v>2201</v>
      </c>
      <c r="W223" s="202">
        <v>7.6</v>
      </c>
      <c r="X223" s="203">
        <v>7.5</v>
      </c>
      <c r="Y223" s="203">
        <v>0.1</v>
      </c>
      <c r="Z223" s="204">
        <v>6.5</v>
      </c>
      <c r="AA223" s="203">
        <v>6.4</v>
      </c>
      <c r="AB223" s="203">
        <v>0.1</v>
      </c>
      <c r="AD223" s="198">
        <v>2201</v>
      </c>
      <c r="AE223" s="202" t="s">
        <v>82</v>
      </c>
      <c r="AF223" s="203" t="s">
        <v>82</v>
      </c>
      <c r="AG223" s="203" t="s">
        <v>82</v>
      </c>
      <c r="AH223" s="204" t="s">
        <v>82</v>
      </c>
      <c r="AI223" s="203" t="s">
        <v>82</v>
      </c>
      <c r="AJ223" s="203" t="s">
        <v>82</v>
      </c>
    </row>
    <row customFormat="1" r="224" s="205" spans="1:36" x14ac:dyDescent="0.2">
      <c r="A224" s="193">
        <v>220</v>
      </c>
      <c r="B224" s="215">
        <v>4</v>
      </c>
      <c r="C224" s="195" t="s">
        <v>178</v>
      </c>
      <c r="D224" s="195">
        <v>1</v>
      </c>
      <c r="E224" s="195" t="s">
        <v>179</v>
      </c>
      <c r="F224" s="196">
        <v>44566</v>
      </c>
      <c r="G224" s="197" t="s">
        <v>6</v>
      </c>
      <c r="H224" s="198">
        <v>2202</v>
      </c>
      <c r="I224" s="196" t="s">
        <v>186</v>
      </c>
      <c r="J224" s="199">
        <v>645</v>
      </c>
      <c r="K224" s="198">
        <v>759</v>
      </c>
      <c r="L224" s="200">
        <v>0</v>
      </c>
      <c r="M224" s="201"/>
      <c r="N224" s="199">
        <v>2202</v>
      </c>
      <c r="O224" s="202">
        <v>8</v>
      </c>
      <c r="P224" s="203">
        <v>7.9</v>
      </c>
      <c r="Q224" s="203">
        <v>0.1</v>
      </c>
      <c r="R224" s="204">
        <v>6.2</v>
      </c>
      <c r="S224" s="203">
        <v>6.1</v>
      </c>
      <c r="T224" s="203">
        <v>0.1</v>
      </c>
      <c r="V224" s="198">
        <v>2202</v>
      </c>
      <c r="W224" s="202">
        <v>8</v>
      </c>
      <c r="X224" s="203">
        <v>7.9</v>
      </c>
      <c r="Y224" s="203">
        <v>0.1</v>
      </c>
      <c r="Z224" s="204">
        <v>6.2</v>
      </c>
      <c r="AA224" s="203">
        <v>6.1</v>
      </c>
      <c r="AB224" s="203">
        <v>0.1</v>
      </c>
      <c r="AD224" s="198">
        <v>2202</v>
      </c>
      <c r="AE224" s="202" t="s">
        <v>82</v>
      </c>
      <c r="AF224" s="203" t="s">
        <v>82</v>
      </c>
      <c r="AG224" s="203" t="s">
        <v>82</v>
      </c>
      <c r="AH224" s="204"/>
      <c r="AI224" s="203" t="s">
        <v>82</v>
      </c>
      <c r="AJ224" s="203" t="s">
        <v>82</v>
      </c>
    </row>
    <row customFormat="1" r="225" s="205" spans="1:36" x14ac:dyDescent="0.2">
      <c r="A225" s="193">
        <v>221</v>
      </c>
      <c r="B225" s="215">
        <v>4</v>
      </c>
      <c r="C225" s="195" t="s">
        <v>178</v>
      </c>
      <c r="D225" s="195">
        <v>1</v>
      </c>
      <c r="E225" s="195" t="s">
        <v>179</v>
      </c>
      <c r="F225" s="196">
        <v>44640</v>
      </c>
      <c r="G225" s="197" t="s">
        <v>10</v>
      </c>
      <c r="H225" s="198">
        <v>2212</v>
      </c>
      <c r="I225" s="196" t="s">
        <v>188</v>
      </c>
      <c r="J225" s="199">
        <v>1530</v>
      </c>
      <c r="K225" s="198">
        <v>1629</v>
      </c>
      <c r="L225" s="200">
        <v>0</v>
      </c>
      <c r="M225" s="201"/>
      <c r="N225" s="199">
        <v>2212</v>
      </c>
      <c r="O225" s="202">
        <v>2.9</v>
      </c>
      <c r="P225" s="203">
        <v>2.8</v>
      </c>
      <c r="Q225" s="203">
        <v>0.1</v>
      </c>
      <c r="R225" s="204">
        <v>2.6</v>
      </c>
      <c r="S225" s="203">
        <v>2.5</v>
      </c>
      <c r="T225" s="203">
        <v>0.1</v>
      </c>
      <c r="V225" s="198">
        <v>2212</v>
      </c>
      <c r="W225" s="202">
        <v>2.9</v>
      </c>
      <c r="X225" s="203">
        <v>2.8</v>
      </c>
      <c r="Y225" s="203">
        <v>0.1</v>
      </c>
      <c r="Z225" s="204">
        <v>2.6</v>
      </c>
      <c r="AA225" s="203">
        <v>2.5</v>
      </c>
      <c r="AB225" s="203">
        <v>0.1</v>
      </c>
      <c r="AD225" s="198">
        <v>2212</v>
      </c>
      <c r="AE225" s="202" t="s">
        <v>82</v>
      </c>
      <c r="AF225" s="203" t="s">
        <v>82</v>
      </c>
      <c r="AG225" s="203" t="s">
        <v>82</v>
      </c>
      <c r="AH225" s="204" t="s">
        <v>82</v>
      </c>
      <c r="AI225" s="203" t="s">
        <v>82</v>
      </c>
      <c r="AJ225" s="203" t="s">
        <v>82</v>
      </c>
    </row>
    <row customFormat="1" r="226" s="205" spans="1:36" x14ac:dyDescent="0.2">
      <c r="A226" s="193">
        <v>222</v>
      </c>
      <c r="B226" s="215">
        <v>4</v>
      </c>
      <c r="C226" s="195" t="s">
        <v>178</v>
      </c>
      <c r="D226" s="195">
        <v>1</v>
      </c>
      <c r="E226" s="195" t="s">
        <v>179</v>
      </c>
      <c r="F226" s="196">
        <v>44647</v>
      </c>
      <c r="G226" s="197" t="s">
        <v>10</v>
      </c>
      <c r="H226" s="198">
        <v>2213</v>
      </c>
      <c r="I226" s="196" t="s">
        <v>189</v>
      </c>
      <c r="J226" s="199">
        <v>1355</v>
      </c>
      <c r="K226" s="198">
        <v>1629</v>
      </c>
      <c r="L226" s="200">
        <v>0</v>
      </c>
      <c r="M226" s="201"/>
      <c r="N226" s="199">
        <v>2213</v>
      </c>
      <c r="O226" s="202">
        <v>2.2999999999999998</v>
      </c>
      <c r="P226" s="203">
        <v>2.2000000000000002</v>
      </c>
      <c r="Q226" s="203">
        <v>0.1</v>
      </c>
      <c r="R226" s="204">
        <v>2.7</v>
      </c>
      <c r="S226" s="203">
        <v>2.7</v>
      </c>
      <c r="T226" s="203">
        <v>0</v>
      </c>
      <c r="V226" s="198">
        <v>2213</v>
      </c>
      <c r="W226" s="202">
        <v>2.2000000000000002</v>
      </c>
      <c r="X226" s="203">
        <v>2.2000000000000002</v>
      </c>
      <c r="Y226" s="203">
        <v>0</v>
      </c>
      <c r="Z226" s="204">
        <v>2.7</v>
      </c>
      <c r="AA226" s="203">
        <v>2.7</v>
      </c>
      <c r="AB226" s="203">
        <v>0</v>
      </c>
      <c r="AD226" s="198">
        <v>2213</v>
      </c>
      <c r="AE226" s="202">
        <v>-9.9999999999999645E-2</v>
      </c>
      <c r="AF226" s="203" t="s">
        <v>82</v>
      </c>
      <c r="AG226" s="203">
        <v>-0.1</v>
      </c>
      <c r="AH226" s="204" t="s">
        <v>82</v>
      </c>
      <c r="AI226" s="203" t="s">
        <v>82</v>
      </c>
      <c r="AJ226" s="203" t="s">
        <v>82</v>
      </c>
    </row>
    <row customFormat="1" r="227" s="205" spans="1:36" x14ac:dyDescent="0.2">
      <c r="A227" s="193">
        <v>223</v>
      </c>
      <c r="B227" s="215">
        <v>4</v>
      </c>
      <c r="C227" s="195" t="s">
        <v>178</v>
      </c>
      <c r="D227" s="195">
        <v>1</v>
      </c>
      <c r="E227" s="195" t="s">
        <v>179</v>
      </c>
      <c r="F227" s="196">
        <v>44654</v>
      </c>
      <c r="G227" s="197" t="s">
        <v>10</v>
      </c>
      <c r="H227" s="198">
        <v>2214</v>
      </c>
      <c r="I227" s="196" t="s">
        <v>190</v>
      </c>
      <c r="J227" s="199">
        <v>1530</v>
      </c>
      <c r="K227" s="198">
        <v>1629</v>
      </c>
      <c r="L227" s="200">
        <v>0</v>
      </c>
      <c r="M227" s="201"/>
      <c r="N227" s="199">
        <v>2214</v>
      </c>
      <c r="O227" s="202">
        <v>4.9000000000000004</v>
      </c>
      <c r="P227" s="203">
        <v>4.8</v>
      </c>
      <c r="Q227" s="203">
        <v>0.1</v>
      </c>
      <c r="R227" s="204">
        <v>3.7</v>
      </c>
      <c r="S227" s="203">
        <v>3.6</v>
      </c>
      <c r="T227" s="203">
        <v>0.1</v>
      </c>
      <c r="V227" s="198">
        <v>2214</v>
      </c>
      <c r="W227" s="202">
        <v>4.9000000000000004</v>
      </c>
      <c r="X227" s="203">
        <v>4.8</v>
      </c>
      <c r="Y227" s="203">
        <v>0.1</v>
      </c>
      <c r="Z227" s="204">
        <v>3.7</v>
      </c>
      <c r="AA227" s="203">
        <v>3.6</v>
      </c>
      <c r="AB227" s="203">
        <v>0.1</v>
      </c>
      <c r="AD227" s="198">
        <v>2214</v>
      </c>
      <c r="AE227" s="202"/>
      <c r="AF227" s="203" t="s">
        <v>82</v>
      </c>
      <c r="AG227" s="203" t="s">
        <v>82</v>
      </c>
      <c r="AH227" s="204" t="s">
        <v>82</v>
      </c>
      <c r="AI227" s="203" t="s">
        <v>82</v>
      </c>
      <c r="AJ227" s="203" t="s">
        <v>82</v>
      </c>
    </row>
    <row customFormat="1" r="228" s="205" spans="1:36" x14ac:dyDescent="0.2">
      <c r="A228" s="193">
        <v>224</v>
      </c>
      <c r="B228" s="215">
        <v>4</v>
      </c>
      <c r="C228" s="195" t="s">
        <v>178</v>
      </c>
      <c r="D228" s="195">
        <v>1</v>
      </c>
      <c r="E228" s="195" t="s">
        <v>179</v>
      </c>
      <c r="F228" s="196">
        <v>44661</v>
      </c>
      <c r="G228" s="197" t="s">
        <v>10</v>
      </c>
      <c r="H228" s="198">
        <v>2215</v>
      </c>
      <c r="I228" s="196" t="s">
        <v>191</v>
      </c>
      <c r="J228" s="199">
        <v>1355</v>
      </c>
      <c r="K228" s="198">
        <v>1618</v>
      </c>
      <c r="L228" s="200">
        <v>0</v>
      </c>
      <c r="M228" s="201"/>
      <c r="N228" s="199">
        <v>2215</v>
      </c>
      <c r="O228" s="202">
        <v>3.7</v>
      </c>
      <c r="P228" s="203">
        <v>3.6</v>
      </c>
      <c r="Q228" s="203">
        <v>0.1</v>
      </c>
      <c r="R228" s="204">
        <v>4.8</v>
      </c>
      <c r="S228" s="203">
        <v>4.8</v>
      </c>
      <c r="T228" s="203" t="s">
        <v>84</v>
      </c>
      <c r="V228" s="198">
        <v>2215</v>
      </c>
      <c r="W228" s="202">
        <v>3.7</v>
      </c>
      <c r="X228" s="203">
        <v>3.6</v>
      </c>
      <c r="Y228" s="203">
        <v>0.1</v>
      </c>
      <c r="Z228" s="204">
        <v>4.8</v>
      </c>
      <c r="AA228" s="203">
        <v>4.8</v>
      </c>
      <c r="AB228" s="203" t="s">
        <v>84</v>
      </c>
      <c r="AD228" s="198">
        <v>2215</v>
      </c>
      <c r="AE228" s="202" t="s">
        <v>82</v>
      </c>
      <c r="AF228" s="203" t="s">
        <v>82</v>
      </c>
      <c r="AG228" s="203" t="s">
        <v>82</v>
      </c>
      <c r="AH228" s="204" t="s">
        <v>82</v>
      </c>
      <c r="AI228" s="203" t="s">
        <v>82</v>
      </c>
      <c r="AJ228" s="203" t="s">
        <v>82</v>
      </c>
    </row>
    <row customFormat="1" r="229" s="205" spans="1:36" x14ac:dyDescent="0.2">
      <c r="A229" s="193">
        <v>225</v>
      </c>
      <c r="B229" s="215">
        <v>4</v>
      </c>
      <c r="C229" s="195" t="s">
        <v>178</v>
      </c>
      <c r="D229" s="195">
        <v>2</v>
      </c>
      <c r="E229" s="195" t="s">
        <v>192</v>
      </c>
      <c r="F229" s="196">
        <v>44013</v>
      </c>
      <c r="G229" s="197" t="s">
        <v>6</v>
      </c>
      <c r="H229" s="198">
        <v>2027</v>
      </c>
      <c r="I229" s="196" t="s">
        <v>193</v>
      </c>
      <c r="J229" s="199">
        <v>2525</v>
      </c>
      <c r="K229" s="198">
        <v>2629</v>
      </c>
      <c r="L229" s="200">
        <v>0</v>
      </c>
      <c r="M229" s="201"/>
      <c r="N229" s="199">
        <v>2027</v>
      </c>
      <c r="O229" s="202">
        <v>1</v>
      </c>
      <c r="P229" s="203">
        <v>0.9</v>
      </c>
      <c r="Q229" s="203">
        <v>0.1</v>
      </c>
      <c r="R229" s="204">
        <v>1.3</v>
      </c>
      <c r="S229" s="203">
        <v>1.3</v>
      </c>
      <c r="T229" s="203">
        <v>0</v>
      </c>
      <c r="V229" s="198">
        <v>2027</v>
      </c>
      <c r="W229" s="202">
        <v>0.9</v>
      </c>
      <c r="X229" s="203">
        <v>0.9</v>
      </c>
      <c r="Y229" s="203">
        <v>0</v>
      </c>
      <c r="Z229" s="204">
        <v>1.3</v>
      </c>
      <c r="AA229" s="203">
        <v>1.3</v>
      </c>
      <c r="AB229" s="203">
        <v>0</v>
      </c>
      <c r="AD229" s="198">
        <v>2027</v>
      </c>
      <c r="AE229" s="202">
        <v>-9.9999999999999978E-2</v>
      </c>
      <c r="AF229" s="203" t="s">
        <v>82</v>
      </c>
      <c r="AG229" s="203">
        <v>-0.1</v>
      </c>
      <c r="AH229" s="204" t="s">
        <v>82</v>
      </c>
      <c r="AI229" s="203" t="s">
        <v>82</v>
      </c>
      <c r="AJ229" s="203" t="s">
        <v>82</v>
      </c>
    </row>
    <row customFormat="1" r="230" s="205" spans="1:36" x14ac:dyDescent="0.2">
      <c r="A230" s="193">
        <v>226</v>
      </c>
      <c r="B230" s="215">
        <v>4</v>
      </c>
      <c r="C230" s="195" t="s">
        <v>178</v>
      </c>
      <c r="D230" s="195">
        <v>2</v>
      </c>
      <c r="E230" s="195" t="s">
        <v>192</v>
      </c>
      <c r="F230" s="196">
        <v>44020</v>
      </c>
      <c r="G230" s="197" t="s">
        <v>6</v>
      </c>
      <c r="H230" s="198">
        <v>2028</v>
      </c>
      <c r="I230" s="196" t="s">
        <v>193</v>
      </c>
      <c r="J230" s="199">
        <v>2525</v>
      </c>
      <c r="K230" s="198">
        <v>2629</v>
      </c>
      <c r="L230" s="200">
        <v>0</v>
      </c>
      <c r="M230" s="201"/>
      <c r="N230" s="199">
        <v>2028</v>
      </c>
      <c r="O230" s="202">
        <v>0.9</v>
      </c>
      <c r="P230" s="203">
        <v>0.9</v>
      </c>
      <c r="Q230" s="203">
        <v>0</v>
      </c>
      <c r="R230" s="204">
        <v>1.1000000000000001</v>
      </c>
      <c r="S230" s="203">
        <v>1.1000000000000001</v>
      </c>
      <c r="T230" s="203">
        <v>0</v>
      </c>
      <c r="V230" s="198">
        <v>2028</v>
      </c>
      <c r="W230" s="202">
        <v>0.9</v>
      </c>
      <c r="X230" s="203">
        <v>0.9</v>
      </c>
      <c r="Y230" s="203">
        <v>0</v>
      </c>
      <c r="Z230" s="204">
        <v>1.1000000000000001</v>
      </c>
      <c r="AA230" s="203">
        <v>1.1000000000000001</v>
      </c>
      <c r="AB230" s="203">
        <v>0</v>
      </c>
      <c r="AD230" s="198">
        <v>2028</v>
      </c>
      <c r="AE230" s="202" t="s">
        <v>82</v>
      </c>
      <c r="AF230" s="203" t="s">
        <v>82</v>
      </c>
      <c r="AG230" s="203" t="s">
        <v>82</v>
      </c>
      <c r="AH230" s="204" t="s">
        <v>82</v>
      </c>
      <c r="AI230" s="203" t="s">
        <v>82</v>
      </c>
      <c r="AJ230" s="203" t="s">
        <v>82</v>
      </c>
    </row>
    <row customFormat="1" r="231" s="205" spans="1:36" x14ac:dyDescent="0.2">
      <c r="A231" s="193">
        <v>227</v>
      </c>
      <c r="B231" s="215">
        <v>4</v>
      </c>
      <c r="C231" s="195" t="s">
        <v>178</v>
      </c>
      <c r="D231" s="195">
        <v>2</v>
      </c>
      <c r="E231" s="195" t="s">
        <v>192</v>
      </c>
      <c r="F231" s="196">
        <v>44027</v>
      </c>
      <c r="G231" s="197" t="s">
        <v>6</v>
      </c>
      <c r="H231" s="198">
        <v>2029</v>
      </c>
      <c r="I231" s="196" t="s">
        <v>193</v>
      </c>
      <c r="J231" s="199">
        <v>2525</v>
      </c>
      <c r="K231" s="198">
        <v>2629</v>
      </c>
      <c r="L231" s="200">
        <v>0</v>
      </c>
      <c r="M231" s="201"/>
      <c r="N231" s="199">
        <v>2029</v>
      </c>
      <c r="O231" s="202">
        <v>1</v>
      </c>
      <c r="P231" s="203">
        <v>0.9</v>
      </c>
      <c r="Q231" s="203">
        <v>0.1</v>
      </c>
      <c r="R231" s="204">
        <v>0.9</v>
      </c>
      <c r="S231" s="203">
        <v>0.9</v>
      </c>
      <c r="T231" s="203">
        <v>0</v>
      </c>
      <c r="V231" s="198">
        <v>2029</v>
      </c>
      <c r="W231" s="202">
        <v>0.9</v>
      </c>
      <c r="X231" s="203">
        <v>0.9</v>
      </c>
      <c r="Y231" s="203">
        <v>0</v>
      </c>
      <c r="Z231" s="204">
        <v>0.9</v>
      </c>
      <c r="AA231" s="203">
        <v>0.9</v>
      </c>
      <c r="AB231" s="203">
        <v>0</v>
      </c>
      <c r="AD231" s="198">
        <v>2029</v>
      </c>
      <c r="AE231" s="202">
        <v>-9.9999999999999978E-2</v>
      </c>
      <c r="AF231" s="203" t="s">
        <v>82</v>
      </c>
      <c r="AG231" s="203">
        <v>-0.1</v>
      </c>
      <c r="AH231" s="204" t="s">
        <v>82</v>
      </c>
      <c r="AI231" s="203" t="s">
        <v>82</v>
      </c>
      <c r="AJ231" s="203" t="s">
        <v>82</v>
      </c>
    </row>
    <row customFormat="1" r="232" s="205" spans="1:36" x14ac:dyDescent="0.2">
      <c r="A232" s="193">
        <v>228</v>
      </c>
      <c r="B232" s="215">
        <v>4</v>
      </c>
      <c r="C232" s="195" t="s">
        <v>178</v>
      </c>
      <c r="D232" s="195">
        <v>2</v>
      </c>
      <c r="E232" s="195" t="s">
        <v>192</v>
      </c>
      <c r="F232" s="196">
        <v>44034</v>
      </c>
      <c r="G232" s="197" t="s">
        <v>6</v>
      </c>
      <c r="H232" s="198">
        <v>2030</v>
      </c>
      <c r="I232" s="196" t="s">
        <v>193</v>
      </c>
      <c r="J232" s="199">
        <v>2525</v>
      </c>
      <c r="K232" s="198">
        <v>2629</v>
      </c>
      <c r="L232" s="200">
        <v>0</v>
      </c>
      <c r="M232" s="201"/>
      <c r="N232" s="199">
        <v>2030</v>
      </c>
      <c r="O232" s="202">
        <v>0.9</v>
      </c>
      <c r="P232" s="203">
        <v>0.8</v>
      </c>
      <c r="Q232" s="203">
        <v>0.1</v>
      </c>
      <c r="R232" s="204">
        <v>0.7</v>
      </c>
      <c r="S232" s="203">
        <v>0.7</v>
      </c>
      <c r="T232" s="203">
        <v>0</v>
      </c>
      <c r="V232" s="198">
        <v>2030</v>
      </c>
      <c r="W232" s="202">
        <v>0.8</v>
      </c>
      <c r="X232" s="203">
        <v>0.8</v>
      </c>
      <c r="Y232" s="203">
        <v>0</v>
      </c>
      <c r="Z232" s="204">
        <v>0.7</v>
      </c>
      <c r="AA232" s="203">
        <v>0.7</v>
      </c>
      <c r="AB232" s="203">
        <v>0</v>
      </c>
      <c r="AD232" s="198">
        <v>2030</v>
      </c>
      <c r="AE232" s="202">
        <v>-9.9999999999999978E-2</v>
      </c>
      <c r="AF232" s="203" t="s">
        <v>82</v>
      </c>
      <c r="AG232" s="203">
        <v>-0.1</v>
      </c>
      <c r="AH232" s="204" t="s">
        <v>82</v>
      </c>
      <c r="AI232" s="203" t="s">
        <v>82</v>
      </c>
      <c r="AJ232" s="203" t="s">
        <v>82</v>
      </c>
    </row>
    <row customFormat="1" r="233" s="205" spans="1:36" x14ac:dyDescent="0.2">
      <c r="A233" s="193">
        <v>229</v>
      </c>
      <c r="B233" s="215">
        <v>5</v>
      </c>
      <c r="C233" s="195" t="s">
        <v>194</v>
      </c>
      <c r="D233" s="195">
        <v>1</v>
      </c>
      <c r="E233" s="195" t="s">
        <v>195</v>
      </c>
      <c r="F233" s="196">
        <v>44193</v>
      </c>
      <c r="G233" s="197" t="s">
        <v>4</v>
      </c>
      <c r="H233" s="198">
        <v>2101</v>
      </c>
      <c r="I233" s="196" t="s">
        <v>196</v>
      </c>
      <c r="J233" s="199">
        <v>1900</v>
      </c>
      <c r="K233" s="198">
        <v>2256</v>
      </c>
      <c r="L233" s="200">
        <v>0</v>
      </c>
      <c r="M233" s="201"/>
      <c r="N233" s="199">
        <v>2101</v>
      </c>
      <c r="O233" s="202">
        <v>4.8</v>
      </c>
      <c r="P233" s="203">
        <v>4.5</v>
      </c>
      <c r="Q233" s="203">
        <v>0.3</v>
      </c>
      <c r="R233" s="204">
        <v>3.4</v>
      </c>
      <c r="S233" s="203">
        <v>3.3</v>
      </c>
      <c r="T233" s="203">
        <v>0.1</v>
      </c>
      <c r="V233" s="198">
        <v>2101</v>
      </c>
      <c r="W233" s="202">
        <v>4.8</v>
      </c>
      <c r="X233" s="203">
        <v>4.5</v>
      </c>
      <c r="Y233" s="203">
        <v>0.3</v>
      </c>
      <c r="Z233" s="204">
        <v>3.4</v>
      </c>
      <c r="AA233" s="203">
        <v>3.3</v>
      </c>
      <c r="AB233" s="203">
        <v>0.1</v>
      </c>
      <c r="AD233" s="198">
        <v>2101</v>
      </c>
      <c r="AE233" s="202" t="s">
        <v>82</v>
      </c>
      <c r="AF233" s="203" t="s">
        <v>82</v>
      </c>
      <c r="AG233" s="203" t="s">
        <v>82</v>
      </c>
      <c r="AH233" s="204" t="s">
        <v>82</v>
      </c>
      <c r="AI233" s="203" t="s">
        <v>82</v>
      </c>
      <c r="AJ233" s="203" t="s">
        <v>82</v>
      </c>
    </row>
    <row customFormat="1" r="234" s="205" spans="1:36" x14ac:dyDescent="0.2">
      <c r="A234" s="193">
        <v>230</v>
      </c>
      <c r="B234" s="215">
        <v>5</v>
      </c>
      <c r="C234" s="195" t="s">
        <v>194</v>
      </c>
      <c r="D234" s="195">
        <v>1</v>
      </c>
      <c r="E234" s="195" t="s">
        <v>195</v>
      </c>
      <c r="F234" s="196">
        <v>44200</v>
      </c>
      <c r="G234" s="197" t="s">
        <v>4</v>
      </c>
      <c r="H234" s="198">
        <v>2102</v>
      </c>
      <c r="I234" s="196" t="s">
        <v>197</v>
      </c>
      <c r="J234" s="199">
        <v>1900</v>
      </c>
      <c r="K234" s="198">
        <v>2256</v>
      </c>
      <c r="L234" s="200">
        <v>0</v>
      </c>
      <c r="M234" s="201"/>
      <c r="N234" s="199">
        <v>2102</v>
      </c>
      <c r="O234" s="202">
        <v>5.2</v>
      </c>
      <c r="P234" s="203">
        <v>4.9000000000000004</v>
      </c>
      <c r="Q234" s="203">
        <v>0.3</v>
      </c>
      <c r="R234" s="204">
        <v>4.0999999999999996</v>
      </c>
      <c r="S234" s="203">
        <v>3.9</v>
      </c>
      <c r="T234" s="203">
        <v>0.2</v>
      </c>
      <c r="V234" s="198">
        <v>2102</v>
      </c>
      <c r="W234" s="202">
        <v>5.2</v>
      </c>
      <c r="X234" s="203">
        <v>4.9000000000000004</v>
      </c>
      <c r="Y234" s="203">
        <v>0.3</v>
      </c>
      <c r="Z234" s="204">
        <v>4.0999999999999996</v>
      </c>
      <c r="AA234" s="203">
        <v>3.9</v>
      </c>
      <c r="AB234" s="203">
        <v>0.2</v>
      </c>
      <c r="AD234" s="198">
        <v>2102</v>
      </c>
      <c r="AE234" s="202" t="s">
        <v>82</v>
      </c>
      <c r="AF234" s="203" t="s">
        <v>82</v>
      </c>
      <c r="AG234" s="203" t="s">
        <v>82</v>
      </c>
      <c r="AH234" s="204" t="s">
        <v>82</v>
      </c>
      <c r="AI234" s="203" t="s">
        <v>82</v>
      </c>
      <c r="AJ234" s="203" t="s">
        <v>82</v>
      </c>
    </row>
    <row customFormat="1" r="235" s="205" spans="1:36" x14ac:dyDescent="0.2">
      <c r="A235" s="193">
        <v>231</v>
      </c>
      <c r="B235" s="215">
        <v>5</v>
      </c>
      <c r="C235" s="195" t="s">
        <v>194</v>
      </c>
      <c r="D235" s="195">
        <v>1</v>
      </c>
      <c r="E235" s="195" t="s">
        <v>195</v>
      </c>
      <c r="F235" s="196">
        <v>44207</v>
      </c>
      <c r="G235" s="197" t="s">
        <v>4</v>
      </c>
      <c r="H235" s="198">
        <v>2103</v>
      </c>
      <c r="I235" s="196" t="s">
        <v>198</v>
      </c>
      <c r="J235" s="199">
        <v>2100</v>
      </c>
      <c r="K235" s="198">
        <v>2256</v>
      </c>
      <c r="L235" s="200">
        <v>0</v>
      </c>
      <c r="M235" s="201"/>
      <c r="N235" s="199">
        <v>2103</v>
      </c>
      <c r="O235" s="202">
        <v>5.8</v>
      </c>
      <c r="P235" s="203">
        <v>5.3</v>
      </c>
      <c r="Q235" s="203">
        <v>0.5</v>
      </c>
      <c r="R235" s="204">
        <v>4.5</v>
      </c>
      <c r="S235" s="203">
        <v>4.2</v>
      </c>
      <c r="T235" s="203">
        <v>0.3</v>
      </c>
      <c r="V235" s="198">
        <v>2103</v>
      </c>
      <c r="W235" s="202">
        <v>5.7</v>
      </c>
      <c r="X235" s="203">
        <v>5.3</v>
      </c>
      <c r="Y235" s="203">
        <v>0.4</v>
      </c>
      <c r="Z235" s="204">
        <v>4.5</v>
      </c>
      <c r="AA235" s="203">
        <v>4.2</v>
      </c>
      <c r="AB235" s="203">
        <v>0.3</v>
      </c>
      <c r="AD235" s="198">
        <v>2103</v>
      </c>
      <c r="AE235" s="202">
        <v>-9.9999999999999645E-2</v>
      </c>
      <c r="AF235" s="203" t="s">
        <v>82</v>
      </c>
      <c r="AG235" s="203">
        <v>-9.9999999999999978E-2</v>
      </c>
      <c r="AH235" s="204" t="s">
        <v>82</v>
      </c>
      <c r="AI235" s="203" t="s">
        <v>82</v>
      </c>
      <c r="AJ235" s="203" t="s">
        <v>82</v>
      </c>
    </row>
    <row customFormat="1" r="236" s="205" spans="1:36" x14ac:dyDescent="0.2">
      <c r="A236" s="193">
        <v>232</v>
      </c>
      <c r="B236" s="215">
        <v>5</v>
      </c>
      <c r="C236" s="195" t="s">
        <v>194</v>
      </c>
      <c r="D236" s="195">
        <v>1</v>
      </c>
      <c r="E236" s="195" t="s">
        <v>195</v>
      </c>
      <c r="F236" s="196">
        <v>44214</v>
      </c>
      <c r="G236" s="197" t="s">
        <v>4</v>
      </c>
      <c r="H236" s="198">
        <v>2104</v>
      </c>
      <c r="I236" s="196" t="s">
        <v>199</v>
      </c>
      <c r="J236" s="199">
        <v>2100</v>
      </c>
      <c r="K236" s="198">
        <v>2256</v>
      </c>
      <c r="L236" s="200">
        <v>0</v>
      </c>
      <c r="M236" s="201"/>
      <c r="N236" s="199">
        <v>2104</v>
      </c>
      <c r="O236" s="202">
        <v>5.8</v>
      </c>
      <c r="P236" s="203">
        <v>5.4</v>
      </c>
      <c r="Q236" s="203">
        <v>0.4</v>
      </c>
      <c r="R236" s="204">
        <v>4.5</v>
      </c>
      <c r="S236" s="203">
        <v>4.2</v>
      </c>
      <c r="T236" s="203">
        <v>0.3</v>
      </c>
      <c r="V236" s="198">
        <v>2104</v>
      </c>
      <c r="W236" s="202">
        <v>5.8</v>
      </c>
      <c r="X236" s="203">
        <v>5.4</v>
      </c>
      <c r="Y236" s="203">
        <v>0.4</v>
      </c>
      <c r="Z236" s="204">
        <v>4.5</v>
      </c>
      <c r="AA236" s="203">
        <v>4.2</v>
      </c>
      <c r="AB236" s="203">
        <v>0.3</v>
      </c>
      <c r="AD236" s="198">
        <v>2104</v>
      </c>
      <c r="AE236" s="202"/>
      <c r="AF236" s="203" t="s">
        <v>82</v>
      </c>
      <c r="AG236" s="203" t="s">
        <v>82</v>
      </c>
      <c r="AH236" s="204" t="s">
        <v>82</v>
      </c>
      <c r="AI236" s="203" t="s">
        <v>82</v>
      </c>
      <c r="AJ236" s="203" t="s">
        <v>82</v>
      </c>
    </row>
    <row customFormat="1" r="237" s="205" spans="1:36" x14ac:dyDescent="0.2">
      <c r="A237" s="193">
        <v>233</v>
      </c>
      <c r="B237" s="215">
        <v>5</v>
      </c>
      <c r="C237" s="195" t="s">
        <v>194</v>
      </c>
      <c r="D237" s="195">
        <v>1</v>
      </c>
      <c r="E237" s="195" t="s">
        <v>195</v>
      </c>
      <c r="F237" s="196">
        <v>44338</v>
      </c>
      <c r="G237" s="197" t="s">
        <v>9</v>
      </c>
      <c r="H237" s="198">
        <v>2121</v>
      </c>
      <c r="I237" s="196" t="s">
        <v>200</v>
      </c>
      <c r="J237" s="199">
        <v>925</v>
      </c>
      <c r="K237" s="198">
        <v>926</v>
      </c>
      <c r="L237" s="200">
        <v>1</v>
      </c>
      <c r="M237" s="201"/>
      <c r="N237" s="199">
        <v>2121</v>
      </c>
      <c r="O237" s="202">
        <v>7.2</v>
      </c>
      <c r="P237" s="203">
        <v>4.7</v>
      </c>
      <c r="Q237" s="203">
        <v>2.5</v>
      </c>
      <c r="R237" s="204">
        <v>7.3</v>
      </c>
      <c r="S237" s="203">
        <v>4.8</v>
      </c>
      <c r="T237" s="203">
        <v>2.5</v>
      </c>
      <c r="V237" s="198">
        <v>2121</v>
      </c>
      <c r="W237" s="202">
        <v>4.7</v>
      </c>
      <c r="X237" s="203">
        <v>4.7</v>
      </c>
      <c r="Y237" s="203">
        <v>0</v>
      </c>
      <c r="Z237" s="204">
        <v>4.8</v>
      </c>
      <c r="AA237" s="203">
        <v>4.8</v>
      </c>
      <c r="AB237" s="203">
        <v>0</v>
      </c>
      <c r="AD237" s="198">
        <v>2121</v>
      </c>
      <c r="AE237" s="202">
        <v>-2.5</v>
      </c>
      <c r="AF237" s="203" t="s">
        <v>82</v>
      </c>
      <c r="AG237" s="203">
        <v>-2.5</v>
      </c>
      <c r="AH237" s="204">
        <v>-2.5</v>
      </c>
      <c r="AI237" s="203" t="s">
        <v>82</v>
      </c>
      <c r="AJ237" s="203">
        <v>-2.5</v>
      </c>
    </row>
    <row customFormat="1" r="238" s="205" spans="1:36" x14ac:dyDescent="0.2">
      <c r="A238" s="193">
        <v>234</v>
      </c>
      <c r="B238" s="215">
        <v>5</v>
      </c>
      <c r="C238" s="195" t="s">
        <v>194</v>
      </c>
      <c r="D238" s="195">
        <v>1</v>
      </c>
      <c r="E238" s="195" t="s">
        <v>195</v>
      </c>
      <c r="F238" s="196">
        <v>44338</v>
      </c>
      <c r="G238" s="197" t="s">
        <v>9</v>
      </c>
      <c r="H238" s="198">
        <v>2121</v>
      </c>
      <c r="I238" s="196" t="s">
        <v>201</v>
      </c>
      <c r="J238" s="199">
        <v>927</v>
      </c>
      <c r="K238" s="198">
        <v>929</v>
      </c>
      <c r="L238" s="200">
        <v>0</v>
      </c>
      <c r="M238" s="201"/>
      <c r="N238" s="199">
        <v>2121</v>
      </c>
      <c r="O238" s="202">
        <v>16.100000000000001</v>
      </c>
      <c r="P238" s="203">
        <v>4.9000000000000004</v>
      </c>
      <c r="Q238" s="203">
        <v>11.2</v>
      </c>
      <c r="R238" s="204">
        <v>5</v>
      </c>
      <c r="S238" s="203">
        <v>5</v>
      </c>
      <c r="T238" s="203">
        <v>0</v>
      </c>
      <c r="V238" s="198">
        <v>2121</v>
      </c>
      <c r="W238" s="202">
        <v>4.9000000000000004</v>
      </c>
      <c r="X238" s="203">
        <v>4.9000000000000004</v>
      </c>
      <c r="Y238" s="203">
        <v>0</v>
      </c>
      <c r="Z238" s="204">
        <v>5</v>
      </c>
      <c r="AA238" s="203">
        <v>5</v>
      </c>
      <c r="AB238" s="203">
        <v>0</v>
      </c>
      <c r="AD238" s="198">
        <v>2121</v>
      </c>
      <c r="AE238" s="202">
        <v>-11.200000000000001</v>
      </c>
      <c r="AF238" s="203" t="s">
        <v>82</v>
      </c>
      <c r="AG238" s="203">
        <v>-11.2</v>
      </c>
      <c r="AH238" s="204" t="s">
        <v>82</v>
      </c>
      <c r="AI238" s="203" t="s">
        <v>82</v>
      </c>
      <c r="AJ238" s="203" t="s">
        <v>82</v>
      </c>
    </row>
    <row customFormat="1" r="239" s="205" spans="1:36" x14ac:dyDescent="0.2">
      <c r="A239" s="193">
        <v>235</v>
      </c>
      <c r="B239" s="215">
        <v>5</v>
      </c>
      <c r="C239" s="195" t="s">
        <v>194</v>
      </c>
      <c r="D239" s="195">
        <v>1</v>
      </c>
      <c r="E239" s="195" t="s">
        <v>195</v>
      </c>
      <c r="F239" s="196">
        <v>44345</v>
      </c>
      <c r="G239" s="197" t="s">
        <v>9</v>
      </c>
      <c r="H239" s="198">
        <v>2122</v>
      </c>
      <c r="I239" s="196" t="s">
        <v>200</v>
      </c>
      <c r="J239" s="199">
        <v>925</v>
      </c>
      <c r="K239" s="198">
        <v>926</v>
      </c>
      <c r="L239" s="200">
        <v>1</v>
      </c>
      <c r="M239" s="201"/>
      <c r="N239" s="199">
        <v>2122</v>
      </c>
      <c r="O239" s="202">
        <v>7.2</v>
      </c>
      <c r="P239" s="203">
        <v>4.7</v>
      </c>
      <c r="Q239" s="203">
        <v>2.5</v>
      </c>
      <c r="R239" s="204">
        <v>7.3</v>
      </c>
      <c r="S239" s="203">
        <v>4.8</v>
      </c>
      <c r="T239" s="203">
        <v>2.5</v>
      </c>
      <c r="V239" s="198">
        <v>2122</v>
      </c>
      <c r="W239" s="202">
        <v>4.7</v>
      </c>
      <c r="X239" s="203">
        <v>4.7</v>
      </c>
      <c r="Y239" s="203">
        <v>0</v>
      </c>
      <c r="Z239" s="204">
        <v>4.8</v>
      </c>
      <c r="AA239" s="203">
        <v>4.8</v>
      </c>
      <c r="AB239" s="203">
        <v>0</v>
      </c>
      <c r="AD239" s="198">
        <v>2122</v>
      </c>
      <c r="AE239" s="202">
        <v>-2.5</v>
      </c>
      <c r="AF239" s="203" t="s">
        <v>82</v>
      </c>
      <c r="AG239" s="203">
        <v>-2.5</v>
      </c>
      <c r="AH239" s="204">
        <v>-2.5</v>
      </c>
      <c r="AI239" s="203" t="s">
        <v>82</v>
      </c>
      <c r="AJ239" s="203">
        <v>-2.5</v>
      </c>
    </row>
    <row customFormat="1" r="240" s="205" spans="1:36" x14ac:dyDescent="0.2">
      <c r="A240" s="193">
        <v>236</v>
      </c>
      <c r="B240" s="215">
        <v>5</v>
      </c>
      <c r="C240" s="195" t="s">
        <v>194</v>
      </c>
      <c r="D240" s="195">
        <v>1</v>
      </c>
      <c r="E240" s="195" t="s">
        <v>195</v>
      </c>
      <c r="F240" s="196">
        <v>44345</v>
      </c>
      <c r="G240" s="197" t="s">
        <v>9</v>
      </c>
      <c r="H240" s="198">
        <v>2122</v>
      </c>
      <c r="I240" s="196" t="s">
        <v>201</v>
      </c>
      <c r="J240" s="199">
        <v>927</v>
      </c>
      <c r="K240" s="198">
        <v>929</v>
      </c>
      <c r="L240" s="200">
        <v>0</v>
      </c>
      <c r="M240" s="201"/>
      <c r="N240" s="199">
        <v>2122</v>
      </c>
      <c r="O240" s="202">
        <v>15.9</v>
      </c>
      <c r="P240" s="203">
        <v>4.7</v>
      </c>
      <c r="Q240" s="203">
        <v>11.2</v>
      </c>
      <c r="R240" s="204">
        <v>4.7</v>
      </c>
      <c r="S240" s="203">
        <v>4.7</v>
      </c>
      <c r="T240" s="203">
        <v>0</v>
      </c>
      <c r="V240" s="198">
        <v>2122</v>
      </c>
      <c r="W240" s="202">
        <v>4.7</v>
      </c>
      <c r="X240" s="203">
        <v>4.7</v>
      </c>
      <c r="Y240" s="203">
        <v>0</v>
      </c>
      <c r="Z240" s="204">
        <v>4.7</v>
      </c>
      <c r="AA240" s="203">
        <v>4.7</v>
      </c>
      <c r="AB240" s="203">
        <v>0</v>
      </c>
      <c r="AD240" s="198">
        <v>2122</v>
      </c>
      <c r="AE240" s="202">
        <v>-11.2</v>
      </c>
      <c r="AF240" s="203" t="s">
        <v>82</v>
      </c>
      <c r="AG240" s="203">
        <v>-11.2</v>
      </c>
      <c r="AH240" s="204" t="s">
        <v>82</v>
      </c>
      <c r="AI240" s="203" t="s">
        <v>82</v>
      </c>
      <c r="AJ240" s="203" t="s">
        <v>82</v>
      </c>
    </row>
    <row customFormat="1" r="241" s="205" spans="1:36" x14ac:dyDescent="0.2">
      <c r="A241" s="193">
        <v>237</v>
      </c>
      <c r="B241" s="215">
        <v>5</v>
      </c>
      <c r="C241" s="195" t="s">
        <v>194</v>
      </c>
      <c r="D241" s="195">
        <v>1</v>
      </c>
      <c r="E241" s="195" t="s">
        <v>195</v>
      </c>
      <c r="F241" s="196">
        <v>44352</v>
      </c>
      <c r="G241" s="197" t="s">
        <v>9</v>
      </c>
      <c r="H241" s="198">
        <v>2123</v>
      </c>
      <c r="I241" s="196" t="s">
        <v>200</v>
      </c>
      <c r="J241" s="199">
        <v>925</v>
      </c>
      <c r="K241" s="198">
        <v>926</v>
      </c>
      <c r="L241" s="200">
        <v>1</v>
      </c>
      <c r="M241" s="201"/>
      <c r="N241" s="199">
        <v>2123</v>
      </c>
      <c r="O241" s="202">
        <v>7</v>
      </c>
      <c r="P241" s="203">
        <v>4.5</v>
      </c>
      <c r="Q241" s="203">
        <v>2.5</v>
      </c>
      <c r="R241" s="204">
        <v>7</v>
      </c>
      <c r="S241" s="203">
        <v>4.5</v>
      </c>
      <c r="T241" s="203">
        <v>2.5</v>
      </c>
      <c r="V241" s="198">
        <v>2123</v>
      </c>
      <c r="W241" s="202">
        <v>4.5</v>
      </c>
      <c r="X241" s="203">
        <v>4.5</v>
      </c>
      <c r="Y241" s="203">
        <v>0</v>
      </c>
      <c r="Z241" s="204">
        <v>4.5</v>
      </c>
      <c r="AA241" s="203">
        <v>4.5</v>
      </c>
      <c r="AB241" s="203">
        <v>0</v>
      </c>
      <c r="AD241" s="198">
        <v>2123</v>
      </c>
      <c r="AE241" s="202">
        <v>-2.5</v>
      </c>
      <c r="AF241" s="203" t="s">
        <v>82</v>
      </c>
      <c r="AG241" s="203">
        <v>-2.5</v>
      </c>
      <c r="AH241" s="204">
        <v>-2.5</v>
      </c>
      <c r="AI241" s="203" t="s">
        <v>82</v>
      </c>
      <c r="AJ241" s="203">
        <v>-2.5</v>
      </c>
    </row>
    <row customFormat="1" r="242" s="205" spans="1:36" x14ac:dyDescent="0.2">
      <c r="A242" s="193">
        <v>238</v>
      </c>
      <c r="B242" s="215">
        <v>5</v>
      </c>
      <c r="C242" s="195" t="s">
        <v>194</v>
      </c>
      <c r="D242" s="195">
        <v>1</v>
      </c>
      <c r="E242" s="195" t="s">
        <v>195</v>
      </c>
      <c r="F242" s="196">
        <v>44352</v>
      </c>
      <c r="G242" s="197" t="s">
        <v>9</v>
      </c>
      <c r="H242" s="198">
        <v>2123</v>
      </c>
      <c r="I242" s="196" t="s">
        <v>201</v>
      </c>
      <c r="J242" s="199">
        <v>927</v>
      </c>
      <c r="K242" s="198">
        <v>929</v>
      </c>
      <c r="L242" s="200">
        <v>0</v>
      </c>
      <c r="M242" s="201"/>
      <c r="N242" s="199">
        <v>2123</v>
      </c>
      <c r="O242" s="202">
        <v>15.7</v>
      </c>
      <c r="P242" s="203">
        <v>4.5</v>
      </c>
      <c r="Q242" s="203">
        <v>11.2</v>
      </c>
      <c r="R242" s="204">
        <v>4.5999999999999996</v>
      </c>
      <c r="S242" s="203">
        <v>4.5999999999999996</v>
      </c>
      <c r="T242" s="203">
        <v>0</v>
      </c>
      <c r="V242" s="198">
        <v>2123</v>
      </c>
      <c r="W242" s="202">
        <v>4.5</v>
      </c>
      <c r="X242" s="203">
        <v>4.5</v>
      </c>
      <c r="Y242" s="203">
        <v>0</v>
      </c>
      <c r="Z242" s="204">
        <v>4.5999999999999996</v>
      </c>
      <c r="AA242" s="203">
        <v>4.5999999999999996</v>
      </c>
      <c r="AB242" s="203">
        <v>0</v>
      </c>
      <c r="AD242" s="198">
        <v>2123</v>
      </c>
      <c r="AE242" s="202">
        <v>-11.2</v>
      </c>
      <c r="AF242" s="203" t="s">
        <v>82</v>
      </c>
      <c r="AG242" s="203">
        <v>-11.2</v>
      </c>
      <c r="AH242" s="204" t="s">
        <v>82</v>
      </c>
      <c r="AI242" s="203" t="s">
        <v>82</v>
      </c>
      <c r="AJ242" s="203" t="s">
        <v>82</v>
      </c>
    </row>
    <row customFormat="1" r="243" s="205" spans="1:36" x14ac:dyDescent="0.2">
      <c r="A243" s="193">
        <v>239</v>
      </c>
      <c r="B243" s="215">
        <v>5</v>
      </c>
      <c r="C243" s="195" t="s">
        <v>194</v>
      </c>
      <c r="D243" s="195">
        <v>1</v>
      </c>
      <c r="E243" s="195" t="s">
        <v>195</v>
      </c>
      <c r="F243" s="196">
        <v>44359</v>
      </c>
      <c r="G243" s="197" t="s">
        <v>9</v>
      </c>
      <c r="H243" s="198">
        <v>2124</v>
      </c>
      <c r="I243" s="196" t="s">
        <v>200</v>
      </c>
      <c r="J243" s="199">
        <v>925</v>
      </c>
      <c r="K243" s="198">
        <v>926</v>
      </c>
      <c r="L243" s="200">
        <v>1</v>
      </c>
      <c r="M243" s="201"/>
      <c r="N243" s="199">
        <v>2124</v>
      </c>
      <c r="O243" s="202">
        <v>6.8</v>
      </c>
      <c r="P243" s="203">
        <v>4.3</v>
      </c>
      <c r="Q243" s="203">
        <v>2.5</v>
      </c>
      <c r="R243" s="204">
        <v>6.8</v>
      </c>
      <c r="S243" s="203">
        <v>4.3</v>
      </c>
      <c r="T243" s="203">
        <v>2.5</v>
      </c>
      <c r="V243" s="198">
        <v>2124</v>
      </c>
      <c r="W243" s="202">
        <v>4.3</v>
      </c>
      <c r="X243" s="203">
        <v>4.3</v>
      </c>
      <c r="Y243" s="203">
        <v>0</v>
      </c>
      <c r="Z243" s="204">
        <v>4.3</v>
      </c>
      <c r="AA243" s="203">
        <v>4.3</v>
      </c>
      <c r="AB243" s="203">
        <v>0</v>
      </c>
      <c r="AD243" s="198">
        <v>2124</v>
      </c>
      <c r="AE243" s="202">
        <v>-2.5</v>
      </c>
      <c r="AF243" s="203" t="s">
        <v>82</v>
      </c>
      <c r="AG243" s="203">
        <v>-2.5</v>
      </c>
      <c r="AH243" s="204">
        <v>-2.5</v>
      </c>
      <c r="AI243" s="203" t="s">
        <v>82</v>
      </c>
      <c r="AJ243" s="203">
        <v>-2.5</v>
      </c>
    </row>
    <row customFormat="1" r="244" s="205" spans="1:36" x14ac:dyDescent="0.2">
      <c r="A244" s="193">
        <v>240</v>
      </c>
      <c r="B244" s="215">
        <v>5</v>
      </c>
      <c r="C244" s="195" t="s">
        <v>194</v>
      </c>
      <c r="D244" s="195">
        <v>1</v>
      </c>
      <c r="E244" s="195" t="s">
        <v>195</v>
      </c>
      <c r="F244" s="196">
        <v>44359</v>
      </c>
      <c r="G244" s="197" t="s">
        <v>9</v>
      </c>
      <c r="H244" s="198">
        <v>2124</v>
      </c>
      <c r="I244" s="196" t="s">
        <v>201</v>
      </c>
      <c r="J244" s="199">
        <v>927</v>
      </c>
      <c r="K244" s="198">
        <v>929</v>
      </c>
      <c r="L244" s="200">
        <v>0</v>
      </c>
      <c r="M244" s="201"/>
      <c r="N244" s="199">
        <v>2124</v>
      </c>
      <c r="O244" s="202">
        <v>15.4</v>
      </c>
      <c r="P244" s="203">
        <v>4.2</v>
      </c>
      <c r="Q244" s="203">
        <v>11.2</v>
      </c>
      <c r="R244" s="204">
        <v>4.4000000000000004</v>
      </c>
      <c r="S244" s="203">
        <v>4.4000000000000004</v>
      </c>
      <c r="T244" s="203">
        <v>0</v>
      </c>
      <c r="V244" s="198">
        <v>2124</v>
      </c>
      <c r="W244" s="202">
        <v>4.2</v>
      </c>
      <c r="X244" s="203">
        <v>4.2</v>
      </c>
      <c r="Y244" s="203">
        <v>0</v>
      </c>
      <c r="Z244" s="204">
        <v>4.4000000000000004</v>
      </c>
      <c r="AA244" s="203">
        <v>4.4000000000000004</v>
      </c>
      <c r="AB244" s="203">
        <v>0</v>
      </c>
      <c r="AD244" s="198">
        <v>2124</v>
      </c>
      <c r="AE244" s="202">
        <v>-11.2</v>
      </c>
      <c r="AF244" s="203" t="s">
        <v>82</v>
      </c>
      <c r="AG244" s="203">
        <v>-11.2</v>
      </c>
      <c r="AH244" s="204" t="s">
        <v>82</v>
      </c>
      <c r="AI244" s="203" t="s">
        <v>82</v>
      </c>
      <c r="AJ244" s="203" t="s">
        <v>82</v>
      </c>
    </row>
    <row customFormat="1" r="245" s="205" spans="1:36" x14ac:dyDescent="0.2">
      <c r="A245" s="193">
        <v>241</v>
      </c>
      <c r="B245" s="215">
        <v>5</v>
      </c>
      <c r="C245" s="195" t="s">
        <v>194</v>
      </c>
      <c r="D245" s="195">
        <v>1</v>
      </c>
      <c r="E245" s="195" t="s">
        <v>195</v>
      </c>
      <c r="F245" s="196">
        <v>44573</v>
      </c>
      <c r="G245" s="197" t="s">
        <v>6</v>
      </c>
      <c r="H245" s="198">
        <v>2203</v>
      </c>
      <c r="I245" s="196" t="s">
        <v>202</v>
      </c>
      <c r="J245" s="199">
        <v>1750</v>
      </c>
      <c r="K245" s="198">
        <v>1814</v>
      </c>
      <c r="L245" s="200">
        <v>0</v>
      </c>
      <c r="M245" s="201"/>
      <c r="N245" s="199">
        <v>2203</v>
      </c>
      <c r="O245" s="202">
        <v>4.5999999999999996</v>
      </c>
      <c r="P245" s="203">
        <v>4.4000000000000004</v>
      </c>
      <c r="Q245" s="203">
        <v>0.2</v>
      </c>
      <c r="R245" s="204">
        <v>4.9000000000000004</v>
      </c>
      <c r="S245" s="203">
        <v>4.5999999999999996</v>
      </c>
      <c r="T245" s="203">
        <v>0.3</v>
      </c>
      <c r="V245" s="198">
        <v>2203</v>
      </c>
      <c r="W245" s="202">
        <v>4.5</v>
      </c>
      <c r="X245" s="203">
        <v>4.4000000000000004</v>
      </c>
      <c r="Y245" s="203">
        <v>0.1</v>
      </c>
      <c r="Z245" s="204">
        <v>4.9000000000000004</v>
      </c>
      <c r="AA245" s="203">
        <v>4.5999999999999996</v>
      </c>
      <c r="AB245" s="203">
        <v>0.3</v>
      </c>
      <c r="AD245" s="198">
        <v>2203</v>
      </c>
      <c r="AE245" s="202">
        <v>-9.9999999999999645E-2</v>
      </c>
      <c r="AF245" s="203" t="s">
        <v>82</v>
      </c>
      <c r="AG245" s="203">
        <v>-0.1</v>
      </c>
      <c r="AH245" s="204"/>
      <c r="AI245" s="203" t="s">
        <v>82</v>
      </c>
      <c r="AJ245" s="203" t="s">
        <v>82</v>
      </c>
    </row>
    <row customFormat="1" r="246" s="205" spans="1:36" x14ac:dyDescent="0.2">
      <c r="A246" s="193">
        <v>242</v>
      </c>
      <c r="B246" s="215">
        <v>5</v>
      </c>
      <c r="C246" s="195" t="s">
        <v>194</v>
      </c>
      <c r="D246" s="195">
        <v>1</v>
      </c>
      <c r="E246" s="195" t="s">
        <v>195</v>
      </c>
      <c r="F246" s="196">
        <v>44580</v>
      </c>
      <c r="G246" s="197" t="s">
        <v>6</v>
      </c>
      <c r="H246" s="198">
        <v>2204</v>
      </c>
      <c r="I246" s="196" t="s">
        <v>202</v>
      </c>
      <c r="J246" s="199">
        <v>1750</v>
      </c>
      <c r="K246" s="198">
        <v>1814</v>
      </c>
      <c r="L246" s="200">
        <v>0</v>
      </c>
      <c r="M246" s="201"/>
      <c r="N246" s="199">
        <v>2204</v>
      </c>
      <c r="O246" s="202">
        <v>4.8</v>
      </c>
      <c r="P246" s="203">
        <v>4.5999999999999996</v>
      </c>
      <c r="Q246" s="203">
        <v>0.2</v>
      </c>
      <c r="R246" s="204">
        <v>5</v>
      </c>
      <c r="S246" s="203">
        <v>4.7</v>
      </c>
      <c r="T246" s="203">
        <v>0.3</v>
      </c>
      <c r="V246" s="198">
        <v>2204</v>
      </c>
      <c r="W246" s="202">
        <v>4.7</v>
      </c>
      <c r="X246" s="203">
        <v>4.5999999999999996</v>
      </c>
      <c r="Y246" s="203">
        <v>0.1</v>
      </c>
      <c r="Z246" s="204">
        <v>5</v>
      </c>
      <c r="AA246" s="203">
        <v>4.7</v>
      </c>
      <c r="AB246" s="203">
        <v>0.3</v>
      </c>
      <c r="AD246" s="198">
        <v>2204</v>
      </c>
      <c r="AE246" s="202">
        <v>-9.9999999999999645E-2</v>
      </c>
      <c r="AF246" s="203" t="s">
        <v>82</v>
      </c>
      <c r="AG246" s="203">
        <v>-0.1</v>
      </c>
      <c r="AH246" s="204" t="s">
        <v>82</v>
      </c>
      <c r="AI246" s="203" t="s">
        <v>82</v>
      </c>
      <c r="AJ246" s="203" t="s">
        <v>82</v>
      </c>
    </row>
    <row customFormat="1" r="247" s="205" spans="1:36" x14ac:dyDescent="0.2">
      <c r="A247" s="193">
        <v>243</v>
      </c>
      <c r="B247" s="215">
        <v>5</v>
      </c>
      <c r="C247" s="195" t="s">
        <v>194</v>
      </c>
      <c r="D247" s="195">
        <v>1</v>
      </c>
      <c r="E247" s="195" t="s">
        <v>195</v>
      </c>
      <c r="F247" s="196">
        <v>44587</v>
      </c>
      <c r="G247" s="197" t="s">
        <v>6</v>
      </c>
      <c r="H247" s="198">
        <v>2205</v>
      </c>
      <c r="I247" s="196" t="s">
        <v>202</v>
      </c>
      <c r="J247" s="199">
        <v>1750</v>
      </c>
      <c r="K247" s="198">
        <v>1814</v>
      </c>
      <c r="L247" s="200">
        <v>0</v>
      </c>
      <c r="M247" s="201"/>
      <c r="N247" s="199">
        <v>2205</v>
      </c>
      <c r="O247" s="202">
        <v>4.8</v>
      </c>
      <c r="P247" s="203">
        <v>4.5999999999999996</v>
      </c>
      <c r="Q247" s="203">
        <v>0.2</v>
      </c>
      <c r="R247" s="204">
        <v>5.0999999999999996</v>
      </c>
      <c r="S247" s="203">
        <v>4.8</v>
      </c>
      <c r="T247" s="203">
        <v>0.3</v>
      </c>
      <c r="V247" s="198">
        <v>2205</v>
      </c>
      <c r="W247" s="202">
        <v>4.7</v>
      </c>
      <c r="X247" s="203">
        <v>4.5999999999999996</v>
      </c>
      <c r="Y247" s="203">
        <v>0.1</v>
      </c>
      <c r="Z247" s="204">
        <v>5.0999999999999996</v>
      </c>
      <c r="AA247" s="203">
        <v>4.8</v>
      </c>
      <c r="AB247" s="203">
        <v>0.3</v>
      </c>
      <c r="AD247" s="198">
        <v>2205</v>
      </c>
      <c r="AE247" s="202">
        <v>-9.9999999999999645E-2</v>
      </c>
      <c r="AF247" s="203" t="s">
        <v>82</v>
      </c>
      <c r="AG247" s="203">
        <v>-0.1</v>
      </c>
      <c r="AH247" s="204" t="s">
        <v>82</v>
      </c>
      <c r="AI247" s="203" t="s">
        <v>82</v>
      </c>
      <c r="AJ247" s="203" t="s">
        <v>82</v>
      </c>
    </row>
    <row customFormat="1" r="248" s="205" spans="1:36" x14ac:dyDescent="0.2">
      <c r="A248" s="193">
        <v>244</v>
      </c>
      <c r="B248" s="215">
        <v>5</v>
      </c>
      <c r="C248" s="195" t="s">
        <v>194</v>
      </c>
      <c r="D248" s="195">
        <v>1</v>
      </c>
      <c r="E248" s="195" t="s">
        <v>195</v>
      </c>
      <c r="F248" s="196">
        <v>44594</v>
      </c>
      <c r="G248" s="197" t="s">
        <v>6</v>
      </c>
      <c r="H248" s="198">
        <v>2206</v>
      </c>
      <c r="I248" s="196" t="s">
        <v>202</v>
      </c>
      <c r="J248" s="199">
        <v>1750</v>
      </c>
      <c r="K248" s="198">
        <v>1814</v>
      </c>
      <c r="L248" s="200">
        <v>0</v>
      </c>
      <c r="M248" s="201"/>
      <c r="N248" s="199">
        <v>2206</v>
      </c>
      <c r="O248" s="202">
        <v>4.7</v>
      </c>
      <c r="P248" s="203">
        <v>4.5</v>
      </c>
      <c r="Q248" s="203">
        <v>0.2</v>
      </c>
      <c r="R248" s="204">
        <v>4.8</v>
      </c>
      <c r="S248" s="203">
        <v>4.8</v>
      </c>
      <c r="T248" s="203" t="s">
        <v>84</v>
      </c>
      <c r="V248" s="198">
        <v>2206</v>
      </c>
      <c r="W248" s="202">
        <v>4.5</v>
      </c>
      <c r="X248" s="203">
        <v>4.5</v>
      </c>
      <c r="Y248" s="203">
        <v>0</v>
      </c>
      <c r="Z248" s="204">
        <v>4.8</v>
      </c>
      <c r="AA248" s="203">
        <v>4.8</v>
      </c>
      <c r="AB248" s="203" t="s">
        <v>84</v>
      </c>
      <c r="AD248" s="198">
        <v>2206</v>
      </c>
      <c r="AE248" s="202">
        <v>-0.20000000000000018</v>
      </c>
      <c r="AF248" s="203" t="s">
        <v>82</v>
      </c>
      <c r="AG248" s="203">
        <v>-0.2</v>
      </c>
      <c r="AH248" s="204" t="s">
        <v>82</v>
      </c>
      <c r="AI248" s="203" t="s">
        <v>82</v>
      </c>
      <c r="AJ248" s="203" t="s">
        <v>82</v>
      </c>
    </row>
    <row customFormat="1" r="249" s="205" spans="1:36" x14ac:dyDescent="0.2">
      <c r="A249" s="193">
        <v>245</v>
      </c>
      <c r="B249" s="215">
        <v>5</v>
      </c>
      <c r="C249" s="195" t="s">
        <v>194</v>
      </c>
      <c r="D249" s="195">
        <v>2</v>
      </c>
      <c r="E249" s="195" t="s">
        <v>203</v>
      </c>
      <c r="F249" s="196">
        <v>44452</v>
      </c>
      <c r="G249" s="197" t="s">
        <v>4</v>
      </c>
      <c r="H249" s="198">
        <v>2138</v>
      </c>
      <c r="I249" s="196" t="s">
        <v>204</v>
      </c>
      <c r="J249" s="199">
        <v>1650</v>
      </c>
      <c r="K249" s="198">
        <v>1752</v>
      </c>
      <c r="L249" s="200">
        <v>0</v>
      </c>
      <c r="M249" s="201"/>
      <c r="N249" s="199">
        <v>2138</v>
      </c>
      <c r="O249" s="202">
        <v>6.5</v>
      </c>
      <c r="P249" s="203">
        <v>6.5</v>
      </c>
      <c r="Q249" s="203">
        <v>0</v>
      </c>
      <c r="R249" s="204">
        <v>7.9</v>
      </c>
      <c r="S249" s="203">
        <v>7.9</v>
      </c>
      <c r="T249" s="203" t="s">
        <v>84</v>
      </c>
      <c r="V249" s="198">
        <v>2138</v>
      </c>
      <c r="W249" s="202">
        <v>6.5</v>
      </c>
      <c r="X249" s="203">
        <v>6.5</v>
      </c>
      <c r="Y249" s="203">
        <v>0</v>
      </c>
      <c r="Z249" s="204">
        <v>7.9</v>
      </c>
      <c r="AA249" s="203">
        <v>7.9</v>
      </c>
      <c r="AB249" s="203" t="s">
        <v>84</v>
      </c>
      <c r="AD249" s="198">
        <v>2138</v>
      </c>
      <c r="AE249" s="202" t="s">
        <v>82</v>
      </c>
      <c r="AF249" s="203" t="s">
        <v>82</v>
      </c>
      <c r="AG249" s="203" t="s">
        <v>82</v>
      </c>
      <c r="AH249" s="204" t="s">
        <v>82</v>
      </c>
      <c r="AI249" s="203" t="s">
        <v>82</v>
      </c>
      <c r="AJ249" s="203" t="s">
        <v>82</v>
      </c>
    </row>
    <row customFormat="1" r="250" s="205" spans="1:36" x14ac:dyDescent="0.2">
      <c r="A250" s="193">
        <v>246</v>
      </c>
      <c r="B250" s="215">
        <v>5</v>
      </c>
      <c r="C250" s="195" t="s">
        <v>194</v>
      </c>
      <c r="D250" s="195">
        <v>2</v>
      </c>
      <c r="E250" s="195" t="s">
        <v>203</v>
      </c>
      <c r="F250" s="196">
        <v>44453</v>
      </c>
      <c r="G250" s="197" t="s">
        <v>5</v>
      </c>
      <c r="H250" s="198">
        <v>2138</v>
      </c>
      <c r="I250" s="196" t="s">
        <v>205</v>
      </c>
      <c r="J250" s="199">
        <v>1355</v>
      </c>
      <c r="K250" s="198">
        <v>1547</v>
      </c>
      <c r="L250" s="200">
        <v>0</v>
      </c>
      <c r="M250" s="201"/>
      <c r="N250" s="199">
        <v>2138</v>
      </c>
      <c r="O250" s="202">
        <v>4.9000000000000004</v>
      </c>
      <c r="P250" s="203">
        <v>3.3</v>
      </c>
      <c r="Q250" s="203">
        <v>1.6</v>
      </c>
      <c r="R250" s="204">
        <v>3.3</v>
      </c>
      <c r="S250" s="203">
        <v>3.3</v>
      </c>
      <c r="T250" s="203">
        <v>0</v>
      </c>
      <c r="V250" s="198">
        <v>2138</v>
      </c>
      <c r="W250" s="202">
        <v>3.3</v>
      </c>
      <c r="X250" s="203">
        <v>3.3</v>
      </c>
      <c r="Y250" s="203">
        <v>0</v>
      </c>
      <c r="Z250" s="204">
        <v>3.3</v>
      </c>
      <c r="AA250" s="203">
        <v>3.3</v>
      </c>
      <c r="AB250" s="203">
        <v>0</v>
      </c>
      <c r="AD250" s="198">
        <v>2138</v>
      </c>
      <c r="AE250" s="202">
        <v>-1.6000000000000005</v>
      </c>
      <c r="AF250" s="203" t="s">
        <v>82</v>
      </c>
      <c r="AG250" s="203">
        <v>-1.6</v>
      </c>
      <c r="AH250" s="204" t="s">
        <v>82</v>
      </c>
      <c r="AI250" s="203" t="s">
        <v>82</v>
      </c>
      <c r="AJ250" s="203" t="s">
        <v>82</v>
      </c>
    </row>
    <row customFormat="1" r="251" s="205" spans="1:36" x14ac:dyDescent="0.2">
      <c r="A251" s="193">
        <v>247</v>
      </c>
      <c r="B251" s="215">
        <v>5</v>
      </c>
      <c r="C251" s="195" t="s">
        <v>194</v>
      </c>
      <c r="D251" s="195">
        <v>2</v>
      </c>
      <c r="E251" s="195" t="s">
        <v>203</v>
      </c>
      <c r="F251" s="196">
        <v>44459</v>
      </c>
      <c r="G251" s="197" t="s">
        <v>4</v>
      </c>
      <c r="H251" s="198">
        <v>2139</v>
      </c>
      <c r="I251" s="196" t="s">
        <v>204</v>
      </c>
      <c r="J251" s="199">
        <v>1650</v>
      </c>
      <c r="K251" s="198">
        <v>1752</v>
      </c>
      <c r="L251" s="200">
        <v>0</v>
      </c>
      <c r="M251" s="201"/>
      <c r="N251" s="199">
        <v>2139</v>
      </c>
      <c r="O251" s="202">
        <v>6.7</v>
      </c>
      <c r="P251" s="203">
        <v>6.7</v>
      </c>
      <c r="Q251" s="203">
        <v>0</v>
      </c>
      <c r="R251" s="204">
        <v>7.8</v>
      </c>
      <c r="S251" s="203">
        <v>7.8</v>
      </c>
      <c r="T251" s="203" t="s">
        <v>84</v>
      </c>
      <c r="V251" s="198">
        <v>2139</v>
      </c>
      <c r="W251" s="202">
        <v>6.7</v>
      </c>
      <c r="X251" s="203">
        <v>6.7</v>
      </c>
      <c r="Y251" s="203">
        <v>0</v>
      </c>
      <c r="Z251" s="204">
        <v>7.8</v>
      </c>
      <c r="AA251" s="203">
        <v>7.8</v>
      </c>
      <c r="AB251" s="203" t="s">
        <v>84</v>
      </c>
      <c r="AD251" s="198">
        <v>2139</v>
      </c>
      <c r="AE251" s="202" t="s">
        <v>82</v>
      </c>
      <c r="AF251" s="203" t="s">
        <v>82</v>
      </c>
      <c r="AG251" s="203" t="s">
        <v>82</v>
      </c>
      <c r="AH251" s="204" t="s">
        <v>82</v>
      </c>
      <c r="AI251" s="203" t="s">
        <v>82</v>
      </c>
      <c r="AJ251" s="203" t="s">
        <v>82</v>
      </c>
    </row>
    <row customFormat="1" r="252" s="205" spans="1:36" x14ac:dyDescent="0.2">
      <c r="A252" s="193">
        <v>248</v>
      </c>
      <c r="B252" s="215">
        <v>5</v>
      </c>
      <c r="C252" s="195" t="s">
        <v>194</v>
      </c>
      <c r="D252" s="195">
        <v>2</v>
      </c>
      <c r="E252" s="195" t="s">
        <v>203</v>
      </c>
      <c r="F252" s="196">
        <v>44460</v>
      </c>
      <c r="G252" s="197" t="s">
        <v>5</v>
      </c>
      <c r="H252" s="198">
        <v>2139</v>
      </c>
      <c r="I252" s="196" t="s">
        <v>205</v>
      </c>
      <c r="J252" s="199">
        <v>1355</v>
      </c>
      <c r="K252" s="198">
        <v>1547</v>
      </c>
      <c r="L252" s="200">
        <v>0</v>
      </c>
      <c r="M252" s="201"/>
      <c r="N252" s="199">
        <v>2139</v>
      </c>
      <c r="O252" s="202">
        <v>4.9000000000000004</v>
      </c>
      <c r="P252" s="203">
        <v>3.4</v>
      </c>
      <c r="Q252" s="203">
        <v>1.5</v>
      </c>
      <c r="R252" s="204">
        <v>3.4</v>
      </c>
      <c r="S252" s="203">
        <v>3.4</v>
      </c>
      <c r="T252" s="203">
        <v>0</v>
      </c>
      <c r="V252" s="198">
        <v>2139</v>
      </c>
      <c r="W252" s="202">
        <v>3.4</v>
      </c>
      <c r="X252" s="203">
        <v>3.4</v>
      </c>
      <c r="Y252" s="203">
        <v>0</v>
      </c>
      <c r="Z252" s="204">
        <v>3.4</v>
      </c>
      <c r="AA252" s="203">
        <v>3.4</v>
      </c>
      <c r="AB252" s="203">
        <v>0</v>
      </c>
      <c r="AD252" s="198">
        <v>2139</v>
      </c>
      <c r="AE252" s="202">
        <v>-1.5000000000000004</v>
      </c>
      <c r="AF252" s="203" t="s">
        <v>82</v>
      </c>
      <c r="AG252" s="203">
        <v>-1.5</v>
      </c>
      <c r="AH252" s="204" t="s">
        <v>82</v>
      </c>
      <c r="AI252" s="203" t="s">
        <v>82</v>
      </c>
      <c r="AJ252" s="203" t="s">
        <v>82</v>
      </c>
    </row>
    <row customFormat="1" r="253" s="205" spans="1:36" x14ac:dyDescent="0.2">
      <c r="A253" s="193">
        <v>249</v>
      </c>
      <c r="B253" s="215">
        <v>5</v>
      </c>
      <c r="C253" s="195" t="s">
        <v>194</v>
      </c>
      <c r="D253" s="195">
        <v>2</v>
      </c>
      <c r="E253" s="195" t="s">
        <v>203</v>
      </c>
      <c r="F253" s="196">
        <v>44466</v>
      </c>
      <c r="G253" s="197" t="s">
        <v>4</v>
      </c>
      <c r="H253" s="198">
        <v>2140</v>
      </c>
      <c r="I253" s="196" t="s">
        <v>204</v>
      </c>
      <c r="J253" s="199">
        <v>1650</v>
      </c>
      <c r="K253" s="198">
        <v>1752</v>
      </c>
      <c r="L253" s="200">
        <v>0</v>
      </c>
      <c r="M253" s="201"/>
      <c r="N253" s="199">
        <v>2140</v>
      </c>
      <c r="O253" s="202">
        <v>7.1</v>
      </c>
      <c r="P253" s="203">
        <v>7.1</v>
      </c>
      <c r="Q253" s="203">
        <v>0</v>
      </c>
      <c r="R253" s="204">
        <v>8.1999999999999993</v>
      </c>
      <c r="S253" s="203">
        <v>8.1999999999999993</v>
      </c>
      <c r="T253" s="203" t="s">
        <v>84</v>
      </c>
      <c r="V253" s="198">
        <v>2140</v>
      </c>
      <c r="W253" s="202">
        <v>7.1</v>
      </c>
      <c r="X253" s="203">
        <v>7.1</v>
      </c>
      <c r="Y253" s="203">
        <v>0</v>
      </c>
      <c r="Z253" s="204">
        <v>8.1999999999999993</v>
      </c>
      <c r="AA253" s="203">
        <v>8.1999999999999993</v>
      </c>
      <c r="AB253" s="203" t="s">
        <v>84</v>
      </c>
      <c r="AD253" s="198">
        <v>2140</v>
      </c>
      <c r="AE253" s="202" t="s">
        <v>82</v>
      </c>
      <c r="AF253" s="203" t="s">
        <v>82</v>
      </c>
      <c r="AG253" s="203" t="s">
        <v>82</v>
      </c>
      <c r="AH253" s="204" t="s">
        <v>82</v>
      </c>
      <c r="AI253" s="203" t="s">
        <v>82</v>
      </c>
      <c r="AJ253" s="203" t="s">
        <v>82</v>
      </c>
    </row>
    <row customFormat="1" r="254" s="205" spans="1:36" x14ac:dyDescent="0.2">
      <c r="A254" s="193">
        <v>250</v>
      </c>
      <c r="B254" s="215">
        <v>5</v>
      </c>
      <c r="C254" s="195" t="s">
        <v>194</v>
      </c>
      <c r="D254" s="195">
        <v>2</v>
      </c>
      <c r="E254" s="195" t="s">
        <v>203</v>
      </c>
      <c r="F254" s="196">
        <v>44467</v>
      </c>
      <c r="G254" s="197" t="s">
        <v>5</v>
      </c>
      <c r="H254" s="198">
        <v>2140</v>
      </c>
      <c r="I254" s="196" t="s">
        <v>205</v>
      </c>
      <c r="J254" s="199">
        <v>1355</v>
      </c>
      <c r="K254" s="198">
        <v>1547</v>
      </c>
      <c r="L254" s="200">
        <v>0</v>
      </c>
      <c r="M254" s="201"/>
      <c r="N254" s="199">
        <v>2140</v>
      </c>
      <c r="O254" s="202">
        <v>4.9000000000000004</v>
      </c>
      <c r="P254" s="203">
        <v>3.4</v>
      </c>
      <c r="Q254" s="203">
        <v>1.5</v>
      </c>
      <c r="R254" s="204">
        <v>3.7</v>
      </c>
      <c r="S254" s="203">
        <v>3.7</v>
      </c>
      <c r="T254" s="203">
        <v>0</v>
      </c>
      <c r="V254" s="198">
        <v>2140</v>
      </c>
      <c r="W254" s="202">
        <v>3.4</v>
      </c>
      <c r="X254" s="203">
        <v>3.4</v>
      </c>
      <c r="Y254" s="203">
        <v>0</v>
      </c>
      <c r="Z254" s="204">
        <v>3.7</v>
      </c>
      <c r="AA254" s="203">
        <v>3.7</v>
      </c>
      <c r="AB254" s="203">
        <v>0</v>
      </c>
      <c r="AD254" s="198">
        <v>2140</v>
      </c>
      <c r="AE254" s="202">
        <v>-1.5000000000000004</v>
      </c>
      <c r="AF254" s="203" t="s">
        <v>82</v>
      </c>
      <c r="AG254" s="203">
        <v>-1.5</v>
      </c>
      <c r="AH254" s="204" t="s">
        <v>82</v>
      </c>
      <c r="AI254" s="203" t="s">
        <v>82</v>
      </c>
      <c r="AJ254" s="203" t="s">
        <v>82</v>
      </c>
    </row>
    <row customFormat="1" r="255" s="205" spans="1:36" x14ac:dyDescent="0.2">
      <c r="A255" s="193">
        <v>251</v>
      </c>
      <c r="B255" s="215">
        <v>5</v>
      </c>
      <c r="C255" s="195" t="s">
        <v>194</v>
      </c>
      <c r="D255" s="195">
        <v>2</v>
      </c>
      <c r="E255" s="195" t="s">
        <v>203</v>
      </c>
      <c r="F255" s="196">
        <v>44473</v>
      </c>
      <c r="G255" s="197" t="s">
        <v>4</v>
      </c>
      <c r="H255" s="198">
        <v>2141</v>
      </c>
      <c r="I255" s="196" t="s">
        <v>204</v>
      </c>
      <c r="J255" s="199">
        <v>1650</v>
      </c>
      <c r="K255" s="198">
        <v>1752</v>
      </c>
      <c r="L255" s="200">
        <v>0</v>
      </c>
      <c r="M255" s="201"/>
      <c r="N255" s="199">
        <v>2141</v>
      </c>
      <c r="O255" s="202">
        <v>7</v>
      </c>
      <c r="P255" s="203">
        <v>7</v>
      </c>
      <c r="Q255" s="203">
        <v>0</v>
      </c>
      <c r="R255" s="204">
        <v>8.3000000000000007</v>
      </c>
      <c r="S255" s="203">
        <v>8.3000000000000007</v>
      </c>
      <c r="T255" s="203" t="s">
        <v>84</v>
      </c>
      <c r="V255" s="198">
        <v>2141</v>
      </c>
      <c r="W255" s="202">
        <v>7</v>
      </c>
      <c r="X255" s="203">
        <v>7</v>
      </c>
      <c r="Y255" s="203">
        <v>0</v>
      </c>
      <c r="Z255" s="204">
        <v>8.3000000000000007</v>
      </c>
      <c r="AA255" s="203">
        <v>8.3000000000000007</v>
      </c>
      <c r="AB255" s="203" t="s">
        <v>84</v>
      </c>
      <c r="AD255" s="198">
        <v>2141</v>
      </c>
      <c r="AE255" s="202" t="s">
        <v>82</v>
      </c>
      <c r="AF255" s="203" t="s">
        <v>82</v>
      </c>
      <c r="AG255" s="203" t="s">
        <v>82</v>
      </c>
      <c r="AH255" s="204" t="s">
        <v>82</v>
      </c>
      <c r="AI255" s="203" t="s">
        <v>82</v>
      </c>
      <c r="AJ255" s="203" t="s">
        <v>82</v>
      </c>
    </row>
    <row customFormat="1" r="256" s="205" spans="1:36" x14ac:dyDescent="0.2">
      <c r="A256" s="193">
        <v>252</v>
      </c>
      <c r="B256" s="215">
        <v>5</v>
      </c>
      <c r="C256" s="195" t="s">
        <v>194</v>
      </c>
      <c r="D256" s="195">
        <v>2</v>
      </c>
      <c r="E256" s="195" t="s">
        <v>203</v>
      </c>
      <c r="F256" s="196">
        <v>44474</v>
      </c>
      <c r="G256" s="197" t="s">
        <v>5</v>
      </c>
      <c r="H256" s="198">
        <v>2141</v>
      </c>
      <c r="I256" s="196" t="s">
        <v>205</v>
      </c>
      <c r="J256" s="199">
        <v>1355</v>
      </c>
      <c r="K256" s="198">
        <v>1547</v>
      </c>
      <c r="L256" s="200">
        <v>0</v>
      </c>
      <c r="M256" s="201"/>
      <c r="N256" s="199">
        <v>2141</v>
      </c>
      <c r="O256" s="202">
        <v>5</v>
      </c>
      <c r="P256" s="203">
        <v>3.5</v>
      </c>
      <c r="Q256" s="203">
        <v>1.5</v>
      </c>
      <c r="R256" s="204">
        <v>3.7</v>
      </c>
      <c r="S256" s="203">
        <v>3.7</v>
      </c>
      <c r="T256" s="203">
        <v>0</v>
      </c>
      <c r="V256" s="198">
        <v>2141</v>
      </c>
      <c r="W256" s="202">
        <v>3.5</v>
      </c>
      <c r="X256" s="203">
        <v>3.5</v>
      </c>
      <c r="Y256" s="203">
        <v>0</v>
      </c>
      <c r="Z256" s="204">
        <v>3.7</v>
      </c>
      <c r="AA256" s="203">
        <v>3.7</v>
      </c>
      <c r="AB256" s="203">
        <v>0</v>
      </c>
      <c r="AD256" s="198">
        <v>2141</v>
      </c>
      <c r="AE256" s="202">
        <v>-1.5</v>
      </c>
      <c r="AF256" s="203" t="s">
        <v>82</v>
      </c>
      <c r="AG256" s="203">
        <v>-1.5</v>
      </c>
      <c r="AH256" s="204" t="s">
        <v>82</v>
      </c>
      <c r="AI256" s="203" t="s">
        <v>82</v>
      </c>
      <c r="AJ256" s="203" t="s">
        <v>82</v>
      </c>
    </row>
    <row customFormat="1" r="257" s="205" spans="1:36" x14ac:dyDescent="0.2">
      <c r="A257" s="193">
        <v>253</v>
      </c>
      <c r="B257" s="215">
        <v>5</v>
      </c>
      <c r="C257" s="195" t="s">
        <v>194</v>
      </c>
      <c r="D257" s="195">
        <v>3</v>
      </c>
      <c r="E257" s="195" t="s">
        <v>206</v>
      </c>
      <c r="F257" s="196">
        <v>44357</v>
      </c>
      <c r="G257" s="197" t="s">
        <v>7</v>
      </c>
      <c r="H257" s="198">
        <v>2124</v>
      </c>
      <c r="I257" s="196" t="s">
        <v>207</v>
      </c>
      <c r="J257" s="199">
        <v>2000</v>
      </c>
      <c r="K257" s="198">
        <v>2053</v>
      </c>
      <c r="L257" s="200">
        <v>0</v>
      </c>
      <c r="M257" s="201"/>
      <c r="N257" s="199">
        <v>2124</v>
      </c>
      <c r="O257" s="202">
        <v>6.9</v>
      </c>
      <c r="P257" s="203">
        <v>5.7</v>
      </c>
      <c r="Q257" s="203">
        <v>1.2</v>
      </c>
      <c r="R257" s="204">
        <v>4.5999999999999996</v>
      </c>
      <c r="S257" s="203">
        <v>3.7</v>
      </c>
      <c r="T257" s="203">
        <v>0.9</v>
      </c>
      <c r="V257" s="198">
        <v>2124</v>
      </c>
      <c r="W257" s="202">
        <v>6.9</v>
      </c>
      <c r="X257" s="203">
        <v>5.7</v>
      </c>
      <c r="Y257" s="203">
        <v>1.2</v>
      </c>
      <c r="Z257" s="204">
        <v>4.5999999999999996</v>
      </c>
      <c r="AA257" s="203">
        <v>3.7</v>
      </c>
      <c r="AB257" s="203">
        <v>0.9</v>
      </c>
      <c r="AD257" s="198">
        <v>2124</v>
      </c>
      <c r="AE257" s="202" t="s">
        <v>82</v>
      </c>
      <c r="AF257" s="203" t="s">
        <v>82</v>
      </c>
      <c r="AG257" s="203" t="s">
        <v>82</v>
      </c>
      <c r="AH257" s="204"/>
      <c r="AI257" s="203" t="s">
        <v>82</v>
      </c>
      <c r="AJ257" s="203" t="s">
        <v>82</v>
      </c>
    </row>
    <row customFormat="1" r="258" s="205" spans="1:36" x14ac:dyDescent="0.2">
      <c r="A258" s="193">
        <v>254</v>
      </c>
      <c r="B258" s="215">
        <v>5</v>
      </c>
      <c r="C258" s="195" t="s">
        <v>194</v>
      </c>
      <c r="D258" s="195">
        <v>3</v>
      </c>
      <c r="E258" s="195" t="s">
        <v>206</v>
      </c>
      <c r="F258" s="196">
        <v>44364</v>
      </c>
      <c r="G258" s="197" t="s">
        <v>7</v>
      </c>
      <c r="H258" s="198">
        <v>2125</v>
      </c>
      <c r="I258" s="196" t="s">
        <v>208</v>
      </c>
      <c r="J258" s="199">
        <v>2000</v>
      </c>
      <c r="K258" s="198">
        <v>2147</v>
      </c>
      <c r="L258" s="200">
        <v>0</v>
      </c>
      <c r="M258" s="201"/>
      <c r="N258" s="199">
        <v>2125</v>
      </c>
      <c r="O258" s="202">
        <v>5.8</v>
      </c>
      <c r="P258" s="203">
        <v>4.9000000000000004</v>
      </c>
      <c r="Q258" s="203">
        <v>0.9</v>
      </c>
      <c r="R258" s="204">
        <v>4.7</v>
      </c>
      <c r="S258" s="203">
        <v>4.7</v>
      </c>
      <c r="T258" s="203" t="s">
        <v>84</v>
      </c>
      <c r="V258" s="198">
        <v>2125</v>
      </c>
      <c r="W258" s="202">
        <v>5.8</v>
      </c>
      <c r="X258" s="203">
        <v>4.9000000000000004</v>
      </c>
      <c r="Y258" s="203">
        <v>0.9</v>
      </c>
      <c r="Z258" s="204">
        <v>4.7</v>
      </c>
      <c r="AA258" s="203">
        <v>4.7</v>
      </c>
      <c r="AB258" s="203" t="s">
        <v>84</v>
      </c>
      <c r="AD258" s="198">
        <v>2125</v>
      </c>
      <c r="AE258" s="202"/>
      <c r="AF258" s="203" t="s">
        <v>82</v>
      </c>
      <c r="AG258" s="203" t="s">
        <v>82</v>
      </c>
      <c r="AH258" s="204" t="s">
        <v>82</v>
      </c>
      <c r="AI258" s="203" t="s">
        <v>82</v>
      </c>
      <c r="AJ258" s="203" t="s">
        <v>82</v>
      </c>
    </row>
    <row customFormat="1" r="259" s="205" spans="1:36" x14ac:dyDescent="0.2">
      <c r="A259" s="193">
        <v>255</v>
      </c>
      <c r="B259" s="215">
        <v>5</v>
      </c>
      <c r="C259" s="195" t="s">
        <v>194</v>
      </c>
      <c r="D259" s="195">
        <v>3</v>
      </c>
      <c r="E259" s="195" t="s">
        <v>206</v>
      </c>
      <c r="F259" s="196">
        <v>44371</v>
      </c>
      <c r="G259" s="197" t="s">
        <v>7</v>
      </c>
      <c r="H259" s="198">
        <v>2126</v>
      </c>
      <c r="I259" s="196" t="s">
        <v>209</v>
      </c>
      <c r="J259" s="199">
        <v>2000</v>
      </c>
      <c r="K259" s="198">
        <v>2147</v>
      </c>
      <c r="L259" s="200">
        <v>0</v>
      </c>
      <c r="M259" s="201"/>
      <c r="N259" s="199">
        <v>2126</v>
      </c>
      <c r="O259" s="202">
        <v>6.3</v>
      </c>
      <c r="P259" s="203">
        <v>5.5</v>
      </c>
      <c r="Q259" s="203">
        <v>0.8</v>
      </c>
      <c r="R259" s="204">
        <v>5.7</v>
      </c>
      <c r="S259" s="203">
        <v>4.9000000000000004</v>
      </c>
      <c r="T259" s="203">
        <v>0.8</v>
      </c>
      <c r="V259" s="198">
        <v>2126</v>
      </c>
      <c r="W259" s="202">
        <v>6.3</v>
      </c>
      <c r="X259" s="203">
        <v>5.5</v>
      </c>
      <c r="Y259" s="203">
        <v>0.8</v>
      </c>
      <c r="Z259" s="204">
        <v>5.7</v>
      </c>
      <c r="AA259" s="203">
        <v>4.9000000000000004</v>
      </c>
      <c r="AB259" s="203">
        <v>0.8</v>
      </c>
      <c r="AD259" s="198">
        <v>2126</v>
      </c>
      <c r="AE259" s="202" t="s">
        <v>82</v>
      </c>
      <c r="AF259" s="203" t="s">
        <v>82</v>
      </c>
      <c r="AG259" s="203" t="s">
        <v>82</v>
      </c>
      <c r="AH259" s="204" t="s">
        <v>82</v>
      </c>
      <c r="AI259" s="203" t="s">
        <v>82</v>
      </c>
      <c r="AJ259" s="203" t="s">
        <v>82</v>
      </c>
    </row>
    <row customFormat="1" r="260" s="205" spans="1:36" x14ac:dyDescent="0.2">
      <c r="A260" s="193">
        <v>256</v>
      </c>
      <c r="B260" s="215">
        <v>5</v>
      </c>
      <c r="C260" s="195" t="s">
        <v>194</v>
      </c>
      <c r="D260" s="195">
        <v>3</v>
      </c>
      <c r="E260" s="195" t="s">
        <v>206</v>
      </c>
      <c r="F260" s="196">
        <v>44378</v>
      </c>
      <c r="G260" s="197" t="s">
        <v>7</v>
      </c>
      <c r="H260" s="198">
        <v>2127</v>
      </c>
      <c r="I260" s="196" t="s">
        <v>210</v>
      </c>
      <c r="J260" s="199">
        <v>2000</v>
      </c>
      <c r="K260" s="198">
        <v>2147</v>
      </c>
      <c r="L260" s="200">
        <v>0</v>
      </c>
      <c r="M260" s="201"/>
      <c r="N260" s="199">
        <v>2127</v>
      </c>
      <c r="O260" s="202">
        <v>6.4</v>
      </c>
      <c r="P260" s="203">
        <v>5.6</v>
      </c>
      <c r="Q260" s="203">
        <v>0.8</v>
      </c>
      <c r="R260" s="204">
        <v>5.4</v>
      </c>
      <c r="S260" s="203">
        <v>4.7</v>
      </c>
      <c r="T260" s="203">
        <v>0.7</v>
      </c>
      <c r="V260" s="198">
        <v>2127</v>
      </c>
      <c r="W260" s="202">
        <v>6.4</v>
      </c>
      <c r="X260" s="203">
        <v>5.6</v>
      </c>
      <c r="Y260" s="203">
        <v>0.8</v>
      </c>
      <c r="Z260" s="204">
        <v>5.4</v>
      </c>
      <c r="AA260" s="203">
        <v>4.7</v>
      </c>
      <c r="AB260" s="203">
        <v>0.7</v>
      </c>
      <c r="AD260" s="198">
        <v>2127</v>
      </c>
      <c r="AE260" s="202"/>
      <c r="AF260" s="203" t="s">
        <v>82</v>
      </c>
      <c r="AG260" s="203" t="s">
        <v>82</v>
      </c>
      <c r="AH260" s="204" t="s">
        <v>82</v>
      </c>
      <c r="AI260" s="203" t="s">
        <v>82</v>
      </c>
      <c r="AJ260" s="203" t="s">
        <v>82</v>
      </c>
    </row>
    <row customFormat="1" r="261" s="205" spans="1:36" x14ac:dyDescent="0.2">
      <c r="A261" s="193">
        <v>257</v>
      </c>
      <c r="B261" s="215">
        <v>5</v>
      </c>
      <c r="C261" s="195" t="s">
        <v>194</v>
      </c>
      <c r="D261" s="195">
        <v>4</v>
      </c>
      <c r="E261" s="195" t="s">
        <v>211</v>
      </c>
      <c r="F261" s="196">
        <v>44421</v>
      </c>
      <c r="G261" s="197" t="s">
        <v>8</v>
      </c>
      <c r="H261" s="198">
        <v>2133</v>
      </c>
      <c r="I261" s="196" t="s">
        <v>212</v>
      </c>
      <c r="J261" s="199">
        <v>1515</v>
      </c>
      <c r="K261" s="198">
        <v>1544</v>
      </c>
      <c r="L261" s="200">
        <v>0</v>
      </c>
      <c r="M261" s="201"/>
      <c r="N261" s="199">
        <v>2133</v>
      </c>
      <c r="O261" s="202">
        <v>4.2</v>
      </c>
      <c r="P261" s="203">
        <v>0.8</v>
      </c>
      <c r="Q261" s="203">
        <v>3.4</v>
      </c>
      <c r="R261" s="204">
        <v>0.7</v>
      </c>
      <c r="S261" s="203">
        <v>0.7</v>
      </c>
      <c r="T261" s="203">
        <v>0</v>
      </c>
      <c r="V261" s="198">
        <v>2133</v>
      </c>
      <c r="W261" s="202">
        <v>0.8</v>
      </c>
      <c r="X261" s="203">
        <v>0.8</v>
      </c>
      <c r="Y261" s="203">
        <v>0</v>
      </c>
      <c r="Z261" s="204">
        <v>0.7</v>
      </c>
      <c r="AA261" s="203">
        <v>0.7</v>
      </c>
      <c r="AB261" s="203">
        <v>0</v>
      </c>
      <c r="AD261" s="198">
        <v>2133</v>
      </c>
      <c r="AE261" s="202">
        <v>-3.4000000000000004</v>
      </c>
      <c r="AF261" s="203" t="s">
        <v>82</v>
      </c>
      <c r="AG261" s="203">
        <v>-3.4</v>
      </c>
      <c r="AH261" s="204" t="s">
        <v>82</v>
      </c>
      <c r="AI261" s="203" t="s">
        <v>82</v>
      </c>
      <c r="AJ261" s="203" t="s">
        <v>82</v>
      </c>
    </row>
    <row customFormat="1" r="262" s="205" spans="1:36" x14ac:dyDescent="0.2">
      <c r="A262" s="193">
        <v>258</v>
      </c>
      <c r="B262" s="215">
        <v>5</v>
      </c>
      <c r="C262" s="195" t="s">
        <v>194</v>
      </c>
      <c r="D262" s="195">
        <v>4</v>
      </c>
      <c r="E262" s="195" t="s">
        <v>211</v>
      </c>
      <c r="F262" s="196">
        <v>44428</v>
      </c>
      <c r="G262" s="197" t="s">
        <v>8</v>
      </c>
      <c r="H262" s="198">
        <v>2134</v>
      </c>
      <c r="I262" s="196" t="s">
        <v>213</v>
      </c>
      <c r="J262" s="199">
        <v>1515</v>
      </c>
      <c r="K262" s="198">
        <v>1544</v>
      </c>
      <c r="L262" s="200">
        <v>0</v>
      </c>
      <c r="M262" s="201"/>
      <c r="N262" s="199">
        <v>2134</v>
      </c>
      <c r="O262" s="202">
        <v>5</v>
      </c>
      <c r="P262" s="203">
        <v>0.7</v>
      </c>
      <c r="Q262" s="203">
        <v>4.3</v>
      </c>
      <c r="R262" s="204">
        <v>0.6</v>
      </c>
      <c r="S262" s="203">
        <v>0.6</v>
      </c>
      <c r="T262" s="203">
        <v>0</v>
      </c>
      <c r="V262" s="198">
        <v>2134</v>
      </c>
      <c r="W262" s="202">
        <v>0.7</v>
      </c>
      <c r="X262" s="203">
        <v>0.7</v>
      </c>
      <c r="Y262" s="203">
        <v>0</v>
      </c>
      <c r="Z262" s="204">
        <v>0.6</v>
      </c>
      <c r="AA262" s="203">
        <v>0.6</v>
      </c>
      <c r="AB262" s="203">
        <v>0</v>
      </c>
      <c r="AD262" s="198">
        <v>2134</v>
      </c>
      <c r="AE262" s="202">
        <v>-4.3</v>
      </c>
      <c r="AF262" s="203" t="s">
        <v>82</v>
      </c>
      <c r="AG262" s="203">
        <v>-4.3</v>
      </c>
      <c r="AH262" s="204" t="s">
        <v>82</v>
      </c>
      <c r="AI262" s="203" t="s">
        <v>82</v>
      </c>
      <c r="AJ262" s="203" t="s">
        <v>82</v>
      </c>
    </row>
    <row customFormat="1" r="263" s="205" spans="1:36" x14ac:dyDescent="0.2">
      <c r="A263" s="193">
        <v>259</v>
      </c>
      <c r="B263" s="215">
        <v>5</v>
      </c>
      <c r="C263" s="195" t="s">
        <v>194</v>
      </c>
      <c r="D263" s="195">
        <v>4</v>
      </c>
      <c r="E263" s="195" t="s">
        <v>211</v>
      </c>
      <c r="F263" s="196">
        <v>44435</v>
      </c>
      <c r="G263" s="197" t="s">
        <v>8</v>
      </c>
      <c r="H263" s="198">
        <v>2135</v>
      </c>
      <c r="I263" s="196" t="s">
        <v>214</v>
      </c>
      <c r="J263" s="199">
        <v>1515</v>
      </c>
      <c r="K263" s="198">
        <v>1544</v>
      </c>
      <c r="L263" s="200">
        <v>0</v>
      </c>
      <c r="M263" s="201"/>
      <c r="N263" s="199">
        <v>2135</v>
      </c>
      <c r="O263" s="202">
        <v>6.4</v>
      </c>
      <c r="P263" s="203">
        <v>0.5</v>
      </c>
      <c r="Q263" s="203">
        <v>5.9</v>
      </c>
      <c r="R263" s="204">
        <v>0.5</v>
      </c>
      <c r="S263" s="203">
        <v>0.5</v>
      </c>
      <c r="T263" s="203">
        <v>0</v>
      </c>
      <c r="V263" s="198">
        <v>2135</v>
      </c>
      <c r="W263" s="202">
        <v>0.5</v>
      </c>
      <c r="X263" s="203">
        <v>0.5</v>
      </c>
      <c r="Y263" s="203">
        <v>0</v>
      </c>
      <c r="Z263" s="204">
        <v>0.5</v>
      </c>
      <c r="AA263" s="203">
        <v>0.5</v>
      </c>
      <c r="AB263" s="203">
        <v>0</v>
      </c>
      <c r="AD263" s="198">
        <v>2135</v>
      </c>
      <c r="AE263" s="202">
        <v>-5.9</v>
      </c>
      <c r="AF263" s="203" t="s">
        <v>82</v>
      </c>
      <c r="AG263" s="203">
        <v>-5.9</v>
      </c>
      <c r="AH263" s="204" t="s">
        <v>82</v>
      </c>
      <c r="AI263" s="203" t="s">
        <v>82</v>
      </c>
      <c r="AJ263" s="203" t="s">
        <v>82</v>
      </c>
    </row>
    <row customFormat="1" r="264" s="205" spans="1:36" x14ac:dyDescent="0.2">
      <c r="A264" s="193">
        <v>260</v>
      </c>
      <c r="B264" s="215">
        <v>5</v>
      </c>
      <c r="C264" s="195" t="s">
        <v>194</v>
      </c>
      <c r="D264" s="195">
        <v>4</v>
      </c>
      <c r="E264" s="195" t="s">
        <v>211</v>
      </c>
      <c r="F264" s="196">
        <v>44442</v>
      </c>
      <c r="G264" s="197" t="s">
        <v>8</v>
      </c>
      <c r="H264" s="198">
        <v>2136</v>
      </c>
      <c r="I264" s="196" t="s">
        <v>215</v>
      </c>
      <c r="J264" s="199">
        <v>1515</v>
      </c>
      <c r="K264" s="198">
        <v>1544</v>
      </c>
      <c r="L264" s="200">
        <v>0</v>
      </c>
      <c r="M264" s="201"/>
      <c r="N264" s="199">
        <v>2136</v>
      </c>
      <c r="O264" s="202">
        <v>10.6</v>
      </c>
      <c r="P264" s="203">
        <v>0.4</v>
      </c>
      <c r="Q264" s="203">
        <v>10.199999999999999</v>
      </c>
      <c r="R264" s="204">
        <v>0.4</v>
      </c>
      <c r="S264" s="203">
        <v>0.4</v>
      </c>
      <c r="T264" s="203">
        <v>0</v>
      </c>
      <c r="V264" s="198">
        <v>2136</v>
      </c>
      <c r="W264" s="202">
        <v>0.4</v>
      </c>
      <c r="X264" s="203">
        <v>0.4</v>
      </c>
      <c r="Y264" s="203">
        <v>0</v>
      </c>
      <c r="Z264" s="204">
        <v>0.4</v>
      </c>
      <c r="AA264" s="203">
        <v>0.4</v>
      </c>
      <c r="AB264" s="203">
        <v>0</v>
      </c>
      <c r="AD264" s="198">
        <v>2136</v>
      </c>
      <c r="AE264" s="202">
        <v>-10.199999999999999</v>
      </c>
      <c r="AF264" s="203" t="s">
        <v>82</v>
      </c>
      <c r="AG264" s="203">
        <v>-10.199999999999999</v>
      </c>
      <c r="AH264" s="204" t="s">
        <v>82</v>
      </c>
      <c r="AI264" s="203" t="s">
        <v>82</v>
      </c>
      <c r="AJ264" s="203" t="s">
        <v>82</v>
      </c>
    </row>
    <row customFormat="1" r="265" s="205" spans="1:36" x14ac:dyDescent="0.2">
      <c r="A265" s="193">
        <v>261</v>
      </c>
      <c r="B265" s="215">
        <v>5</v>
      </c>
      <c r="C265" s="195" t="s">
        <v>194</v>
      </c>
      <c r="D265" s="195">
        <v>4</v>
      </c>
      <c r="E265" s="195" t="s">
        <v>211</v>
      </c>
      <c r="F265" s="196">
        <v>44484</v>
      </c>
      <c r="G265" s="197" t="s">
        <v>8</v>
      </c>
      <c r="H265" s="198">
        <v>2142</v>
      </c>
      <c r="I265" s="196" t="s">
        <v>216</v>
      </c>
      <c r="J265" s="199">
        <v>1445</v>
      </c>
      <c r="K265" s="198">
        <v>1514</v>
      </c>
      <c r="L265" s="200">
        <v>0</v>
      </c>
      <c r="M265" s="201"/>
      <c r="N265" s="199">
        <v>2142</v>
      </c>
      <c r="O265" s="202">
        <v>1.4</v>
      </c>
      <c r="P265" s="203">
        <v>1.2</v>
      </c>
      <c r="Q265" s="203">
        <v>0.2</v>
      </c>
      <c r="R265" s="204">
        <v>1</v>
      </c>
      <c r="S265" s="203">
        <v>1</v>
      </c>
      <c r="T265" s="203" t="s">
        <v>84</v>
      </c>
      <c r="V265" s="198">
        <v>2142</v>
      </c>
      <c r="W265" s="202">
        <v>1.2</v>
      </c>
      <c r="X265" s="203">
        <v>1.2</v>
      </c>
      <c r="Y265" s="203">
        <v>0</v>
      </c>
      <c r="Z265" s="204">
        <v>1</v>
      </c>
      <c r="AA265" s="203">
        <v>1</v>
      </c>
      <c r="AB265" s="203" t="s">
        <v>84</v>
      </c>
      <c r="AD265" s="198">
        <v>2142</v>
      </c>
      <c r="AE265" s="202">
        <v>-0.19999999999999996</v>
      </c>
      <c r="AF265" s="203" t="s">
        <v>82</v>
      </c>
      <c r="AG265" s="203">
        <v>-0.2</v>
      </c>
      <c r="AH265" s="204" t="s">
        <v>82</v>
      </c>
      <c r="AI265" s="203" t="s">
        <v>82</v>
      </c>
      <c r="AJ265" s="203" t="s">
        <v>82</v>
      </c>
    </row>
    <row customFormat="1" r="266" s="205" spans="1:36" x14ac:dyDescent="0.2">
      <c r="A266" s="193">
        <v>262</v>
      </c>
      <c r="B266" s="215">
        <v>5</v>
      </c>
      <c r="C266" s="195" t="s">
        <v>194</v>
      </c>
      <c r="D266" s="195">
        <v>4</v>
      </c>
      <c r="E266" s="195" t="s">
        <v>211</v>
      </c>
      <c r="F266" s="196">
        <v>44491</v>
      </c>
      <c r="G266" s="197" t="s">
        <v>8</v>
      </c>
      <c r="H266" s="198">
        <v>2143</v>
      </c>
      <c r="I266" s="196" t="s">
        <v>216</v>
      </c>
      <c r="J266" s="199">
        <v>1445</v>
      </c>
      <c r="K266" s="198">
        <v>1514</v>
      </c>
      <c r="L266" s="200">
        <v>0</v>
      </c>
      <c r="M266" s="201"/>
      <c r="N266" s="199">
        <v>2143</v>
      </c>
      <c r="O266" s="202">
        <v>1.2</v>
      </c>
      <c r="P266" s="203">
        <v>1</v>
      </c>
      <c r="Q266" s="203">
        <v>0.2</v>
      </c>
      <c r="R266" s="204">
        <v>0.9</v>
      </c>
      <c r="S266" s="203">
        <v>0.9</v>
      </c>
      <c r="T266" s="203" t="s">
        <v>84</v>
      </c>
      <c r="V266" s="198">
        <v>2143</v>
      </c>
      <c r="W266" s="202">
        <v>1</v>
      </c>
      <c r="X266" s="203">
        <v>1</v>
      </c>
      <c r="Y266" s="203">
        <v>0</v>
      </c>
      <c r="Z266" s="204">
        <v>0.9</v>
      </c>
      <c r="AA266" s="203">
        <v>0.9</v>
      </c>
      <c r="AB266" s="203" t="s">
        <v>84</v>
      </c>
      <c r="AD266" s="198">
        <v>2143</v>
      </c>
      <c r="AE266" s="202">
        <v>-0.19999999999999996</v>
      </c>
      <c r="AF266" s="203" t="s">
        <v>82</v>
      </c>
      <c r="AG266" s="203">
        <v>-0.2</v>
      </c>
      <c r="AH266" s="204" t="s">
        <v>82</v>
      </c>
      <c r="AI266" s="203" t="s">
        <v>82</v>
      </c>
      <c r="AJ266" s="203" t="s">
        <v>82</v>
      </c>
    </row>
    <row customFormat="1" r="267" s="205" spans="1:36" x14ac:dyDescent="0.2">
      <c r="A267" s="193">
        <v>263</v>
      </c>
      <c r="B267" s="215">
        <v>5</v>
      </c>
      <c r="C267" s="195" t="s">
        <v>194</v>
      </c>
      <c r="D267" s="195">
        <v>4</v>
      </c>
      <c r="E267" s="195" t="s">
        <v>211</v>
      </c>
      <c r="F267" s="196">
        <v>44498</v>
      </c>
      <c r="G267" s="197" t="s">
        <v>8</v>
      </c>
      <c r="H267" s="198">
        <v>2144</v>
      </c>
      <c r="I267" s="196" t="s">
        <v>216</v>
      </c>
      <c r="J267" s="199">
        <v>1445</v>
      </c>
      <c r="K267" s="198">
        <v>1514</v>
      </c>
      <c r="L267" s="200">
        <v>0</v>
      </c>
      <c r="M267" s="201"/>
      <c r="N267" s="199">
        <v>2144</v>
      </c>
      <c r="O267" s="202">
        <v>1.2</v>
      </c>
      <c r="P267" s="203">
        <v>1</v>
      </c>
      <c r="Q267" s="203">
        <v>0.2</v>
      </c>
      <c r="R267" s="204">
        <v>0.8</v>
      </c>
      <c r="S267" s="203">
        <v>0.8</v>
      </c>
      <c r="T267" s="203" t="s">
        <v>84</v>
      </c>
      <c r="V267" s="198">
        <v>2144</v>
      </c>
      <c r="W267" s="202">
        <v>1</v>
      </c>
      <c r="X267" s="203">
        <v>1</v>
      </c>
      <c r="Y267" s="203">
        <v>0</v>
      </c>
      <c r="Z267" s="204">
        <v>0.8</v>
      </c>
      <c r="AA267" s="203">
        <v>0.8</v>
      </c>
      <c r="AB267" s="203" t="s">
        <v>84</v>
      </c>
      <c r="AD267" s="198">
        <v>2144</v>
      </c>
      <c r="AE267" s="202">
        <v>-0.19999999999999996</v>
      </c>
      <c r="AF267" s="203" t="s">
        <v>82</v>
      </c>
      <c r="AG267" s="203">
        <v>-0.2</v>
      </c>
      <c r="AH267" s="204" t="s">
        <v>82</v>
      </c>
      <c r="AI267" s="203" t="s">
        <v>82</v>
      </c>
      <c r="AJ267" s="203" t="s">
        <v>82</v>
      </c>
    </row>
    <row customFormat="1" r="268" s="205" spans="1:36" x14ac:dyDescent="0.2">
      <c r="A268" s="193">
        <v>264</v>
      </c>
      <c r="B268" s="215">
        <v>5</v>
      </c>
      <c r="C268" s="195" t="s">
        <v>194</v>
      </c>
      <c r="D268" s="195">
        <v>4</v>
      </c>
      <c r="E268" s="195" t="s">
        <v>211</v>
      </c>
      <c r="F268" s="196">
        <v>44505</v>
      </c>
      <c r="G268" s="197" t="s">
        <v>8</v>
      </c>
      <c r="H268" s="198">
        <v>2145</v>
      </c>
      <c r="I268" s="196" t="s">
        <v>216</v>
      </c>
      <c r="J268" s="199">
        <v>1445</v>
      </c>
      <c r="K268" s="198">
        <v>1514</v>
      </c>
      <c r="L268" s="200">
        <v>0</v>
      </c>
      <c r="M268" s="201"/>
      <c r="N268" s="199">
        <v>2145</v>
      </c>
      <c r="O268" s="202">
        <v>1.3</v>
      </c>
      <c r="P268" s="203">
        <v>1.1000000000000001</v>
      </c>
      <c r="Q268" s="203">
        <v>0.2</v>
      </c>
      <c r="R268" s="204">
        <v>0.8</v>
      </c>
      <c r="S268" s="203">
        <v>0.8</v>
      </c>
      <c r="T268" s="203" t="s">
        <v>84</v>
      </c>
      <c r="V268" s="198">
        <v>2145</v>
      </c>
      <c r="W268" s="202">
        <v>1.1000000000000001</v>
      </c>
      <c r="X268" s="203">
        <v>1.1000000000000001</v>
      </c>
      <c r="Y268" s="203">
        <v>0</v>
      </c>
      <c r="Z268" s="204">
        <v>0.8</v>
      </c>
      <c r="AA268" s="203">
        <v>0.8</v>
      </c>
      <c r="AB268" s="203" t="s">
        <v>84</v>
      </c>
      <c r="AD268" s="198">
        <v>2145</v>
      </c>
      <c r="AE268" s="202">
        <v>-0.19999999999999996</v>
      </c>
      <c r="AF268" s="203" t="s">
        <v>82</v>
      </c>
      <c r="AG268" s="203">
        <v>-0.2</v>
      </c>
      <c r="AH268" s="204" t="s">
        <v>82</v>
      </c>
      <c r="AI268" s="203" t="s">
        <v>82</v>
      </c>
      <c r="AJ268" s="203" t="s">
        <v>82</v>
      </c>
    </row>
    <row customFormat="1" r="269" s="205" spans="1:36" x14ac:dyDescent="0.2">
      <c r="A269" s="193">
        <v>265</v>
      </c>
      <c r="B269" s="215">
        <v>5</v>
      </c>
      <c r="C269" s="195" t="s">
        <v>194</v>
      </c>
      <c r="D269" s="195">
        <v>4</v>
      </c>
      <c r="E269" s="195" t="s">
        <v>211</v>
      </c>
      <c r="F269" s="196">
        <v>44634</v>
      </c>
      <c r="G269" s="197" t="s">
        <v>4</v>
      </c>
      <c r="H269" s="198">
        <v>2212</v>
      </c>
      <c r="I269" s="196" t="s">
        <v>217</v>
      </c>
      <c r="J269" s="199">
        <v>800</v>
      </c>
      <c r="K269" s="198">
        <v>949</v>
      </c>
      <c r="L269" s="200">
        <v>0</v>
      </c>
      <c r="M269" s="201"/>
      <c r="N269" s="199">
        <v>2212</v>
      </c>
      <c r="O269" s="202">
        <v>3</v>
      </c>
      <c r="P269" s="203">
        <v>3</v>
      </c>
      <c r="Q269" s="203">
        <v>0</v>
      </c>
      <c r="R269" s="204">
        <v>2.1</v>
      </c>
      <c r="S269" s="203">
        <v>2.1</v>
      </c>
      <c r="T269" s="203">
        <v>0</v>
      </c>
      <c r="V269" s="198">
        <v>2212</v>
      </c>
      <c r="W269" s="202">
        <v>3</v>
      </c>
      <c r="X269" s="203">
        <v>3</v>
      </c>
      <c r="Y269" s="203">
        <v>0</v>
      </c>
      <c r="Z269" s="204">
        <v>2.1</v>
      </c>
      <c r="AA269" s="203">
        <v>2.1</v>
      </c>
      <c r="AB269" s="203">
        <v>0</v>
      </c>
      <c r="AD269" s="198">
        <v>2212</v>
      </c>
      <c r="AE269" s="202" t="s">
        <v>82</v>
      </c>
      <c r="AF269" s="203" t="s">
        <v>82</v>
      </c>
      <c r="AG269" s="203" t="s">
        <v>82</v>
      </c>
      <c r="AH269" s="204" t="s">
        <v>82</v>
      </c>
      <c r="AI269" s="203" t="s">
        <v>82</v>
      </c>
      <c r="AJ269" s="203" t="s">
        <v>82</v>
      </c>
    </row>
    <row customFormat="1" r="270" s="205" spans="1:36" x14ac:dyDescent="0.2">
      <c r="A270" s="193">
        <v>266</v>
      </c>
      <c r="B270" s="215">
        <v>5</v>
      </c>
      <c r="C270" s="195" t="s">
        <v>194</v>
      </c>
      <c r="D270" s="195">
        <v>4</v>
      </c>
      <c r="E270" s="195" t="s">
        <v>211</v>
      </c>
      <c r="F270" s="196">
        <v>44641</v>
      </c>
      <c r="G270" s="197" t="s">
        <v>4</v>
      </c>
      <c r="H270" s="198">
        <v>2213</v>
      </c>
      <c r="I270" s="196" t="s">
        <v>217</v>
      </c>
      <c r="J270" s="199">
        <v>800</v>
      </c>
      <c r="K270" s="198">
        <v>949</v>
      </c>
      <c r="L270" s="200">
        <v>0</v>
      </c>
      <c r="M270" s="201"/>
      <c r="N270" s="199">
        <v>2213</v>
      </c>
      <c r="O270" s="202">
        <v>3.1</v>
      </c>
      <c r="P270" s="203">
        <v>3.1</v>
      </c>
      <c r="Q270" s="203">
        <v>0</v>
      </c>
      <c r="R270" s="204">
        <v>2.5</v>
      </c>
      <c r="S270" s="203">
        <v>2.5</v>
      </c>
      <c r="T270" s="203">
        <v>0</v>
      </c>
      <c r="V270" s="198">
        <v>2213</v>
      </c>
      <c r="W270" s="202">
        <v>3.1</v>
      </c>
      <c r="X270" s="203">
        <v>3.1</v>
      </c>
      <c r="Y270" s="203">
        <v>0</v>
      </c>
      <c r="Z270" s="204">
        <v>2.5</v>
      </c>
      <c r="AA270" s="203">
        <v>2.5</v>
      </c>
      <c r="AB270" s="203">
        <v>0</v>
      </c>
      <c r="AD270" s="198">
        <v>2213</v>
      </c>
      <c r="AE270" s="202" t="s">
        <v>82</v>
      </c>
      <c r="AF270" s="203" t="s">
        <v>82</v>
      </c>
      <c r="AG270" s="203" t="s">
        <v>82</v>
      </c>
      <c r="AH270" s="204" t="s">
        <v>82</v>
      </c>
      <c r="AI270" s="203" t="s">
        <v>82</v>
      </c>
      <c r="AJ270" s="203" t="s">
        <v>82</v>
      </c>
    </row>
    <row customFormat="1" r="271" s="205" spans="1:36" x14ac:dyDescent="0.2">
      <c r="A271" s="193">
        <v>267</v>
      </c>
      <c r="B271" s="215">
        <v>5</v>
      </c>
      <c r="C271" s="195" t="s">
        <v>194</v>
      </c>
      <c r="D271" s="195">
        <v>4</v>
      </c>
      <c r="E271" s="195" t="s">
        <v>211</v>
      </c>
      <c r="F271" s="196">
        <v>44648</v>
      </c>
      <c r="G271" s="197" t="s">
        <v>4</v>
      </c>
      <c r="H271" s="198">
        <v>2214</v>
      </c>
      <c r="I271" s="196" t="s">
        <v>217</v>
      </c>
      <c r="J271" s="199">
        <v>800</v>
      </c>
      <c r="K271" s="198">
        <v>949</v>
      </c>
      <c r="L271" s="200">
        <v>0</v>
      </c>
      <c r="M271" s="201"/>
      <c r="N271" s="199">
        <v>2214</v>
      </c>
      <c r="O271" s="202">
        <v>3.2</v>
      </c>
      <c r="P271" s="203">
        <v>3.2</v>
      </c>
      <c r="Q271" s="203">
        <v>0</v>
      </c>
      <c r="R271" s="204">
        <v>2.5</v>
      </c>
      <c r="S271" s="203">
        <v>2.5</v>
      </c>
      <c r="T271" s="203">
        <v>0</v>
      </c>
      <c r="V271" s="198">
        <v>2214</v>
      </c>
      <c r="W271" s="202">
        <v>3.2</v>
      </c>
      <c r="X271" s="203">
        <v>3.2</v>
      </c>
      <c r="Y271" s="203">
        <v>0</v>
      </c>
      <c r="Z271" s="204">
        <v>2.5</v>
      </c>
      <c r="AA271" s="203">
        <v>2.5</v>
      </c>
      <c r="AB271" s="203">
        <v>0</v>
      </c>
      <c r="AD271" s="198">
        <v>2214</v>
      </c>
      <c r="AE271" s="202" t="s">
        <v>82</v>
      </c>
      <c r="AF271" s="203" t="s">
        <v>82</v>
      </c>
      <c r="AG271" s="203" t="s">
        <v>82</v>
      </c>
      <c r="AH271" s="204" t="s">
        <v>82</v>
      </c>
      <c r="AI271" s="203" t="s">
        <v>82</v>
      </c>
      <c r="AJ271" s="203" t="s">
        <v>82</v>
      </c>
    </row>
    <row customFormat="1" r="272" s="205" spans="1:36" x14ac:dyDescent="0.2">
      <c r="A272" s="193">
        <v>268</v>
      </c>
      <c r="B272" s="215">
        <v>5</v>
      </c>
      <c r="C272" s="195" t="s">
        <v>194</v>
      </c>
      <c r="D272" s="195">
        <v>4</v>
      </c>
      <c r="E272" s="195" t="s">
        <v>211</v>
      </c>
      <c r="F272" s="196">
        <v>44655</v>
      </c>
      <c r="G272" s="197" t="s">
        <v>4</v>
      </c>
      <c r="H272" s="198">
        <v>2215</v>
      </c>
      <c r="I272" s="196" t="s">
        <v>217</v>
      </c>
      <c r="J272" s="199">
        <v>800</v>
      </c>
      <c r="K272" s="198">
        <v>949</v>
      </c>
      <c r="L272" s="200">
        <v>0</v>
      </c>
      <c r="M272" s="201"/>
      <c r="N272" s="199">
        <v>2215</v>
      </c>
      <c r="O272" s="202">
        <v>3.5</v>
      </c>
      <c r="P272" s="203">
        <v>3.5</v>
      </c>
      <c r="Q272" s="203">
        <v>0</v>
      </c>
      <c r="R272" s="204">
        <v>2.6</v>
      </c>
      <c r="S272" s="203">
        <v>2.6</v>
      </c>
      <c r="T272" s="203">
        <v>0</v>
      </c>
      <c r="V272" s="198">
        <v>2215</v>
      </c>
      <c r="W272" s="202">
        <v>3.5</v>
      </c>
      <c r="X272" s="203">
        <v>3.5</v>
      </c>
      <c r="Y272" s="203">
        <v>0</v>
      </c>
      <c r="Z272" s="204">
        <v>2.6</v>
      </c>
      <c r="AA272" s="203">
        <v>2.6</v>
      </c>
      <c r="AB272" s="203">
        <v>0</v>
      </c>
      <c r="AD272" s="198">
        <v>2215</v>
      </c>
      <c r="AE272" s="202" t="s">
        <v>82</v>
      </c>
      <c r="AF272" s="203" t="s">
        <v>82</v>
      </c>
      <c r="AG272" s="203" t="s">
        <v>82</v>
      </c>
      <c r="AH272" s="204" t="s">
        <v>82</v>
      </c>
      <c r="AI272" s="203" t="s">
        <v>82</v>
      </c>
      <c r="AJ272" s="203" t="s">
        <v>82</v>
      </c>
    </row>
    <row customFormat="1" r="273" s="205" spans="1:36" x14ac:dyDescent="0.2">
      <c r="A273" s="193">
        <v>269</v>
      </c>
      <c r="B273" s="215">
        <v>5</v>
      </c>
      <c r="C273" s="195" t="s">
        <v>194</v>
      </c>
      <c r="D273" s="195">
        <v>7</v>
      </c>
      <c r="E273" s="195" t="s">
        <v>218</v>
      </c>
      <c r="F273" s="196">
        <v>44513</v>
      </c>
      <c r="G273" s="197" t="s">
        <v>9</v>
      </c>
      <c r="H273" s="198">
        <v>2146</v>
      </c>
      <c r="I273" s="196" t="s">
        <v>219</v>
      </c>
      <c r="J273" s="199">
        <v>1200</v>
      </c>
      <c r="K273" s="198">
        <v>1257</v>
      </c>
      <c r="L273" s="200">
        <v>0</v>
      </c>
      <c r="M273" s="201"/>
      <c r="N273" s="199">
        <v>2146</v>
      </c>
      <c r="O273" s="202">
        <v>2.1</v>
      </c>
      <c r="P273" s="203">
        <v>1.9</v>
      </c>
      <c r="Q273" s="203">
        <v>0.2</v>
      </c>
      <c r="R273" s="204">
        <v>2.2999999999999998</v>
      </c>
      <c r="S273" s="203">
        <v>2.2000000000000002</v>
      </c>
      <c r="T273" s="203">
        <v>0.1</v>
      </c>
      <c r="V273" s="198">
        <v>2146</v>
      </c>
      <c r="W273" s="202">
        <v>2</v>
      </c>
      <c r="X273" s="203">
        <v>1.9</v>
      </c>
      <c r="Y273" s="203">
        <v>0.1</v>
      </c>
      <c r="Z273" s="204">
        <v>2.2999999999999998</v>
      </c>
      <c r="AA273" s="203">
        <v>2.2000000000000002</v>
      </c>
      <c r="AB273" s="203">
        <v>0.1</v>
      </c>
      <c r="AD273" s="198">
        <v>2146</v>
      </c>
      <c r="AE273" s="202">
        <v>-0.10000000000000009</v>
      </c>
      <c r="AF273" s="203" t="s">
        <v>82</v>
      </c>
      <c r="AG273" s="203">
        <v>-0.1</v>
      </c>
      <c r="AH273" s="204"/>
      <c r="AI273" s="203" t="s">
        <v>82</v>
      </c>
      <c r="AJ273" s="203" t="s">
        <v>82</v>
      </c>
    </row>
    <row customFormat="1" r="274" s="205" spans="1:36" x14ac:dyDescent="0.2">
      <c r="A274" s="193">
        <v>270</v>
      </c>
      <c r="B274" s="215">
        <v>5</v>
      </c>
      <c r="C274" s="195" t="s">
        <v>194</v>
      </c>
      <c r="D274" s="195">
        <v>7</v>
      </c>
      <c r="E274" s="195" t="s">
        <v>218</v>
      </c>
      <c r="F274" s="196">
        <v>44515</v>
      </c>
      <c r="G274" s="197" t="s">
        <v>4</v>
      </c>
      <c r="H274" s="198">
        <v>2147</v>
      </c>
      <c r="I274" s="196" t="s">
        <v>220</v>
      </c>
      <c r="J274" s="199">
        <v>930</v>
      </c>
      <c r="K274" s="198">
        <v>1025</v>
      </c>
      <c r="L274" s="200">
        <v>0</v>
      </c>
      <c r="M274" s="201"/>
      <c r="N274" s="199">
        <v>2147</v>
      </c>
      <c r="O274" s="202">
        <v>1.9</v>
      </c>
      <c r="P274" s="203">
        <v>1.4</v>
      </c>
      <c r="Q274" s="203">
        <v>0.5</v>
      </c>
      <c r="R274" s="204">
        <v>0.7</v>
      </c>
      <c r="S274" s="203">
        <v>0.6</v>
      </c>
      <c r="T274" s="203">
        <v>0.1</v>
      </c>
      <c r="V274" s="198">
        <v>2147</v>
      </c>
      <c r="W274" s="202">
        <v>1.7</v>
      </c>
      <c r="X274" s="203">
        <v>1.4</v>
      </c>
      <c r="Y274" s="203">
        <v>0.3</v>
      </c>
      <c r="Z274" s="204">
        <v>0.7</v>
      </c>
      <c r="AA274" s="203">
        <v>0.6</v>
      </c>
      <c r="AB274" s="203">
        <v>0.1</v>
      </c>
      <c r="AD274" s="198">
        <v>2147</v>
      </c>
      <c r="AE274" s="202">
        <v>-0.19999999999999996</v>
      </c>
      <c r="AF274" s="203" t="s">
        <v>82</v>
      </c>
      <c r="AG274" s="203">
        <v>-0.2</v>
      </c>
      <c r="AH274" s="204" t="s">
        <v>82</v>
      </c>
      <c r="AI274" s="203" t="s">
        <v>82</v>
      </c>
      <c r="AJ274" s="203" t="s">
        <v>82</v>
      </c>
    </row>
    <row customFormat="1" r="275" s="205" spans="1:36" x14ac:dyDescent="0.2">
      <c r="A275" s="193">
        <v>271</v>
      </c>
      <c r="B275" s="215">
        <v>5</v>
      </c>
      <c r="C275" s="195" t="s">
        <v>194</v>
      </c>
      <c r="D275" s="195">
        <v>7</v>
      </c>
      <c r="E275" s="195" t="s">
        <v>218</v>
      </c>
      <c r="F275" s="196">
        <v>44520</v>
      </c>
      <c r="G275" s="197" t="s">
        <v>9</v>
      </c>
      <c r="H275" s="198">
        <v>2147</v>
      </c>
      <c r="I275" s="196" t="s">
        <v>219</v>
      </c>
      <c r="J275" s="199">
        <v>1200</v>
      </c>
      <c r="K275" s="198">
        <v>1356</v>
      </c>
      <c r="L275" s="200">
        <v>0</v>
      </c>
      <c r="M275" s="201"/>
      <c r="N275" s="199">
        <v>2147</v>
      </c>
      <c r="O275" s="202">
        <v>2.2999999999999998</v>
      </c>
      <c r="P275" s="203">
        <v>2.2000000000000002</v>
      </c>
      <c r="Q275" s="203">
        <v>0.1</v>
      </c>
      <c r="R275" s="204">
        <v>2.5</v>
      </c>
      <c r="S275" s="203">
        <v>2.5</v>
      </c>
      <c r="T275" s="203">
        <v>0</v>
      </c>
      <c r="V275" s="198">
        <v>2147</v>
      </c>
      <c r="W275" s="202">
        <v>2.2999999999999998</v>
      </c>
      <c r="X275" s="203">
        <v>2.2000000000000002</v>
      </c>
      <c r="Y275" s="203">
        <v>0.1</v>
      </c>
      <c r="Z275" s="204">
        <v>2.5</v>
      </c>
      <c r="AA275" s="203">
        <v>2.5</v>
      </c>
      <c r="AB275" s="203">
        <v>0</v>
      </c>
      <c r="AD275" s="198">
        <v>2147</v>
      </c>
      <c r="AE275" s="202"/>
      <c r="AF275" s="203" t="s">
        <v>82</v>
      </c>
      <c r="AG275" s="203" t="s">
        <v>82</v>
      </c>
      <c r="AH275" s="204" t="s">
        <v>82</v>
      </c>
      <c r="AI275" s="203" t="s">
        <v>82</v>
      </c>
      <c r="AJ275" s="203" t="s">
        <v>82</v>
      </c>
    </row>
    <row customFormat="1" r="276" s="205" spans="1:36" x14ac:dyDescent="0.2">
      <c r="A276" s="193">
        <v>272</v>
      </c>
      <c r="B276" s="215">
        <v>5</v>
      </c>
      <c r="C276" s="195" t="s">
        <v>194</v>
      </c>
      <c r="D276" s="195">
        <v>7</v>
      </c>
      <c r="E276" s="195" t="s">
        <v>218</v>
      </c>
      <c r="F276" s="196">
        <v>44522</v>
      </c>
      <c r="G276" s="197" t="s">
        <v>4</v>
      </c>
      <c r="H276" s="198">
        <v>2148</v>
      </c>
      <c r="I276" s="196" t="s">
        <v>220</v>
      </c>
      <c r="J276" s="199">
        <v>930</v>
      </c>
      <c r="K276" s="198">
        <v>1025</v>
      </c>
      <c r="L276" s="200">
        <v>0</v>
      </c>
      <c r="M276" s="201"/>
      <c r="N276" s="199">
        <v>2148</v>
      </c>
      <c r="O276" s="202">
        <v>1.7</v>
      </c>
      <c r="P276" s="203">
        <v>1.3</v>
      </c>
      <c r="Q276" s="203">
        <v>0.4</v>
      </c>
      <c r="R276" s="204">
        <v>0.7</v>
      </c>
      <c r="S276" s="203">
        <v>0.6</v>
      </c>
      <c r="T276" s="203">
        <v>0.1</v>
      </c>
      <c r="V276" s="198">
        <v>2148</v>
      </c>
      <c r="W276" s="202">
        <v>1.5</v>
      </c>
      <c r="X276" s="203">
        <v>1.3</v>
      </c>
      <c r="Y276" s="203">
        <v>0.2</v>
      </c>
      <c r="Z276" s="204">
        <v>0.7</v>
      </c>
      <c r="AA276" s="203">
        <v>0.6</v>
      </c>
      <c r="AB276" s="203">
        <v>0.1</v>
      </c>
      <c r="AD276" s="198">
        <v>2148</v>
      </c>
      <c r="AE276" s="202">
        <v>-0.19999999999999996</v>
      </c>
      <c r="AF276" s="203" t="s">
        <v>82</v>
      </c>
      <c r="AG276" s="203">
        <v>-0.2</v>
      </c>
      <c r="AH276" s="204" t="s">
        <v>82</v>
      </c>
      <c r="AI276" s="203" t="s">
        <v>82</v>
      </c>
      <c r="AJ276" s="203" t="s">
        <v>82</v>
      </c>
    </row>
    <row customFormat="1" r="277" s="205" spans="1:36" x14ac:dyDescent="0.2">
      <c r="A277" s="193">
        <v>273</v>
      </c>
      <c r="B277" s="215">
        <v>5</v>
      </c>
      <c r="C277" s="195" t="s">
        <v>194</v>
      </c>
      <c r="D277" s="195">
        <v>7</v>
      </c>
      <c r="E277" s="195" t="s">
        <v>218</v>
      </c>
      <c r="F277" s="196">
        <v>44527</v>
      </c>
      <c r="G277" s="197" t="s">
        <v>9</v>
      </c>
      <c r="H277" s="198">
        <v>2148</v>
      </c>
      <c r="I277" s="196" t="s">
        <v>219</v>
      </c>
      <c r="J277" s="199">
        <v>1200</v>
      </c>
      <c r="K277" s="198">
        <v>1257</v>
      </c>
      <c r="L277" s="200">
        <v>0</v>
      </c>
      <c r="M277" s="201"/>
      <c r="N277" s="199">
        <v>2148</v>
      </c>
      <c r="O277" s="202">
        <v>2.6</v>
      </c>
      <c r="P277" s="203">
        <v>2.4</v>
      </c>
      <c r="Q277" s="203">
        <v>0.2</v>
      </c>
      <c r="R277" s="204">
        <v>2.9</v>
      </c>
      <c r="S277" s="203">
        <v>2.8</v>
      </c>
      <c r="T277" s="203">
        <v>0.1</v>
      </c>
      <c r="V277" s="198">
        <v>2148</v>
      </c>
      <c r="W277" s="202">
        <v>2.5</v>
      </c>
      <c r="X277" s="203">
        <v>2.4</v>
      </c>
      <c r="Y277" s="203">
        <v>0.1</v>
      </c>
      <c r="Z277" s="204">
        <v>2.9</v>
      </c>
      <c r="AA277" s="203">
        <v>2.8</v>
      </c>
      <c r="AB277" s="203">
        <v>0.1</v>
      </c>
      <c r="AD277" s="198">
        <v>2148</v>
      </c>
      <c r="AE277" s="202">
        <v>-0.10000000000000009</v>
      </c>
      <c r="AF277" s="203" t="s">
        <v>82</v>
      </c>
      <c r="AG277" s="203">
        <v>-0.1</v>
      </c>
      <c r="AH277" s="204" t="s">
        <v>82</v>
      </c>
      <c r="AI277" s="203" t="s">
        <v>82</v>
      </c>
      <c r="AJ277" s="203" t="s">
        <v>82</v>
      </c>
    </row>
    <row customFormat="1" r="278" s="205" spans="1:36" x14ac:dyDescent="0.2">
      <c r="A278" s="193">
        <v>274</v>
      </c>
      <c r="B278" s="215">
        <v>5</v>
      </c>
      <c r="C278" s="195" t="s">
        <v>194</v>
      </c>
      <c r="D278" s="195">
        <v>7</v>
      </c>
      <c r="E278" s="195" t="s">
        <v>218</v>
      </c>
      <c r="F278" s="196">
        <v>44529</v>
      </c>
      <c r="G278" s="197" t="s">
        <v>4</v>
      </c>
      <c r="H278" s="198">
        <v>2149</v>
      </c>
      <c r="I278" s="196" t="s">
        <v>220</v>
      </c>
      <c r="J278" s="199">
        <v>930</v>
      </c>
      <c r="K278" s="198">
        <v>1025</v>
      </c>
      <c r="L278" s="200">
        <v>0</v>
      </c>
      <c r="M278" s="201"/>
      <c r="N278" s="199">
        <v>2149</v>
      </c>
      <c r="O278" s="202">
        <v>1.7</v>
      </c>
      <c r="P278" s="203">
        <v>1.3</v>
      </c>
      <c r="Q278" s="203">
        <v>0.4</v>
      </c>
      <c r="R278" s="204">
        <v>0.6</v>
      </c>
      <c r="S278" s="203">
        <v>0.5</v>
      </c>
      <c r="T278" s="203">
        <v>0.1</v>
      </c>
      <c r="V278" s="198">
        <v>2149</v>
      </c>
      <c r="W278" s="202">
        <v>1.5</v>
      </c>
      <c r="X278" s="203">
        <v>1.3</v>
      </c>
      <c r="Y278" s="203">
        <v>0.2</v>
      </c>
      <c r="Z278" s="204">
        <v>0.6</v>
      </c>
      <c r="AA278" s="203">
        <v>0.5</v>
      </c>
      <c r="AB278" s="203">
        <v>0.1</v>
      </c>
      <c r="AD278" s="198">
        <v>2149</v>
      </c>
      <c r="AE278" s="202">
        <v>-0.19999999999999996</v>
      </c>
      <c r="AF278" s="203" t="s">
        <v>82</v>
      </c>
      <c r="AG278" s="203">
        <v>-0.2</v>
      </c>
      <c r="AH278" s="204" t="s">
        <v>82</v>
      </c>
      <c r="AI278" s="203" t="s">
        <v>82</v>
      </c>
      <c r="AJ278" s="203" t="s">
        <v>82</v>
      </c>
    </row>
    <row customFormat="1" r="279" s="205" spans="1:36" x14ac:dyDescent="0.2">
      <c r="A279" s="193">
        <v>275</v>
      </c>
      <c r="B279" s="215">
        <v>5</v>
      </c>
      <c r="C279" s="195" t="s">
        <v>194</v>
      </c>
      <c r="D279" s="195">
        <v>7</v>
      </c>
      <c r="E279" s="195" t="s">
        <v>218</v>
      </c>
      <c r="F279" s="196">
        <v>44534</v>
      </c>
      <c r="G279" s="197" t="s">
        <v>9</v>
      </c>
      <c r="H279" s="198">
        <v>2149</v>
      </c>
      <c r="I279" s="196" t="s">
        <v>219</v>
      </c>
      <c r="J279" s="199">
        <v>1200</v>
      </c>
      <c r="K279" s="198">
        <v>1257</v>
      </c>
      <c r="L279" s="200">
        <v>0</v>
      </c>
      <c r="M279" s="201"/>
      <c r="N279" s="199">
        <v>2149</v>
      </c>
      <c r="O279" s="202">
        <v>2.9</v>
      </c>
      <c r="P279" s="203">
        <v>2.7</v>
      </c>
      <c r="Q279" s="203">
        <v>0.2</v>
      </c>
      <c r="R279" s="204">
        <v>3.2</v>
      </c>
      <c r="S279" s="203">
        <v>3.2</v>
      </c>
      <c r="T279" s="203">
        <v>0</v>
      </c>
      <c r="V279" s="198">
        <v>2149</v>
      </c>
      <c r="W279" s="202">
        <v>2.8</v>
      </c>
      <c r="X279" s="203">
        <v>2.7</v>
      </c>
      <c r="Y279" s="203">
        <v>0.1</v>
      </c>
      <c r="Z279" s="204">
        <v>3.2</v>
      </c>
      <c r="AA279" s="203">
        <v>3.2</v>
      </c>
      <c r="AB279" s="203">
        <v>0</v>
      </c>
      <c r="AD279" s="198">
        <v>2149</v>
      </c>
      <c r="AE279" s="202">
        <v>-0.10000000000000009</v>
      </c>
      <c r="AF279" s="203" t="s">
        <v>82</v>
      </c>
      <c r="AG279" s="203">
        <v>-0.1</v>
      </c>
      <c r="AH279" s="204" t="s">
        <v>82</v>
      </c>
      <c r="AI279" s="203" t="s">
        <v>82</v>
      </c>
      <c r="AJ279" s="203" t="s">
        <v>82</v>
      </c>
    </row>
    <row customFormat="1" r="280" s="205" spans="1:36" x14ac:dyDescent="0.2">
      <c r="A280" s="193">
        <v>276</v>
      </c>
      <c r="B280" s="215">
        <v>5</v>
      </c>
      <c r="C280" s="195" t="s">
        <v>194</v>
      </c>
      <c r="D280" s="195">
        <v>7</v>
      </c>
      <c r="E280" s="195" t="s">
        <v>218</v>
      </c>
      <c r="F280" s="196">
        <v>44536</v>
      </c>
      <c r="G280" s="197" t="s">
        <v>4</v>
      </c>
      <c r="H280" s="198">
        <v>2150</v>
      </c>
      <c r="I280" s="196" t="s">
        <v>220</v>
      </c>
      <c r="J280" s="199">
        <v>930</v>
      </c>
      <c r="K280" s="198">
        <v>1025</v>
      </c>
      <c r="L280" s="200">
        <v>0</v>
      </c>
      <c r="M280" s="201"/>
      <c r="N280" s="199">
        <v>2150</v>
      </c>
      <c r="O280" s="202">
        <v>1.7</v>
      </c>
      <c r="P280" s="203">
        <v>1.3</v>
      </c>
      <c r="Q280" s="203">
        <v>0.4</v>
      </c>
      <c r="R280" s="204">
        <v>0.5</v>
      </c>
      <c r="S280" s="203">
        <v>0.4</v>
      </c>
      <c r="T280" s="203">
        <v>0.1</v>
      </c>
      <c r="V280" s="198">
        <v>2150</v>
      </c>
      <c r="W280" s="202">
        <v>1.5</v>
      </c>
      <c r="X280" s="203">
        <v>1.3</v>
      </c>
      <c r="Y280" s="203">
        <v>0.2</v>
      </c>
      <c r="Z280" s="204">
        <v>0.5</v>
      </c>
      <c r="AA280" s="203">
        <v>0.4</v>
      </c>
      <c r="AB280" s="203">
        <v>0.1</v>
      </c>
      <c r="AD280" s="198">
        <v>2150</v>
      </c>
      <c r="AE280" s="202">
        <v>-0.19999999999999996</v>
      </c>
      <c r="AF280" s="203" t="s">
        <v>82</v>
      </c>
      <c r="AG280" s="203">
        <v>-0.2</v>
      </c>
      <c r="AH280" s="204" t="s">
        <v>82</v>
      </c>
      <c r="AI280" s="203" t="s">
        <v>82</v>
      </c>
      <c r="AJ280" s="203" t="s">
        <v>82</v>
      </c>
    </row>
    <row customFormat="1" r="281" s="205" spans="1:36" x14ac:dyDescent="0.2">
      <c r="A281" s="193">
        <v>277</v>
      </c>
      <c r="B281" s="215">
        <v>6</v>
      </c>
      <c r="C281" s="195" t="s">
        <v>221</v>
      </c>
      <c r="D281" s="195">
        <v>2</v>
      </c>
      <c r="E281" s="195" t="s">
        <v>222</v>
      </c>
      <c r="F281" s="196">
        <v>44161</v>
      </c>
      <c r="G281" s="197" t="s">
        <v>7</v>
      </c>
      <c r="H281" s="198">
        <v>2048</v>
      </c>
      <c r="I281" s="196" t="s">
        <v>223</v>
      </c>
      <c r="J281" s="199">
        <v>1650</v>
      </c>
      <c r="K281" s="198">
        <v>1747</v>
      </c>
      <c r="L281" s="200">
        <v>0</v>
      </c>
      <c r="M281" s="201"/>
      <c r="N281" s="199">
        <v>2048</v>
      </c>
      <c r="O281" s="202">
        <v>2.7</v>
      </c>
      <c r="P281" s="203">
        <v>2.5</v>
      </c>
      <c r="Q281" s="203">
        <v>0.2</v>
      </c>
      <c r="R281" s="204">
        <v>3.2</v>
      </c>
      <c r="S281" s="203">
        <v>3.2</v>
      </c>
      <c r="T281" s="203" t="s">
        <v>84</v>
      </c>
      <c r="V281" s="198">
        <v>2048</v>
      </c>
      <c r="W281" s="202">
        <v>2.5</v>
      </c>
      <c r="X281" s="203">
        <v>2.5</v>
      </c>
      <c r="Y281" s="203">
        <v>0</v>
      </c>
      <c r="Z281" s="204">
        <v>3.2</v>
      </c>
      <c r="AA281" s="203">
        <v>3.2</v>
      </c>
      <c r="AB281" s="203" t="s">
        <v>84</v>
      </c>
      <c r="AD281" s="198">
        <v>2048</v>
      </c>
      <c r="AE281" s="202">
        <v>-0.20000000000000018</v>
      </c>
      <c r="AF281" s="203" t="s">
        <v>82</v>
      </c>
      <c r="AG281" s="203">
        <v>-0.2</v>
      </c>
      <c r="AH281" s="204" t="s">
        <v>82</v>
      </c>
      <c r="AI281" s="203" t="s">
        <v>82</v>
      </c>
      <c r="AJ281" s="203" t="s">
        <v>82</v>
      </c>
    </row>
    <row customFormat="1" r="282" s="205" spans="1:36" x14ac:dyDescent="0.2">
      <c r="A282" s="193">
        <v>278</v>
      </c>
      <c r="B282" s="215">
        <v>6</v>
      </c>
      <c r="C282" s="195" t="s">
        <v>221</v>
      </c>
      <c r="D282" s="195">
        <v>2</v>
      </c>
      <c r="E282" s="195" t="s">
        <v>222</v>
      </c>
      <c r="F282" s="196">
        <v>44168</v>
      </c>
      <c r="G282" s="197" t="s">
        <v>7</v>
      </c>
      <c r="H282" s="198">
        <v>2049</v>
      </c>
      <c r="I282" s="196" t="s">
        <v>223</v>
      </c>
      <c r="J282" s="199">
        <v>1650</v>
      </c>
      <c r="K282" s="198">
        <v>1747</v>
      </c>
      <c r="L282" s="200">
        <v>0</v>
      </c>
      <c r="M282" s="201"/>
      <c r="N282" s="199">
        <v>2049</v>
      </c>
      <c r="O282" s="202">
        <v>2.7</v>
      </c>
      <c r="P282" s="203">
        <v>2.5</v>
      </c>
      <c r="Q282" s="203">
        <v>0.2</v>
      </c>
      <c r="R282" s="204">
        <v>3.2</v>
      </c>
      <c r="S282" s="203">
        <v>3.2</v>
      </c>
      <c r="T282" s="203" t="s">
        <v>84</v>
      </c>
      <c r="V282" s="198">
        <v>2049</v>
      </c>
      <c r="W282" s="202">
        <v>2.5</v>
      </c>
      <c r="X282" s="203">
        <v>2.5</v>
      </c>
      <c r="Y282" s="203">
        <v>0</v>
      </c>
      <c r="Z282" s="204">
        <v>3.2</v>
      </c>
      <c r="AA282" s="203">
        <v>3.2</v>
      </c>
      <c r="AB282" s="203" t="s">
        <v>84</v>
      </c>
      <c r="AD282" s="198">
        <v>2049</v>
      </c>
      <c r="AE282" s="202">
        <v>-0.20000000000000018</v>
      </c>
      <c r="AF282" s="203" t="s">
        <v>82</v>
      </c>
      <c r="AG282" s="203">
        <v>-0.2</v>
      </c>
      <c r="AH282" s="204" t="s">
        <v>82</v>
      </c>
      <c r="AI282" s="203" t="s">
        <v>82</v>
      </c>
      <c r="AJ282" s="203" t="s">
        <v>82</v>
      </c>
    </row>
    <row customFormat="1" r="283" s="205" spans="1:36" x14ac:dyDescent="0.2">
      <c r="A283" s="193">
        <v>279</v>
      </c>
      <c r="B283" s="215">
        <v>6</v>
      </c>
      <c r="C283" s="195" t="s">
        <v>221</v>
      </c>
      <c r="D283" s="195">
        <v>2</v>
      </c>
      <c r="E283" s="195" t="s">
        <v>222</v>
      </c>
      <c r="F283" s="196">
        <v>44175</v>
      </c>
      <c r="G283" s="197" t="s">
        <v>7</v>
      </c>
      <c r="H283" s="198">
        <v>2050</v>
      </c>
      <c r="I283" s="196" t="s">
        <v>223</v>
      </c>
      <c r="J283" s="199">
        <v>1650</v>
      </c>
      <c r="K283" s="198">
        <v>1747</v>
      </c>
      <c r="L283" s="200">
        <v>0</v>
      </c>
      <c r="M283" s="201"/>
      <c r="N283" s="199">
        <v>2050</v>
      </c>
      <c r="O283" s="202">
        <v>2.7</v>
      </c>
      <c r="P283" s="203">
        <v>2.5</v>
      </c>
      <c r="Q283" s="203">
        <v>0.2</v>
      </c>
      <c r="R283" s="204">
        <v>3</v>
      </c>
      <c r="S283" s="203">
        <v>3</v>
      </c>
      <c r="T283" s="203" t="s">
        <v>84</v>
      </c>
      <c r="V283" s="198">
        <v>2050</v>
      </c>
      <c r="W283" s="202">
        <v>2.5</v>
      </c>
      <c r="X283" s="203">
        <v>2.5</v>
      </c>
      <c r="Y283" s="203">
        <v>0</v>
      </c>
      <c r="Z283" s="204">
        <v>3</v>
      </c>
      <c r="AA283" s="203">
        <v>3</v>
      </c>
      <c r="AB283" s="203" t="s">
        <v>84</v>
      </c>
      <c r="AD283" s="198">
        <v>2050</v>
      </c>
      <c r="AE283" s="202">
        <v>-0.20000000000000018</v>
      </c>
      <c r="AF283" s="203" t="s">
        <v>82</v>
      </c>
      <c r="AG283" s="203">
        <v>-0.2</v>
      </c>
      <c r="AH283" s="204" t="s">
        <v>82</v>
      </c>
      <c r="AI283" s="203" t="s">
        <v>82</v>
      </c>
      <c r="AJ283" s="203" t="s">
        <v>82</v>
      </c>
    </row>
    <row customFormat="1" r="284" s="205" spans="1:36" x14ac:dyDescent="0.2">
      <c r="A284" s="193">
        <v>280</v>
      </c>
      <c r="B284" s="215">
        <v>6</v>
      </c>
      <c r="C284" s="195" t="s">
        <v>221</v>
      </c>
      <c r="D284" s="195">
        <v>2</v>
      </c>
      <c r="E284" s="195" t="s">
        <v>222</v>
      </c>
      <c r="F284" s="196">
        <v>44182</v>
      </c>
      <c r="G284" s="197" t="s">
        <v>7</v>
      </c>
      <c r="H284" s="198">
        <v>2051</v>
      </c>
      <c r="I284" s="196" t="s">
        <v>223</v>
      </c>
      <c r="J284" s="199">
        <v>1650</v>
      </c>
      <c r="K284" s="198">
        <v>1747</v>
      </c>
      <c r="L284" s="200">
        <v>0</v>
      </c>
      <c r="M284" s="201"/>
      <c r="N284" s="199">
        <v>2051</v>
      </c>
      <c r="O284" s="202">
        <v>2.7</v>
      </c>
      <c r="P284" s="203">
        <v>2.5</v>
      </c>
      <c r="Q284" s="203">
        <v>0.2</v>
      </c>
      <c r="R284" s="204">
        <v>2.9</v>
      </c>
      <c r="S284" s="203">
        <v>2.9</v>
      </c>
      <c r="T284" s="203" t="s">
        <v>84</v>
      </c>
      <c r="V284" s="198">
        <v>2051</v>
      </c>
      <c r="W284" s="202">
        <v>2.5</v>
      </c>
      <c r="X284" s="203">
        <v>2.5</v>
      </c>
      <c r="Y284" s="203">
        <v>0</v>
      </c>
      <c r="Z284" s="204">
        <v>2.9</v>
      </c>
      <c r="AA284" s="203">
        <v>2.9</v>
      </c>
      <c r="AB284" s="203" t="s">
        <v>84</v>
      </c>
      <c r="AD284" s="198">
        <v>2051</v>
      </c>
      <c r="AE284" s="202">
        <v>-0.20000000000000018</v>
      </c>
      <c r="AF284" s="203" t="s">
        <v>82</v>
      </c>
      <c r="AG284" s="203">
        <v>-0.2</v>
      </c>
      <c r="AH284" s="204" t="s">
        <v>82</v>
      </c>
      <c r="AI284" s="203" t="s">
        <v>82</v>
      </c>
      <c r="AJ284" s="203" t="s">
        <v>82</v>
      </c>
    </row>
    <row customFormat="1" r="285" s="205" spans="1:36" x14ac:dyDescent="0.2">
      <c r="A285" s="193">
        <v>281</v>
      </c>
      <c r="B285" s="215">
        <v>6</v>
      </c>
      <c r="C285" s="195" t="s">
        <v>221</v>
      </c>
      <c r="D285" s="195">
        <v>2</v>
      </c>
      <c r="E285" s="195" t="s">
        <v>222</v>
      </c>
      <c r="F285" s="196">
        <v>44247</v>
      </c>
      <c r="G285" s="197" t="s">
        <v>9</v>
      </c>
      <c r="H285" s="198">
        <v>2108</v>
      </c>
      <c r="I285" s="196" t="s">
        <v>224</v>
      </c>
      <c r="J285" s="199">
        <v>1900</v>
      </c>
      <c r="K285" s="198">
        <v>2303</v>
      </c>
      <c r="L285" s="200">
        <v>0</v>
      </c>
      <c r="M285" s="201"/>
      <c r="N285" s="199">
        <v>2108</v>
      </c>
      <c r="O285" s="202">
        <v>8</v>
      </c>
      <c r="P285" s="203">
        <v>7.2</v>
      </c>
      <c r="Q285" s="203">
        <v>0.8</v>
      </c>
      <c r="R285" s="204">
        <v>7.2</v>
      </c>
      <c r="S285" s="203">
        <v>7</v>
      </c>
      <c r="T285" s="203">
        <v>0.2</v>
      </c>
      <c r="V285" s="198">
        <v>2108</v>
      </c>
      <c r="W285" s="202">
        <v>7.9</v>
      </c>
      <c r="X285" s="203">
        <v>7.2</v>
      </c>
      <c r="Y285" s="203">
        <v>0.7</v>
      </c>
      <c r="Z285" s="204">
        <v>7.2</v>
      </c>
      <c r="AA285" s="203">
        <v>7</v>
      </c>
      <c r="AB285" s="203">
        <v>0.2</v>
      </c>
      <c r="AD285" s="198">
        <v>2108</v>
      </c>
      <c r="AE285" s="202">
        <v>-9.9999999999999645E-2</v>
      </c>
      <c r="AF285" s="203" t="s">
        <v>82</v>
      </c>
      <c r="AG285" s="203">
        <v>-0.10000000000000009</v>
      </c>
      <c r="AH285" s="204" t="s">
        <v>82</v>
      </c>
      <c r="AI285" s="203" t="s">
        <v>82</v>
      </c>
      <c r="AJ285" s="203" t="s">
        <v>82</v>
      </c>
    </row>
    <row customFormat="1" r="286" s="205" spans="1:36" x14ac:dyDescent="0.2">
      <c r="A286" s="193">
        <v>282</v>
      </c>
      <c r="B286" s="215">
        <v>6</v>
      </c>
      <c r="C286" s="195" t="s">
        <v>221</v>
      </c>
      <c r="D286" s="195">
        <v>2</v>
      </c>
      <c r="E286" s="195" t="s">
        <v>222</v>
      </c>
      <c r="F286" s="196">
        <v>44254</v>
      </c>
      <c r="G286" s="197" t="s">
        <v>9</v>
      </c>
      <c r="H286" s="198">
        <v>2109</v>
      </c>
      <c r="I286" s="196" t="s">
        <v>225</v>
      </c>
      <c r="J286" s="199">
        <v>1900</v>
      </c>
      <c r="K286" s="198">
        <v>2053</v>
      </c>
      <c r="L286" s="200">
        <v>0</v>
      </c>
      <c r="M286" s="201"/>
      <c r="N286" s="199">
        <v>2109</v>
      </c>
      <c r="O286" s="202">
        <v>7.9</v>
      </c>
      <c r="P286" s="203">
        <v>7.1</v>
      </c>
      <c r="Q286" s="203">
        <v>0.8</v>
      </c>
      <c r="R286" s="204">
        <v>8.3000000000000007</v>
      </c>
      <c r="S286" s="203">
        <v>8.3000000000000007</v>
      </c>
      <c r="T286" s="203" t="s">
        <v>84</v>
      </c>
      <c r="V286" s="198">
        <v>2109</v>
      </c>
      <c r="W286" s="202">
        <v>7.6</v>
      </c>
      <c r="X286" s="203">
        <v>7.1</v>
      </c>
      <c r="Y286" s="203">
        <v>0.5</v>
      </c>
      <c r="Z286" s="204">
        <v>8.3000000000000007</v>
      </c>
      <c r="AA286" s="203">
        <v>8.3000000000000007</v>
      </c>
      <c r="AB286" s="203" t="s">
        <v>84</v>
      </c>
      <c r="AD286" s="198">
        <v>2109</v>
      </c>
      <c r="AE286" s="202">
        <v>-0.30000000000000071</v>
      </c>
      <c r="AF286" s="203" t="s">
        <v>82</v>
      </c>
      <c r="AG286" s="203">
        <v>-0.30000000000000004</v>
      </c>
      <c r="AH286" s="204" t="s">
        <v>82</v>
      </c>
      <c r="AI286" s="203" t="s">
        <v>82</v>
      </c>
      <c r="AJ286" s="203" t="s">
        <v>82</v>
      </c>
    </row>
    <row customFormat="1" r="287" s="205" spans="1:36" x14ac:dyDescent="0.2">
      <c r="A287" s="193">
        <v>283</v>
      </c>
      <c r="B287" s="215">
        <v>6</v>
      </c>
      <c r="C287" s="195" t="s">
        <v>221</v>
      </c>
      <c r="D287" s="195">
        <v>2</v>
      </c>
      <c r="E287" s="195" t="s">
        <v>222</v>
      </c>
      <c r="F287" s="196">
        <v>44261</v>
      </c>
      <c r="G287" s="197" t="s">
        <v>9</v>
      </c>
      <c r="H287" s="198">
        <v>2110</v>
      </c>
      <c r="I287" s="196" t="s">
        <v>226</v>
      </c>
      <c r="J287" s="199">
        <v>1900</v>
      </c>
      <c r="K287" s="198">
        <v>2053</v>
      </c>
      <c r="L287" s="200">
        <v>0</v>
      </c>
      <c r="M287" s="201"/>
      <c r="N287" s="199">
        <v>2110</v>
      </c>
      <c r="O287" s="202">
        <v>8.3000000000000007</v>
      </c>
      <c r="P287" s="203">
        <v>7.5</v>
      </c>
      <c r="Q287" s="203">
        <v>0.8</v>
      </c>
      <c r="R287" s="204">
        <v>8.6</v>
      </c>
      <c r="S287" s="203">
        <v>8.6</v>
      </c>
      <c r="T287" s="203" t="s">
        <v>84</v>
      </c>
      <c r="V287" s="198">
        <v>2110</v>
      </c>
      <c r="W287" s="202">
        <v>8.1</v>
      </c>
      <c r="X287" s="203">
        <v>7.5</v>
      </c>
      <c r="Y287" s="203">
        <v>0.6</v>
      </c>
      <c r="Z287" s="204">
        <v>8.6</v>
      </c>
      <c r="AA287" s="203">
        <v>8.6</v>
      </c>
      <c r="AB287" s="203" t="s">
        <v>84</v>
      </c>
      <c r="AD287" s="198">
        <v>2110</v>
      </c>
      <c r="AE287" s="202">
        <v>-0.20000000000000107</v>
      </c>
      <c r="AF287" s="203" t="s">
        <v>82</v>
      </c>
      <c r="AG287" s="203">
        <v>-0.20000000000000007</v>
      </c>
      <c r="AH287" s="204" t="s">
        <v>82</v>
      </c>
      <c r="AI287" s="203" t="s">
        <v>82</v>
      </c>
      <c r="AJ287" s="203" t="s">
        <v>82</v>
      </c>
    </row>
    <row customFormat="1" r="288" s="205" spans="1:36" x14ac:dyDescent="0.2">
      <c r="A288" s="193">
        <v>284</v>
      </c>
      <c r="B288" s="215">
        <v>6</v>
      </c>
      <c r="C288" s="195" t="s">
        <v>221</v>
      </c>
      <c r="D288" s="195">
        <v>2</v>
      </c>
      <c r="E288" s="195" t="s">
        <v>222</v>
      </c>
      <c r="F288" s="196">
        <v>44268</v>
      </c>
      <c r="G288" s="197" t="s">
        <v>9</v>
      </c>
      <c r="H288" s="198">
        <v>2111</v>
      </c>
      <c r="I288" s="196" t="s">
        <v>227</v>
      </c>
      <c r="J288" s="199">
        <v>1900</v>
      </c>
      <c r="K288" s="198">
        <v>1959</v>
      </c>
      <c r="L288" s="200">
        <v>0</v>
      </c>
      <c r="M288" s="201"/>
      <c r="N288" s="199">
        <v>2111</v>
      </c>
      <c r="O288" s="202">
        <v>7.8</v>
      </c>
      <c r="P288" s="203">
        <v>6.6</v>
      </c>
      <c r="Q288" s="203">
        <v>1.2</v>
      </c>
      <c r="R288" s="204">
        <v>8.1</v>
      </c>
      <c r="S288" s="203">
        <v>8.1</v>
      </c>
      <c r="T288" s="203" t="s">
        <v>84</v>
      </c>
      <c r="V288" s="198">
        <v>2111</v>
      </c>
      <c r="W288" s="202">
        <v>7</v>
      </c>
      <c r="X288" s="203">
        <v>6.6</v>
      </c>
      <c r="Y288" s="203">
        <v>0.4</v>
      </c>
      <c r="Z288" s="204">
        <v>8.1</v>
      </c>
      <c r="AA288" s="203">
        <v>8.1</v>
      </c>
      <c r="AB288" s="203" t="s">
        <v>84</v>
      </c>
      <c r="AD288" s="198">
        <v>2111</v>
      </c>
      <c r="AE288" s="202">
        <v>-0.79999999999999982</v>
      </c>
      <c r="AF288" s="203" t="s">
        <v>82</v>
      </c>
      <c r="AG288" s="203">
        <v>-0.79999999999999993</v>
      </c>
      <c r="AH288" s="204" t="s">
        <v>82</v>
      </c>
      <c r="AI288" s="203" t="s">
        <v>82</v>
      </c>
      <c r="AJ288" s="203" t="s">
        <v>82</v>
      </c>
    </row>
    <row customFormat="1" r="289" s="205" spans="1:36" x14ac:dyDescent="0.2">
      <c r="A289" s="193">
        <v>285</v>
      </c>
      <c r="B289" s="215">
        <v>6</v>
      </c>
      <c r="C289" s="195" t="s">
        <v>221</v>
      </c>
      <c r="D289" s="195">
        <v>3</v>
      </c>
      <c r="E289" s="195" t="s">
        <v>228</v>
      </c>
      <c r="F289" s="196">
        <v>44541</v>
      </c>
      <c r="G289" s="197" t="s">
        <v>9</v>
      </c>
      <c r="H289" s="198">
        <v>2150</v>
      </c>
      <c r="I289" s="196" t="s">
        <v>229</v>
      </c>
      <c r="J289" s="199">
        <v>1900</v>
      </c>
      <c r="K289" s="198">
        <v>2053</v>
      </c>
      <c r="L289" s="200">
        <v>0</v>
      </c>
      <c r="M289" s="201"/>
      <c r="N289" s="199">
        <v>2150</v>
      </c>
      <c r="O289" s="202">
        <v>8.9</v>
      </c>
      <c r="P289" s="203">
        <v>8.5</v>
      </c>
      <c r="Q289" s="203">
        <v>0.4</v>
      </c>
      <c r="R289" s="204">
        <v>6.3</v>
      </c>
      <c r="S289" s="203">
        <v>6.1</v>
      </c>
      <c r="T289" s="203">
        <v>0.2</v>
      </c>
      <c r="V289" s="198">
        <v>2150</v>
      </c>
      <c r="W289" s="202">
        <v>8.8000000000000007</v>
      </c>
      <c r="X289" s="203">
        <v>8.5</v>
      </c>
      <c r="Y289" s="203">
        <v>0.3</v>
      </c>
      <c r="Z289" s="204">
        <v>6.3</v>
      </c>
      <c r="AA289" s="203">
        <v>6.1</v>
      </c>
      <c r="AB289" s="203">
        <v>0.2</v>
      </c>
      <c r="AD289" s="198">
        <v>2150</v>
      </c>
      <c r="AE289" s="202">
        <v>-9.9999999999999645E-2</v>
      </c>
      <c r="AF289" s="203" t="s">
        <v>82</v>
      </c>
      <c r="AG289" s="203">
        <v>-0.10000000000000003</v>
      </c>
      <c r="AH289" s="204" t="s">
        <v>82</v>
      </c>
      <c r="AI289" s="203" t="s">
        <v>82</v>
      </c>
      <c r="AJ289" s="203" t="s">
        <v>82</v>
      </c>
    </row>
    <row customFormat="1" r="290" s="205" spans="1:36" x14ac:dyDescent="0.2">
      <c r="A290" s="193">
        <v>286</v>
      </c>
      <c r="B290" s="215">
        <v>6</v>
      </c>
      <c r="C290" s="195" t="s">
        <v>221</v>
      </c>
      <c r="D290" s="195">
        <v>3</v>
      </c>
      <c r="E290" s="195" t="s">
        <v>228</v>
      </c>
      <c r="F290" s="196">
        <v>44548</v>
      </c>
      <c r="G290" s="197" t="s">
        <v>9</v>
      </c>
      <c r="H290" s="198">
        <v>2151</v>
      </c>
      <c r="I290" s="196" t="s">
        <v>230</v>
      </c>
      <c r="J290" s="199">
        <v>1900</v>
      </c>
      <c r="K290" s="198">
        <v>1955</v>
      </c>
      <c r="L290" s="200">
        <v>0</v>
      </c>
      <c r="M290" s="201"/>
      <c r="N290" s="199">
        <v>2151</v>
      </c>
      <c r="O290" s="202">
        <v>9.8000000000000007</v>
      </c>
      <c r="P290" s="203">
        <v>9.3000000000000007</v>
      </c>
      <c r="Q290" s="203">
        <v>0.5</v>
      </c>
      <c r="R290" s="204">
        <v>9.4</v>
      </c>
      <c r="S290" s="203">
        <v>9.4</v>
      </c>
      <c r="T290" s="203" t="s">
        <v>84</v>
      </c>
      <c r="V290" s="198">
        <v>2151</v>
      </c>
      <c r="W290" s="202">
        <v>9.6999999999999993</v>
      </c>
      <c r="X290" s="203">
        <v>9.3000000000000007</v>
      </c>
      <c r="Y290" s="203">
        <v>0.4</v>
      </c>
      <c r="Z290" s="204">
        <v>9.4</v>
      </c>
      <c r="AA290" s="203">
        <v>9.4</v>
      </c>
      <c r="AB290" s="203" t="s">
        <v>84</v>
      </c>
      <c r="AD290" s="198">
        <v>2151</v>
      </c>
      <c r="AE290" s="202">
        <v>-0.10000000000000142</v>
      </c>
      <c r="AF290" s="203" t="s">
        <v>82</v>
      </c>
      <c r="AG290" s="203">
        <v>-9.9999999999999978E-2</v>
      </c>
      <c r="AH290" s="204" t="s">
        <v>82</v>
      </c>
      <c r="AI290" s="203" t="s">
        <v>82</v>
      </c>
      <c r="AJ290" s="203" t="s">
        <v>82</v>
      </c>
    </row>
    <row customFormat="1" r="291" s="205" spans="1:36" x14ac:dyDescent="0.2">
      <c r="A291" s="193">
        <v>287</v>
      </c>
      <c r="B291" s="215">
        <v>6</v>
      </c>
      <c r="C291" s="195" t="s">
        <v>221</v>
      </c>
      <c r="D291" s="195">
        <v>3</v>
      </c>
      <c r="E291" s="195" t="s">
        <v>228</v>
      </c>
      <c r="F291" s="196">
        <v>44555</v>
      </c>
      <c r="G291" s="197" t="s">
        <v>9</v>
      </c>
      <c r="H291" s="198">
        <v>2152</v>
      </c>
      <c r="I291" s="196" t="s">
        <v>231</v>
      </c>
      <c r="J291" s="199">
        <v>1900</v>
      </c>
      <c r="K291" s="198">
        <v>2053</v>
      </c>
      <c r="L291" s="200">
        <v>0</v>
      </c>
      <c r="M291" s="201"/>
      <c r="N291" s="199">
        <v>2152</v>
      </c>
      <c r="O291" s="202">
        <v>9.8000000000000007</v>
      </c>
      <c r="P291" s="203">
        <v>9.5</v>
      </c>
      <c r="Q291" s="203">
        <v>0.3</v>
      </c>
      <c r="R291" s="204">
        <v>7.5</v>
      </c>
      <c r="S291" s="203">
        <v>7.3</v>
      </c>
      <c r="T291" s="203">
        <v>0.2</v>
      </c>
      <c r="V291" s="198">
        <v>2152</v>
      </c>
      <c r="W291" s="202">
        <v>9.8000000000000007</v>
      </c>
      <c r="X291" s="203">
        <v>9.5</v>
      </c>
      <c r="Y291" s="203">
        <v>0.3</v>
      </c>
      <c r="Z291" s="204">
        <v>7.5</v>
      </c>
      <c r="AA291" s="203">
        <v>7.3</v>
      </c>
      <c r="AB291" s="203">
        <v>0.2</v>
      </c>
      <c r="AD291" s="198">
        <v>2152</v>
      </c>
      <c r="AE291" s="202" t="s">
        <v>82</v>
      </c>
      <c r="AF291" s="203" t="s">
        <v>82</v>
      </c>
      <c r="AG291" s="203" t="s">
        <v>82</v>
      </c>
      <c r="AH291" s="204" t="s">
        <v>82</v>
      </c>
      <c r="AI291" s="203" t="s">
        <v>82</v>
      </c>
      <c r="AJ291" s="203" t="s">
        <v>82</v>
      </c>
    </row>
    <row customFormat="1" r="292" s="205" spans="1:36" x14ac:dyDescent="0.2">
      <c r="A292" s="193">
        <v>288</v>
      </c>
      <c r="B292" s="215">
        <v>6</v>
      </c>
      <c r="C292" s="195" t="s">
        <v>221</v>
      </c>
      <c r="D292" s="195">
        <v>3</v>
      </c>
      <c r="E292" s="195" t="s">
        <v>228</v>
      </c>
      <c r="F292" s="196">
        <v>44562</v>
      </c>
      <c r="G292" s="197" t="s">
        <v>9</v>
      </c>
      <c r="H292" s="198">
        <v>2201</v>
      </c>
      <c r="I292" s="196" t="s">
        <v>232</v>
      </c>
      <c r="J292" s="199">
        <v>1900</v>
      </c>
      <c r="K292" s="198">
        <v>2059</v>
      </c>
      <c r="L292" s="200">
        <v>0</v>
      </c>
      <c r="M292" s="201"/>
      <c r="N292" s="199">
        <v>2201</v>
      </c>
      <c r="O292" s="202">
        <v>9.5</v>
      </c>
      <c r="P292" s="203">
        <v>9.1999999999999993</v>
      </c>
      <c r="Q292" s="203">
        <v>0.3</v>
      </c>
      <c r="R292" s="204">
        <v>6</v>
      </c>
      <c r="S292" s="203">
        <v>6</v>
      </c>
      <c r="T292" s="203">
        <v>0</v>
      </c>
      <c r="V292" s="198">
        <v>2201</v>
      </c>
      <c r="W292" s="202">
        <v>9.4</v>
      </c>
      <c r="X292" s="203">
        <v>9.1999999999999993</v>
      </c>
      <c r="Y292" s="203">
        <v>0.2</v>
      </c>
      <c r="Z292" s="204">
        <v>6</v>
      </c>
      <c r="AA292" s="203">
        <v>6</v>
      </c>
      <c r="AB292" s="203">
        <v>0</v>
      </c>
      <c r="AD292" s="198">
        <v>2201</v>
      </c>
      <c r="AE292" s="202">
        <v>-9.9999999999999645E-2</v>
      </c>
      <c r="AF292" s="203" t="s">
        <v>82</v>
      </c>
      <c r="AG292" s="203">
        <v>-9.9999999999999978E-2</v>
      </c>
      <c r="AH292" s="204" t="s">
        <v>82</v>
      </c>
      <c r="AI292" s="203" t="s">
        <v>82</v>
      </c>
      <c r="AJ292" s="203" t="s">
        <v>82</v>
      </c>
    </row>
    <row customFormat="1" r="293" s="205" spans="1:36" x14ac:dyDescent="0.2">
      <c r="A293" s="193">
        <v>289</v>
      </c>
      <c r="B293" s="215">
        <v>6</v>
      </c>
      <c r="C293" s="195" t="s">
        <v>221</v>
      </c>
      <c r="D293" s="195">
        <v>6</v>
      </c>
      <c r="E293" s="195" t="s">
        <v>233</v>
      </c>
      <c r="F293" s="196">
        <v>44622</v>
      </c>
      <c r="G293" s="197" t="s">
        <v>6</v>
      </c>
      <c r="H293" s="198">
        <v>2210</v>
      </c>
      <c r="I293" s="196" t="s">
        <v>234</v>
      </c>
      <c r="J293" s="199">
        <v>1345</v>
      </c>
      <c r="K293" s="198">
        <v>1537</v>
      </c>
      <c r="L293" s="200">
        <v>0</v>
      </c>
      <c r="M293" s="201"/>
      <c r="N293" s="199">
        <v>2210</v>
      </c>
      <c r="O293" s="202">
        <v>2.7</v>
      </c>
      <c r="P293" s="203">
        <v>2.5</v>
      </c>
      <c r="Q293" s="203">
        <v>0.2</v>
      </c>
      <c r="R293" s="204">
        <v>4.2</v>
      </c>
      <c r="S293" s="203">
        <v>4.2</v>
      </c>
      <c r="T293" s="203" t="s">
        <v>84</v>
      </c>
      <c r="V293" s="198">
        <v>2210</v>
      </c>
      <c r="W293" s="202">
        <v>2.6</v>
      </c>
      <c r="X293" s="203">
        <v>2.5</v>
      </c>
      <c r="Y293" s="203">
        <v>0.1</v>
      </c>
      <c r="Z293" s="204">
        <v>4.2</v>
      </c>
      <c r="AA293" s="203">
        <v>4.2</v>
      </c>
      <c r="AB293" s="203" t="s">
        <v>84</v>
      </c>
      <c r="AD293" s="198">
        <v>2210</v>
      </c>
      <c r="AE293" s="202">
        <v>-0.10000000000000009</v>
      </c>
      <c r="AF293" s="203" t="s">
        <v>82</v>
      </c>
      <c r="AG293" s="203">
        <v>-0.1</v>
      </c>
      <c r="AH293" s="204" t="s">
        <v>82</v>
      </c>
      <c r="AI293" s="203" t="s">
        <v>82</v>
      </c>
      <c r="AJ293" s="203" t="s">
        <v>82</v>
      </c>
    </row>
    <row customFormat="1" r="294" s="205" spans="1:36" x14ac:dyDescent="0.2">
      <c r="A294" s="193">
        <v>290</v>
      </c>
      <c r="B294" s="215">
        <v>6</v>
      </c>
      <c r="C294" s="195" t="s">
        <v>221</v>
      </c>
      <c r="D294" s="195">
        <v>6</v>
      </c>
      <c r="E294" s="195" t="s">
        <v>233</v>
      </c>
      <c r="F294" s="196">
        <v>44629</v>
      </c>
      <c r="G294" s="197" t="s">
        <v>6</v>
      </c>
      <c r="H294" s="198">
        <v>2211</v>
      </c>
      <c r="I294" s="196" t="s">
        <v>235</v>
      </c>
      <c r="J294" s="199">
        <v>1345</v>
      </c>
      <c r="K294" s="198">
        <v>1537</v>
      </c>
      <c r="L294" s="200">
        <v>0</v>
      </c>
      <c r="M294" s="201"/>
      <c r="N294" s="199">
        <v>2211</v>
      </c>
      <c r="O294" s="202">
        <v>2.7</v>
      </c>
      <c r="P294" s="203">
        <v>2.5</v>
      </c>
      <c r="Q294" s="203">
        <v>0.2</v>
      </c>
      <c r="R294" s="204">
        <v>3.8</v>
      </c>
      <c r="S294" s="203">
        <v>3.8</v>
      </c>
      <c r="T294" s="203" t="s">
        <v>84</v>
      </c>
      <c r="V294" s="198">
        <v>2211</v>
      </c>
      <c r="W294" s="202">
        <v>2.7</v>
      </c>
      <c r="X294" s="203">
        <v>2.5</v>
      </c>
      <c r="Y294" s="203">
        <v>0.2</v>
      </c>
      <c r="Z294" s="204">
        <v>3.8</v>
      </c>
      <c r="AA294" s="203">
        <v>3.8</v>
      </c>
      <c r="AB294" s="203" t="s">
        <v>84</v>
      </c>
      <c r="AD294" s="198">
        <v>2211</v>
      </c>
      <c r="AE294" s="202" t="s">
        <v>82</v>
      </c>
      <c r="AF294" s="203" t="s">
        <v>82</v>
      </c>
      <c r="AG294" s="203" t="s">
        <v>82</v>
      </c>
      <c r="AH294" s="204" t="s">
        <v>82</v>
      </c>
      <c r="AI294" s="203" t="s">
        <v>82</v>
      </c>
      <c r="AJ294" s="203" t="s">
        <v>82</v>
      </c>
    </row>
    <row customFormat="1" r="295" s="205" spans="1:36" x14ac:dyDescent="0.2">
      <c r="A295" s="193">
        <v>291</v>
      </c>
      <c r="B295" s="215">
        <v>6</v>
      </c>
      <c r="C295" s="195" t="s">
        <v>221</v>
      </c>
      <c r="D295" s="195">
        <v>6</v>
      </c>
      <c r="E295" s="195" t="s">
        <v>233</v>
      </c>
      <c r="F295" s="196">
        <v>44636</v>
      </c>
      <c r="G295" s="197" t="s">
        <v>6</v>
      </c>
      <c r="H295" s="198">
        <v>2212</v>
      </c>
      <c r="I295" s="196" t="s">
        <v>236</v>
      </c>
      <c r="J295" s="199">
        <v>1345</v>
      </c>
      <c r="K295" s="198">
        <v>1537</v>
      </c>
      <c r="L295" s="200">
        <v>0</v>
      </c>
      <c r="M295" s="201"/>
      <c r="N295" s="199">
        <v>2212</v>
      </c>
      <c r="O295" s="202">
        <v>2.8</v>
      </c>
      <c r="P295" s="203">
        <v>2.5</v>
      </c>
      <c r="Q295" s="203">
        <v>0.3</v>
      </c>
      <c r="R295" s="204">
        <v>3.6</v>
      </c>
      <c r="S295" s="203">
        <v>3.6</v>
      </c>
      <c r="T295" s="203" t="s">
        <v>84</v>
      </c>
      <c r="V295" s="198">
        <v>2212</v>
      </c>
      <c r="W295" s="202">
        <v>2.7</v>
      </c>
      <c r="X295" s="203">
        <v>2.5</v>
      </c>
      <c r="Y295" s="203">
        <v>0.2</v>
      </c>
      <c r="Z295" s="204">
        <v>3.6</v>
      </c>
      <c r="AA295" s="203">
        <v>3.6</v>
      </c>
      <c r="AB295" s="203" t="s">
        <v>84</v>
      </c>
      <c r="AD295" s="198">
        <v>2212</v>
      </c>
      <c r="AE295" s="202">
        <v>-9.9999999999999645E-2</v>
      </c>
      <c r="AF295" s="203" t="s">
        <v>82</v>
      </c>
      <c r="AG295" s="203">
        <v>-9.9999999999999978E-2</v>
      </c>
      <c r="AH295" s="204" t="s">
        <v>82</v>
      </c>
      <c r="AI295" s="203" t="s">
        <v>82</v>
      </c>
      <c r="AJ295" s="203" t="s">
        <v>82</v>
      </c>
    </row>
    <row customFormat="1" r="296" s="205" spans="1:36" x14ac:dyDescent="0.2">
      <c r="A296" s="193">
        <v>292</v>
      </c>
      <c r="B296" s="215">
        <v>6</v>
      </c>
      <c r="C296" s="195" t="s">
        <v>221</v>
      </c>
      <c r="D296" s="195">
        <v>6</v>
      </c>
      <c r="E296" s="195" t="s">
        <v>233</v>
      </c>
      <c r="F296" s="196">
        <v>44643</v>
      </c>
      <c r="G296" s="197" t="s">
        <v>6</v>
      </c>
      <c r="H296" s="198">
        <v>2213</v>
      </c>
      <c r="I296" s="196" t="s">
        <v>237</v>
      </c>
      <c r="J296" s="199">
        <v>1345</v>
      </c>
      <c r="K296" s="198">
        <v>1537</v>
      </c>
      <c r="L296" s="200">
        <v>0</v>
      </c>
      <c r="M296" s="201"/>
      <c r="N296" s="199">
        <v>2213</v>
      </c>
      <c r="O296" s="202">
        <v>2.6</v>
      </c>
      <c r="P296" s="203">
        <v>2.2999999999999998</v>
      </c>
      <c r="Q296" s="203">
        <v>0.3</v>
      </c>
      <c r="R296" s="204">
        <v>3.5</v>
      </c>
      <c r="S296" s="203">
        <v>3.5</v>
      </c>
      <c r="T296" s="203" t="s">
        <v>84</v>
      </c>
      <c r="V296" s="198">
        <v>2213</v>
      </c>
      <c r="W296" s="202">
        <v>2.5</v>
      </c>
      <c r="X296" s="203">
        <v>2.2999999999999998</v>
      </c>
      <c r="Y296" s="203">
        <v>0.2</v>
      </c>
      <c r="Z296" s="204">
        <v>3.5</v>
      </c>
      <c r="AA296" s="203">
        <v>3.5</v>
      </c>
      <c r="AB296" s="203" t="s">
        <v>84</v>
      </c>
      <c r="AD296" s="198">
        <v>2213</v>
      </c>
      <c r="AE296" s="202">
        <v>-0.10000000000000009</v>
      </c>
      <c r="AF296" s="203" t="s">
        <v>82</v>
      </c>
      <c r="AG296" s="203">
        <v>-9.9999999999999978E-2</v>
      </c>
      <c r="AH296" s="204" t="s">
        <v>82</v>
      </c>
      <c r="AI296" s="203" t="s">
        <v>82</v>
      </c>
      <c r="AJ296" s="203" t="s">
        <v>82</v>
      </c>
    </row>
    <row customFormat="1" r="297" s="205" spans="1:36" x14ac:dyDescent="0.2">
      <c r="A297" s="193">
        <v>293</v>
      </c>
      <c r="B297" s="215">
        <v>7</v>
      </c>
      <c r="C297" s="195" t="s">
        <v>238</v>
      </c>
      <c r="D297" s="195">
        <v>2</v>
      </c>
      <c r="E297" s="195" t="s">
        <v>239</v>
      </c>
      <c r="F297" s="196">
        <v>44066</v>
      </c>
      <c r="G297" s="197" t="s">
        <v>10</v>
      </c>
      <c r="H297" s="198">
        <v>2034</v>
      </c>
      <c r="I297" s="196" t="s">
        <v>240</v>
      </c>
      <c r="J297" s="199">
        <v>2525</v>
      </c>
      <c r="K297" s="198">
        <v>2619</v>
      </c>
      <c r="L297" s="200">
        <v>0</v>
      </c>
      <c r="M297" s="201"/>
      <c r="N297" s="199">
        <v>2034</v>
      </c>
      <c r="O297" s="202">
        <v>1.7</v>
      </c>
      <c r="P297" s="203">
        <v>1.4</v>
      </c>
      <c r="Q297" s="203">
        <v>0.3</v>
      </c>
      <c r="R297" s="204">
        <v>1.1000000000000001</v>
      </c>
      <c r="S297" s="203">
        <v>1</v>
      </c>
      <c r="T297" s="203">
        <v>0.1</v>
      </c>
      <c r="V297" s="198">
        <v>2034</v>
      </c>
      <c r="W297" s="202">
        <v>1.5</v>
      </c>
      <c r="X297" s="203">
        <v>1.4</v>
      </c>
      <c r="Y297" s="203">
        <v>0.1</v>
      </c>
      <c r="Z297" s="204">
        <v>1.1000000000000001</v>
      </c>
      <c r="AA297" s="203">
        <v>1</v>
      </c>
      <c r="AB297" s="203">
        <v>0.1</v>
      </c>
      <c r="AD297" s="198">
        <v>2034</v>
      </c>
      <c r="AE297" s="202">
        <v>-0.19999999999999996</v>
      </c>
      <c r="AF297" s="203" t="s">
        <v>82</v>
      </c>
      <c r="AG297" s="203">
        <v>-0.19999999999999998</v>
      </c>
      <c r="AH297" s="204" t="s">
        <v>82</v>
      </c>
      <c r="AI297" s="203" t="s">
        <v>82</v>
      </c>
      <c r="AJ297" s="203" t="s">
        <v>82</v>
      </c>
    </row>
    <row customFormat="1" r="298" s="205" spans="1:36" x14ac:dyDescent="0.2">
      <c r="A298" s="193">
        <v>294</v>
      </c>
      <c r="B298" s="215">
        <v>7</v>
      </c>
      <c r="C298" s="195" t="s">
        <v>238</v>
      </c>
      <c r="D298" s="195">
        <v>2</v>
      </c>
      <c r="E298" s="195" t="s">
        <v>239</v>
      </c>
      <c r="F298" s="196">
        <v>44073</v>
      </c>
      <c r="G298" s="197" t="s">
        <v>10</v>
      </c>
      <c r="H298" s="198">
        <v>2035</v>
      </c>
      <c r="I298" s="196" t="s">
        <v>240</v>
      </c>
      <c r="J298" s="199">
        <v>2525</v>
      </c>
      <c r="K298" s="198">
        <v>2619</v>
      </c>
      <c r="L298" s="200">
        <v>0</v>
      </c>
      <c r="M298" s="201"/>
      <c r="N298" s="199">
        <v>2035</v>
      </c>
      <c r="O298" s="202">
        <v>1.7</v>
      </c>
      <c r="P298" s="203">
        <v>1.4</v>
      </c>
      <c r="Q298" s="203">
        <v>0.3</v>
      </c>
      <c r="R298" s="204">
        <v>1.1000000000000001</v>
      </c>
      <c r="S298" s="203">
        <v>1</v>
      </c>
      <c r="T298" s="203">
        <v>0.1</v>
      </c>
      <c r="V298" s="198">
        <v>2035</v>
      </c>
      <c r="W298" s="202">
        <v>1.5</v>
      </c>
      <c r="X298" s="203">
        <v>1.4</v>
      </c>
      <c r="Y298" s="203">
        <v>0.1</v>
      </c>
      <c r="Z298" s="204">
        <v>1.1000000000000001</v>
      </c>
      <c r="AA298" s="203">
        <v>1</v>
      </c>
      <c r="AB298" s="203">
        <v>0.1</v>
      </c>
      <c r="AD298" s="198">
        <v>2035</v>
      </c>
      <c r="AE298" s="202">
        <v>-0.19999999999999996</v>
      </c>
      <c r="AF298" s="203" t="s">
        <v>82</v>
      </c>
      <c r="AG298" s="203">
        <v>-0.19999999999999998</v>
      </c>
      <c r="AH298" s="204" t="s">
        <v>82</v>
      </c>
      <c r="AI298" s="203" t="s">
        <v>82</v>
      </c>
      <c r="AJ298" s="203" t="s">
        <v>82</v>
      </c>
    </row>
    <row customFormat="1" r="299" s="205" spans="1:36" x14ac:dyDescent="0.2">
      <c r="A299" s="193">
        <v>295</v>
      </c>
      <c r="B299" s="215">
        <v>7</v>
      </c>
      <c r="C299" s="195" t="s">
        <v>238</v>
      </c>
      <c r="D299" s="195">
        <v>2</v>
      </c>
      <c r="E299" s="195" t="s">
        <v>239</v>
      </c>
      <c r="F299" s="196">
        <v>44080</v>
      </c>
      <c r="G299" s="197" t="s">
        <v>10</v>
      </c>
      <c r="H299" s="198">
        <v>2036</v>
      </c>
      <c r="I299" s="196" t="s">
        <v>240</v>
      </c>
      <c r="J299" s="199">
        <v>2525</v>
      </c>
      <c r="K299" s="198">
        <v>2619</v>
      </c>
      <c r="L299" s="200">
        <v>0</v>
      </c>
      <c r="M299" s="201"/>
      <c r="N299" s="199">
        <v>2036</v>
      </c>
      <c r="O299" s="202">
        <v>1.3</v>
      </c>
      <c r="P299" s="203">
        <v>1.1000000000000001</v>
      </c>
      <c r="Q299" s="203">
        <v>0.2</v>
      </c>
      <c r="R299" s="204">
        <v>0.8</v>
      </c>
      <c r="S299" s="203">
        <v>0.8</v>
      </c>
      <c r="T299" s="203">
        <v>0</v>
      </c>
      <c r="V299" s="198">
        <v>2036</v>
      </c>
      <c r="W299" s="202">
        <v>1.1000000000000001</v>
      </c>
      <c r="X299" s="203">
        <v>1.1000000000000001</v>
      </c>
      <c r="Y299" s="203">
        <v>0</v>
      </c>
      <c r="Z299" s="204">
        <v>0.8</v>
      </c>
      <c r="AA299" s="203">
        <v>0.8</v>
      </c>
      <c r="AB299" s="203">
        <v>0</v>
      </c>
      <c r="AD299" s="198">
        <v>2036</v>
      </c>
      <c r="AE299" s="202">
        <v>-0.19999999999999996</v>
      </c>
      <c r="AF299" s="203" t="s">
        <v>82</v>
      </c>
      <c r="AG299" s="203">
        <v>-0.2</v>
      </c>
      <c r="AH299" s="204" t="s">
        <v>82</v>
      </c>
      <c r="AI299" s="203" t="s">
        <v>82</v>
      </c>
      <c r="AJ299" s="203" t="s">
        <v>82</v>
      </c>
    </row>
    <row customFormat="1" r="300" s="205" spans="1:36" x14ac:dyDescent="0.2">
      <c r="A300" s="193">
        <v>296</v>
      </c>
      <c r="B300" s="215">
        <v>7</v>
      </c>
      <c r="C300" s="195" t="s">
        <v>238</v>
      </c>
      <c r="D300" s="195">
        <v>2</v>
      </c>
      <c r="E300" s="195" t="s">
        <v>239</v>
      </c>
      <c r="F300" s="196">
        <v>44087</v>
      </c>
      <c r="G300" s="197" t="s">
        <v>10</v>
      </c>
      <c r="H300" s="198">
        <v>2037</v>
      </c>
      <c r="I300" s="196" t="s">
        <v>240</v>
      </c>
      <c r="J300" s="199">
        <v>2525</v>
      </c>
      <c r="K300" s="198">
        <v>2619</v>
      </c>
      <c r="L300" s="200">
        <v>0</v>
      </c>
      <c r="M300" s="201"/>
      <c r="N300" s="199">
        <v>2037</v>
      </c>
      <c r="O300" s="202">
        <v>1.4</v>
      </c>
      <c r="P300" s="203">
        <v>1.1000000000000001</v>
      </c>
      <c r="Q300" s="203">
        <v>0.3</v>
      </c>
      <c r="R300" s="204">
        <v>0.9</v>
      </c>
      <c r="S300" s="203">
        <v>0.9</v>
      </c>
      <c r="T300" s="203">
        <v>0</v>
      </c>
      <c r="V300" s="198">
        <v>2037</v>
      </c>
      <c r="W300" s="202">
        <v>1.2</v>
      </c>
      <c r="X300" s="203">
        <v>1.1000000000000001</v>
      </c>
      <c r="Y300" s="203">
        <v>0.1</v>
      </c>
      <c r="Z300" s="204">
        <v>0.9</v>
      </c>
      <c r="AA300" s="203">
        <v>0.9</v>
      </c>
      <c r="AB300" s="203">
        <v>0</v>
      </c>
      <c r="AD300" s="198">
        <v>2037</v>
      </c>
      <c r="AE300" s="202">
        <v>-0.19999999999999996</v>
      </c>
      <c r="AF300" s="203" t="s">
        <v>82</v>
      </c>
      <c r="AG300" s="203">
        <v>-0.19999999999999998</v>
      </c>
      <c r="AH300" s="204" t="s">
        <v>82</v>
      </c>
      <c r="AI300" s="203" t="s">
        <v>82</v>
      </c>
      <c r="AJ300" s="203" t="s">
        <v>82</v>
      </c>
    </row>
    <row customFormat="1" r="301" s="205" spans="1:36" x14ac:dyDescent="0.2">
      <c r="A301" s="193">
        <v>297</v>
      </c>
      <c r="B301" s="215">
        <v>7</v>
      </c>
      <c r="C301" s="195" t="s">
        <v>238</v>
      </c>
      <c r="D301" s="195">
        <v>2</v>
      </c>
      <c r="E301" s="195" t="s">
        <v>239</v>
      </c>
      <c r="F301" s="196">
        <v>44339</v>
      </c>
      <c r="G301" s="197" t="s">
        <v>10</v>
      </c>
      <c r="H301" s="198">
        <v>2121</v>
      </c>
      <c r="I301" s="196" t="s">
        <v>241</v>
      </c>
      <c r="J301" s="199">
        <v>1900</v>
      </c>
      <c r="K301" s="198">
        <v>2053</v>
      </c>
      <c r="L301" s="200">
        <v>0</v>
      </c>
      <c r="M301" s="201"/>
      <c r="N301" s="199">
        <v>2121</v>
      </c>
      <c r="O301" s="202">
        <v>9.1999999999999993</v>
      </c>
      <c r="P301" s="203">
        <v>8.9</v>
      </c>
      <c r="Q301" s="203">
        <v>0.3</v>
      </c>
      <c r="R301" s="204">
        <v>9.8000000000000007</v>
      </c>
      <c r="S301" s="203">
        <v>9.6</v>
      </c>
      <c r="T301" s="203">
        <v>0.2</v>
      </c>
      <c r="V301" s="198">
        <v>2121</v>
      </c>
      <c r="W301" s="202">
        <v>9.1999999999999993</v>
      </c>
      <c r="X301" s="203">
        <v>8.9</v>
      </c>
      <c r="Y301" s="203">
        <v>0.3</v>
      </c>
      <c r="Z301" s="204">
        <v>9.8000000000000007</v>
      </c>
      <c r="AA301" s="203">
        <v>9.6</v>
      </c>
      <c r="AB301" s="203">
        <v>0.2</v>
      </c>
      <c r="AD301" s="198">
        <v>2121</v>
      </c>
      <c r="AE301" s="202"/>
      <c r="AF301" s="203" t="s">
        <v>82</v>
      </c>
      <c r="AG301" s="203" t="s">
        <v>82</v>
      </c>
      <c r="AH301" s="204"/>
      <c r="AI301" s="203" t="s">
        <v>82</v>
      </c>
      <c r="AJ301" s="203" t="s">
        <v>82</v>
      </c>
    </row>
    <row customFormat="1" r="302" s="205" spans="1:36" x14ac:dyDescent="0.2">
      <c r="A302" s="193">
        <v>298</v>
      </c>
      <c r="B302" s="215">
        <v>7</v>
      </c>
      <c r="C302" s="195" t="s">
        <v>238</v>
      </c>
      <c r="D302" s="195">
        <v>2</v>
      </c>
      <c r="E302" s="195" t="s">
        <v>239</v>
      </c>
      <c r="F302" s="196">
        <v>44346</v>
      </c>
      <c r="G302" s="197" t="s">
        <v>10</v>
      </c>
      <c r="H302" s="198">
        <v>2122</v>
      </c>
      <c r="I302" s="196" t="s">
        <v>174</v>
      </c>
      <c r="J302" s="199">
        <v>1958</v>
      </c>
      <c r="K302" s="198">
        <v>2053</v>
      </c>
      <c r="L302" s="200">
        <v>0</v>
      </c>
      <c r="M302" s="201"/>
      <c r="N302" s="199">
        <v>2122</v>
      </c>
      <c r="O302" s="202">
        <v>9.5</v>
      </c>
      <c r="P302" s="203">
        <v>8.9</v>
      </c>
      <c r="Q302" s="203">
        <v>0.6</v>
      </c>
      <c r="R302" s="204">
        <v>8.1999999999999993</v>
      </c>
      <c r="S302" s="203">
        <v>8</v>
      </c>
      <c r="T302" s="203">
        <v>0.2</v>
      </c>
      <c r="V302" s="198">
        <v>2122</v>
      </c>
      <c r="W302" s="202">
        <v>9.4</v>
      </c>
      <c r="X302" s="203">
        <v>8.9</v>
      </c>
      <c r="Y302" s="203">
        <v>0.5</v>
      </c>
      <c r="Z302" s="204">
        <v>8.1999999999999993</v>
      </c>
      <c r="AA302" s="203">
        <v>8</v>
      </c>
      <c r="AB302" s="203">
        <v>0.2</v>
      </c>
      <c r="AD302" s="198">
        <v>2122</v>
      </c>
      <c r="AE302" s="202">
        <v>-9.9999999999999645E-2</v>
      </c>
      <c r="AF302" s="203" t="s">
        <v>82</v>
      </c>
      <c r="AG302" s="203">
        <v>-9.9999999999999978E-2</v>
      </c>
      <c r="AH302" s="204" t="s">
        <v>82</v>
      </c>
      <c r="AI302" s="203" t="s">
        <v>82</v>
      </c>
      <c r="AJ302" s="203" t="s">
        <v>82</v>
      </c>
    </row>
    <row customFormat="1" r="303" s="205" spans="1:36" x14ac:dyDescent="0.2">
      <c r="A303" s="193">
        <v>299</v>
      </c>
      <c r="B303" s="215">
        <v>7</v>
      </c>
      <c r="C303" s="195" t="s">
        <v>238</v>
      </c>
      <c r="D303" s="195">
        <v>2</v>
      </c>
      <c r="E303" s="195" t="s">
        <v>239</v>
      </c>
      <c r="F303" s="196">
        <v>44353</v>
      </c>
      <c r="G303" s="197" t="s">
        <v>10</v>
      </c>
      <c r="H303" s="198">
        <v>2123</v>
      </c>
      <c r="I303" s="196" t="s">
        <v>242</v>
      </c>
      <c r="J303" s="199">
        <v>1900</v>
      </c>
      <c r="K303" s="198">
        <v>2053</v>
      </c>
      <c r="L303" s="200">
        <v>0</v>
      </c>
      <c r="M303" s="201"/>
      <c r="N303" s="199">
        <v>2123</v>
      </c>
      <c r="O303" s="202">
        <v>10.4</v>
      </c>
      <c r="P303" s="203">
        <v>9.8000000000000007</v>
      </c>
      <c r="Q303" s="203">
        <v>0.6</v>
      </c>
      <c r="R303" s="204">
        <v>9.1999999999999993</v>
      </c>
      <c r="S303" s="203">
        <v>8.5</v>
      </c>
      <c r="T303" s="203">
        <v>0.7</v>
      </c>
      <c r="V303" s="198">
        <v>2123</v>
      </c>
      <c r="W303" s="202">
        <v>10.3</v>
      </c>
      <c r="X303" s="203">
        <v>9.8000000000000007</v>
      </c>
      <c r="Y303" s="203">
        <v>0.5</v>
      </c>
      <c r="Z303" s="204">
        <v>9.1999999999999993</v>
      </c>
      <c r="AA303" s="203">
        <v>8.5</v>
      </c>
      <c r="AB303" s="203">
        <v>0.7</v>
      </c>
      <c r="AD303" s="198">
        <v>2123</v>
      </c>
      <c r="AE303" s="202">
        <v>-9.9999999999999645E-2</v>
      </c>
      <c r="AF303" s="203" t="s">
        <v>82</v>
      </c>
      <c r="AG303" s="203">
        <v>-9.9999999999999978E-2</v>
      </c>
      <c r="AH303" s="204" t="s">
        <v>82</v>
      </c>
      <c r="AI303" s="203" t="s">
        <v>82</v>
      </c>
      <c r="AJ303" s="203" t="s">
        <v>82</v>
      </c>
    </row>
    <row customFormat="1" r="304" s="205" spans="1:36" x14ac:dyDescent="0.2">
      <c r="A304" s="193">
        <v>300</v>
      </c>
      <c r="B304" s="215">
        <v>7</v>
      </c>
      <c r="C304" s="195" t="s">
        <v>238</v>
      </c>
      <c r="D304" s="195">
        <v>2</v>
      </c>
      <c r="E304" s="195" t="s">
        <v>239</v>
      </c>
      <c r="F304" s="196">
        <v>44360</v>
      </c>
      <c r="G304" s="197" t="s">
        <v>10</v>
      </c>
      <c r="H304" s="198">
        <v>2124</v>
      </c>
      <c r="I304" s="196" t="s">
        <v>174</v>
      </c>
      <c r="J304" s="199">
        <v>1958</v>
      </c>
      <c r="K304" s="198">
        <v>2053</v>
      </c>
      <c r="L304" s="200">
        <v>0</v>
      </c>
      <c r="M304" s="201"/>
      <c r="N304" s="199">
        <v>2124</v>
      </c>
      <c r="O304" s="202">
        <v>10.8</v>
      </c>
      <c r="P304" s="203">
        <v>10</v>
      </c>
      <c r="Q304" s="203">
        <v>0.8</v>
      </c>
      <c r="R304" s="204">
        <v>9</v>
      </c>
      <c r="S304" s="203">
        <v>8</v>
      </c>
      <c r="T304" s="203">
        <v>1</v>
      </c>
      <c r="V304" s="198">
        <v>2124</v>
      </c>
      <c r="W304" s="202">
        <v>10.7</v>
      </c>
      <c r="X304" s="203">
        <v>10</v>
      </c>
      <c r="Y304" s="203">
        <v>0.7</v>
      </c>
      <c r="Z304" s="204">
        <v>9</v>
      </c>
      <c r="AA304" s="203">
        <v>8</v>
      </c>
      <c r="AB304" s="203">
        <v>1</v>
      </c>
      <c r="AD304" s="198">
        <v>2124</v>
      </c>
      <c r="AE304" s="202">
        <v>-0.10000000000000142</v>
      </c>
      <c r="AF304" s="203" t="s">
        <v>82</v>
      </c>
      <c r="AG304" s="203">
        <v>-0.10000000000000009</v>
      </c>
      <c r="AH304" s="204" t="s">
        <v>82</v>
      </c>
      <c r="AI304" s="203" t="s">
        <v>82</v>
      </c>
      <c r="AJ304" s="203" t="s">
        <v>82</v>
      </c>
    </row>
    <row customFormat="1" r="305" s="205" spans="1:36" x14ac:dyDescent="0.2">
      <c r="A305" s="193">
        <v>301</v>
      </c>
      <c r="B305" s="215">
        <v>7</v>
      </c>
      <c r="C305" s="195" t="s">
        <v>238</v>
      </c>
      <c r="D305" s="195">
        <v>2</v>
      </c>
      <c r="E305" s="195" t="s">
        <v>239</v>
      </c>
      <c r="F305" s="196">
        <v>44402</v>
      </c>
      <c r="G305" s="197" t="s">
        <v>10</v>
      </c>
      <c r="H305" s="198">
        <v>2130</v>
      </c>
      <c r="I305" s="196" t="s">
        <v>174</v>
      </c>
      <c r="J305" s="199">
        <v>1958</v>
      </c>
      <c r="K305" s="198">
        <v>2053</v>
      </c>
      <c r="L305" s="200">
        <v>0</v>
      </c>
      <c r="M305" s="201"/>
      <c r="N305" s="199">
        <v>2130</v>
      </c>
      <c r="O305" s="202">
        <v>10.7</v>
      </c>
      <c r="P305" s="203">
        <v>9.6</v>
      </c>
      <c r="Q305" s="203">
        <v>1.1000000000000001</v>
      </c>
      <c r="R305" s="204">
        <v>11.8</v>
      </c>
      <c r="S305" s="203">
        <v>10.3</v>
      </c>
      <c r="T305" s="203">
        <v>1.5</v>
      </c>
      <c r="V305" s="198">
        <v>2130</v>
      </c>
      <c r="W305" s="202">
        <v>10.4</v>
      </c>
      <c r="X305" s="203">
        <v>9.6</v>
      </c>
      <c r="Y305" s="203">
        <v>0.8</v>
      </c>
      <c r="Z305" s="204">
        <v>11.8</v>
      </c>
      <c r="AA305" s="203">
        <v>10.3</v>
      </c>
      <c r="AB305" s="203">
        <v>1.5</v>
      </c>
      <c r="AD305" s="198">
        <v>2130</v>
      </c>
      <c r="AE305" s="202">
        <v>-0.29999999999999893</v>
      </c>
      <c r="AF305" s="203" t="s">
        <v>82</v>
      </c>
      <c r="AG305" s="203">
        <v>-0.30000000000000004</v>
      </c>
      <c r="AH305" s="204" t="s">
        <v>82</v>
      </c>
      <c r="AI305" s="203" t="s">
        <v>82</v>
      </c>
      <c r="AJ305" s="203" t="s">
        <v>82</v>
      </c>
    </row>
    <row customFormat="1" r="306" s="205" spans="1:36" x14ac:dyDescent="0.2">
      <c r="A306" s="193">
        <v>302</v>
      </c>
      <c r="B306" s="215">
        <v>7</v>
      </c>
      <c r="C306" s="195" t="s">
        <v>238</v>
      </c>
      <c r="D306" s="195">
        <v>2</v>
      </c>
      <c r="E306" s="195" t="s">
        <v>239</v>
      </c>
      <c r="F306" s="196">
        <v>44409</v>
      </c>
      <c r="G306" s="197" t="s">
        <v>10</v>
      </c>
      <c r="H306" s="198">
        <v>2131</v>
      </c>
      <c r="I306" s="196" t="s">
        <v>185</v>
      </c>
      <c r="J306" s="199">
        <v>2030</v>
      </c>
      <c r="K306" s="198">
        <v>2259</v>
      </c>
      <c r="L306" s="200">
        <v>0</v>
      </c>
      <c r="M306" s="201"/>
      <c r="N306" s="199">
        <v>2131</v>
      </c>
      <c r="O306" s="202">
        <v>6.9</v>
      </c>
      <c r="P306" s="203">
        <v>6.3</v>
      </c>
      <c r="Q306" s="203">
        <v>0.6</v>
      </c>
      <c r="R306" s="204">
        <v>3.4</v>
      </c>
      <c r="S306" s="203">
        <v>3.4</v>
      </c>
      <c r="T306" s="203" t="s">
        <v>84</v>
      </c>
      <c r="V306" s="198">
        <v>2131</v>
      </c>
      <c r="W306" s="202">
        <v>6.8</v>
      </c>
      <c r="X306" s="203">
        <v>6.3</v>
      </c>
      <c r="Y306" s="203">
        <v>0.5</v>
      </c>
      <c r="Z306" s="204">
        <v>3.4</v>
      </c>
      <c r="AA306" s="203">
        <v>3.4</v>
      </c>
      <c r="AB306" s="203" t="s">
        <v>84</v>
      </c>
      <c r="AD306" s="198">
        <v>2131</v>
      </c>
      <c r="AE306" s="202">
        <v>-0.10000000000000053</v>
      </c>
      <c r="AF306" s="203" t="s">
        <v>82</v>
      </c>
      <c r="AG306" s="203">
        <v>-9.9999999999999978E-2</v>
      </c>
      <c r="AH306" s="204" t="s">
        <v>82</v>
      </c>
      <c r="AI306" s="203" t="s">
        <v>82</v>
      </c>
      <c r="AJ306" s="203" t="s">
        <v>82</v>
      </c>
    </row>
    <row customFormat="1" r="307" s="205" spans="1:36" x14ac:dyDescent="0.2">
      <c r="A307" s="193">
        <v>303</v>
      </c>
      <c r="B307" s="215">
        <v>7</v>
      </c>
      <c r="C307" s="195" t="s">
        <v>238</v>
      </c>
      <c r="D307" s="195">
        <v>2</v>
      </c>
      <c r="E307" s="195" t="s">
        <v>239</v>
      </c>
      <c r="F307" s="196">
        <v>44416</v>
      </c>
      <c r="G307" s="197" t="s">
        <v>10</v>
      </c>
      <c r="H307" s="198">
        <v>2132</v>
      </c>
      <c r="I307" s="196" t="s">
        <v>174</v>
      </c>
      <c r="J307" s="199">
        <v>1958</v>
      </c>
      <c r="K307" s="198">
        <v>2053</v>
      </c>
      <c r="L307" s="200">
        <v>0</v>
      </c>
      <c r="M307" s="201"/>
      <c r="N307" s="199">
        <v>2132</v>
      </c>
      <c r="O307" s="202">
        <v>8.3000000000000007</v>
      </c>
      <c r="P307" s="203">
        <v>7.3</v>
      </c>
      <c r="Q307" s="203">
        <v>1</v>
      </c>
      <c r="R307" s="204">
        <v>9.5</v>
      </c>
      <c r="S307" s="203">
        <v>9</v>
      </c>
      <c r="T307" s="203">
        <v>0.5</v>
      </c>
      <c r="V307" s="198">
        <v>2132</v>
      </c>
      <c r="W307" s="202">
        <v>8</v>
      </c>
      <c r="X307" s="203">
        <v>7.3</v>
      </c>
      <c r="Y307" s="203">
        <v>0.7</v>
      </c>
      <c r="Z307" s="204">
        <v>9.5</v>
      </c>
      <c r="AA307" s="203">
        <v>9</v>
      </c>
      <c r="AB307" s="203">
        <v>0.5</v>
      </c>
      <c r="AD307" s="198">
        <v>2132</v>
      </c>
      <c r="AE307" s="202">
        <v>-0.30000000000000071</v>
      </c>
      <c r="AF307" s="203" t="s">
        <v>82</v>
      </c>
      <c r="AG307" s="203">
        <v>-0.30000000000000004</v>
      </c>
      <c r="AH307" s="204" t="s">
        <v>82</v>
      </c>
      <c r="AI307" s="203" t="s">
        <v>82</v>
      </c>
      <c r="AJ307" s="203" t="s">
        <v>82</v>
      </c>
    </row>
    <row customFormat="1" r="308" s="205" spans="1:36" x14ac:dyDescent="0.2">
      <c r="A308" s="193">
        <v>304</v>
      </c>
      <c r="B308" s="215">
        <v>7</v>
      </c>
      <c r="C308" s="195" t="s">
        <v>238</v>
      </c>
      <c r="D308" s="195">
        <v>2</v>
      </c>
      <c r="E308" s="195" t="s">
        <v>239</v>
      </c>
      <c r="F308" s="196">
        <v>44423</v>
      </c>
      <c r="G308" s="197" t="s">
        <v>10</v>
      </c>
      <c r="H308" s="198">
        <v>2133</v>
      </c>
      <c r="I308" s="196" t="s">
        <v>174</v>
      </c>
      <c r="J308" s="199">
        <v>1958</v>
      </c>
      <c r="K308" s="198">
        <v>2053</v>
      </c>
      <c r="L308" s="200">
        <v>0</v>
      </c>
      <c r="M308" s="201"/>
      <c r="N308" s="199">
        <v>2133</v>
      </c>
      <c r="O308" s="202">
        <v>7.1</v>
      </c>
      <c r="P308" s="203">
        <v>6.2</v>
      </c>
      <c r="Q308" s="203">
        <v>0.9</v>
      </c>
      <c r="R308" s="204">
        <v>7.5</v>
      </c>
      <c r="S308" s="203">
        <v>7.2</v>
      </c>
      <c r="T308" s="203">
        <v>0.3</v>
      </c>
      <c r="V308" s="198">
        <v>2133</v>
      </c>
      <c r="W308" s="202">
        <v>6.8</v>
      </c>
      <c r="X308" s="203">
        <v>6.2</v>
      </c>
      <c r="Y308" s="203">
        <v>0.6</v>
      </c>
      <c r="Z308" s="204">
        <v>7.5</v>
      </c>
      <c r="AA308" s="203">
        <v>7.2</v>
      </c>
      <c r="AB308" s="203">
        <v>0.3</v>
      </c>
      <c r="AD308" s="198">
        <v>2133</v>
      </c>
      <c r="AE308" s="202">
        <v>-0.29999999999999982</v>
      </c>
      <c r="AF308" s="203" t="s">
        <v>82</v>
      </c>
      <c r="AG308" s="203">
        <v>-0.30000000000000004</v>
      </c>
      <c r="AH308" s="204" t="s">
        <v>82</v>
      </c>
      <c r="AI308" s="203" t="s">
        <v>82</v>
      </c>
      <c r="AJ308" s="203" t="s">
        <v>82</v>
      </c>
    </row>
    <row customFormat="1" r="309" s="205" spans="1:36" x14ac:dyDescent="0.2">
      <c r="A309" s="193">
        <v>305</v>
      </c>
      <c r="B309" s="215">
        <v>7</v>
      </c>
      <c r="C309" s="195" t="s">
        <v>238</v>
      </c>
      <c r="D309" s="195">
        <v>3</v>
      </c>
      <c r="E309" s="195" t="s">
        <v>243</v>
      </c>
      <c r="F309" s="196">
        <v>43985</v>
      </c>
      <c r="G309" s="197" t="s">
        <v>6</v>
      </c>
      <c r="H309" s="198">
        <v>2023</v>
      </c>
      <c r="I309" s="196" t="s">
        <v>244</v>
      </c>
      <c r="J309" s="199">
        <v>1542</v>
      </c>
      <c r="K309" s="198">
        <v>1638</v>
      </c>
      <c r="L309" s="200">
        <v>0</v>
      </c>
      <c r="M309" s="201"/>
      <c r="N309" s="199">
        <v>2023</v>
      </c>
      <c r="O309" s="202">
        <v>5.4</v>
      </c>
      <c r="P309" s="203">
        <v>4.3</v>
      </c>
      <c r="Q309" s="203">
        <v>1.1000000000000001</v>
      </c>
      <c r="R309" s="204">
        <v>4.5999999999999996</v>
      </c>
      <c r="S309" s="203">
        <v>4.5999999999999996</v>
      </c>
      <c r="T309" s="203" t="s">
        <v>84</v>
      </c>
      <c r="V309" s="198">
        <v>2023</v>
      </c>
      <c r="W309" s="202">
        <v>4.5</v>
      </c>
      <c r="X309" s="203">
        <v>4.3</v>
      </c>
      <c r="Y309" s="203">
        <v>0.2</v>
      </c>
      <c r="Z309" s="204">
        <v>4.5999999999999996</v>
      </c>
      <c r="AA309" s="203">
        <v>4.5999999999999996</v>
      </c>
      <c r="AB309" s="203" t="s">
        <v>84</v>
      </c>
      <c r="AD309" s="198">
        <v>2023</v>
      </c>
      <c r="AE309" s="202">
        <v>-0.90000000000000036</v>
      </c>
      <c r="AF309" s="203" t="s">
        <v>82</v>
      </c>
      <c r="AG309" s="203">
        <v>-0.90000000000000013</v>
      </c>
      <c r="AH309" s="204" t="s">
        <v>82</v>
      </c>
      <c r="AI309" s="203" t="s">
        <v>82</v>
      </c>
      <c r="AJ309" s="203" t="s">
        <v>82</v>
      </c>
    </row>
    <row customFormat="1" r="310" s="205" spans="1:36" x14ac:dyDescent="0.2">
      <c r="A310" s="193">
        <v>306</v>
      </c>
      <c r="B310" s="215">
        <v>7</v>
      </c>
      <c r="C310" s="195" t="s">
        <v>238</v>
      </c>
      <c r="D310" s="195">
        <v>3</v>
      </c>
      <c r="E310" s="195" t="s">
        <v>243</v>
      </c>
      <c r="F310" s="196">
        <v>43992</v>
      </c>
      <c r="G310" s="197" t="s">
        <v>6</v>
      </c>
      <c r="H310" s="198">
        <v>2024</v>
      </c>
      <c r="I310" s="196" t="s">
        <v>245</v>
      </c>
      <c r="J310" s="199">
        <v>1542</v>
      </c>
      <c r="K310" s="198">
        <v>1638</v>
      </c>
      <c r="L310" s="200">
        <v>0</v>
      </c>
      <c r="M310" s="201"/>
      <c r="N310" s="199">
        <v>2024</v>
      </c>
      <c r="O310" s="202">
        <v>5.4</v>
      </c>
      <c r="P310" s="203">
        <v>4.4000000000000004</v>
      </c>
      <c r="Q310" s="203">
        <v>1</v>
      </c>
      <c r="R310" s="204">
        <v>4.5999999999999996</v>
      </c>
      <c r="S310" s="203">
        <v>4.5999999999999996</v>
      </c>
      <c r="T310" s="203" t="s">
        <v>84</v>
      </c>
      <c r="V310" s="198">
        <v>2024</v>
      </c>
      <c r="W310" s="202">
        <v>4.5999999999999996</v>
      </c>
      <c r="X310" s="203">
        <v>4.4000000000000004</v>
      </c>
      <c r="Y310" s="203">
        <v>0.2</v>
      </c>
      <c r="Z310" s="204">
        <v>4.5999999999999996</v>
      </c>
      <c r="AA310" s="203">
        <v>4.5999999999999996</v>
      </c>
      <c r="AB310" s="203" t="s">
        <v>84</v>
      </c>
      <c r="AD310" s="198">
        <v>2024</v>
      </c>
      <c r="AE310" s="202">
        <v>-0.80000000000000071</v>
      </c>
      <c r="AF310" s="203" t="s">
        <v>82</v>
      </c>
      <c r="AG310" s="203">
        <v>-0.8</v>
      </c>
      <c r="AH310" s="204" t="s">
        <v>82</v>
      </c>
      <c r="AI310" s="203" t="s">
        <v>82</v>
      </c>
      <c r="AJ310" s="203" t="s">
        <v>82</v>
      </c>
    </row>
    <row customFormat="1" r="311" s="205" spans="1:36" x14ac:dyDescent="0.2">
      <c r="A311" s="193">
        <v>307</v>
      </c>
      <c r="B311" s="215">
        <v>7</v>
      </c>
      <c r="C311" s="195" t="s">
        <v>238</v>
      </c>
      <c r="D311" s="195">
        <v>3</v>
      </c>
      <c r="E311" s="195" t="s">
        <v>243</v>
      </c>
      <c r="F311" s="196">
        <v>43999</v>
      </c>
      <c r="G311" s="197" t="s">
        <v>6</v>
      </c>
      <c r="H311" s="198">
        <v>2025</v>
      </c>
      <c r="I311" s="196" t="s">
        <v>246</v>
      </c>
      <c r="J311" s="199">
        <v>1542</v>
      </c>
      <c r="K311" s="198">
        <v>1638</v>
      </c>
      <c r="L311" s="200">
        <v>0</v>
      </c>
      <c r="M311" s="201"/>
      <c r="N311" s="199">
        <v>2025</v>
      </c>
      <c r="O311" s="202">
        <v>5.5</v>
      </c>
      <c r="P311" s="203">
        <v>4.5999999999999996</v>
      </c>
      <c r="Q311" s="203">
        <v>0.9</v>
      </c>
      <c r="R311" s="204">
        <v>4.9000000000000004</v>
      </c>
      <c r="S311" s="203">
        <v>4.9000000000000004</v>
      </c>
      <c r="T311" s="203" t="s">
        <v>84</v>
      </c>
      <c r="V311" s="198">
        <v>2025</v>
      </c>
      <c r="W311" s="202">
        <v>4.7</v>
      </c>
      <c r="X311" s="203">
        <v>4.5999999999999996</v>
      </c>
      <c r="Y311" s="203">
        <v>0.1</v>
      </c>
      <c r="Z311" s="204">
        <v>4.9000000000000004</v>
      </c>
      <c r="AA311" s="203">
        <v>4.9000000000000004</v>
      </c>
      <c r="AB311" s="203" t="s">
        <v>84</v>
      </c>
      <c r="AD311" s="198">
        <v>2025</v>
      </c>
      <c r="AE311" s="202">
        <v>-0.79999999999999982</v>
      </c>
      <c r="AF311" s="203" t="s">
        <v>82</v>
      </c>
      <c r="AG311" s="203">
        <v>-0.8</v>
      </c>
      <c r="AH311" s="204" t="s">
        <v>82</v>
      </c>
      <c r="AI311" s="203" t="s">
        <v>82</v>
      </c>
      <c r="AJ311" s="203" t="s">
        <v>82</v>
      </c>
    </row>
    <row customFormat="1" r="312" s="205" spans="1:36" x14ac:dyDescent="0.2">
      <c r="A312" s="193">
        <v>308</v>
      </c>
      <c r="B312" s="215">
        <v>7</v>
      </c>
      <c r="C312" s="195" t="s">
        <v>238</v>
      </c>
      <c r="D312" s="195">
        <v>3</v>
      </c>
      <c r="E312" s="195" t="s">
        <v>243</v>
      </c>
      <c r="F312" s="196">
        <v>44006</v>
      </c>
      <c r="G312" s="197" t="s">
        <v>6</v>
      </c>
      <c r="H312" s="198">
        <v>2026</v>
      </c>
      <c r="I312" s="196" t="s">
        <v>247</v>
      </c>
      <c r="J312" s="199">
        <v>1542</v>
      </c>
      <c r="K312" s="198">
        <v>1638</v>
      </c>
      <c r="L312" s="200">
        <v>0</v>
      </c>
      <c r="M312" s="201"/>
      <c r="N312" s="199">
        <v>2026</v>
      </c>
      <c r="O312" s="202">
        <v>5.8</v>
      </c>
      <c r="P312" s="203">
        <v>4.5999999999999996</v>
      </c>
      <c r="Q312" s="203">
        <v>1.2</v>
      </c>
      <c r="R312" s="204">
        <v>4.9000000000000004</v>
      </c>
      <c r="S312" s="203">
        <v>4.9000000000000004</v>
      </c>
      <c r="T312" s="203" t="s">
        <v>84</v>
      </c>
      <c r="V312" s="198">
        <v>2026</v>
      </c>
      <c r="W312" s="202">
        <v>4.9000000000000004</v>
      </c>
      <c r="X312" s="203">
        <v>4.5999999999999996</v>
      </c>
      <c r="Y312" s="203">
        <v>0.3</v>
      </c>
      <c r="Z312" s="204">
        <v>4.9000000000000004</v>
      </c>
      <c r="AA312" s="203">
        <v>4.9000000000000004</v>
      </c>
      <c r="AB312" s="203" t="s">
        <v>84</v>
      </c>
      <c r="AD312" s="198">
        <v>2026</v>
      </c>
      <c r="AE312" s="202">
        <v>-0.89999999999999947</v>
      </c>
      <c r="AF312" s="203" t="s">
        <v>82</v>
      </c>
      <c r="AG312" s="203">
        <v>-0.89999999999999991</v>
      </c>
      <c r="AH312" s="204" t="s">
        <v>82</v>
      </c>
      <c r="AI312" s="203" t="s">
        <v>82</v>
      </c>
      <c r="AJ312" s="203" t="s">
        <v>82</v>
      </c>
    </row>
    <row customFormat="1" r="313" s="205" spans="1:36" x14ac:dyDescent="0.2">
      <c r="A313" s="193">
        <v>309</v>
      </c>
      <c r="B313" s="215">
        <v>8</v>
      </c>
      <c r="C313" s="195" t="s">
        <v>248</v>
      </c>
      <c r="D313" s="195">
        <v>1</v>
      </c>
      <c r="E313" s="195" t="s">
        <v>249</v>
      </c>
      <c r="F313" s="196">
        <v>44347</v>
      </c>
      <c r="G313" s="197" t="s">
        <v>4</v>
      </c>
      <c r="H313" s="198">
        <v>2123</v>
      </c>
      <c r="I313" s="196" t="s">
        <v>250</v>
      </c>
      <c r="J313" s="199">
        <v>1355</v>
      </c>
      <c r="K313" s="198">
        <v>1548</v>
      </c>
      <c r="L313" s="200">
        <v>0</v>
      </c>
      <c r="M313" s="201"/>
      <c r="N313" s="199">
        <v>2123</v>
      </c>
      <c r="O313" s="202">
        <v>2.5</v>
      </c>
      <c r="P313" s="203">
        <v>2.4</v>
      </c>
      <c r="Q313" s="203">
        <v>0.1</v>
      </c>
      <c r="R313" s="204">
        <v>2.2000000000000002</v>
      </c>
      <c r="S313" s="203">
        <v>2.2000000000000002</v>
      </c>
      <c r="T313" s="203" t="s">
        <v>84</v>
      </c>
      <c r="V313" s="198">
        <v>2123</v>
      </c>
      <c r="W313" s="202">
        <v>2.4</v>
      </c>
      <c r="X313" s="203">
        <v>2.4</v>
      </c>
      <c r="Y313" s="203">
        <v>0</v>
      </c>
      <c r="Z313" s="204">
        <v>2.2000000000000002</v>
      </c>
      <c r="AA313" s="203">
        <v>2.2000000000000002</v>
      </c>
      <c r="AB313" s="203" t="s">
        <v>84</v>
      </c>
      <c r="AD313" s="198">
        <v>2123</v>
      </c>
      <c r="AE313" s="202">
        <v>-0.10000000000000009</v>
      </c>
      <c r="AF313" s="203" t="s">
        <v>82</v>
      </c>
      <c r="AG313" s="203">
        <v>-0.1</v>
      </c>
      <c r="AH313" s="204" t="s">
        <v>82</v>
      </c>
      <c r="AI313" s="203" t="s">
        <v>82</v>
      </c>
      <c r="AJ313" s="203" t="s">
        <v>82</v>
      </c>
    </row>
    <row customFormat="1" r="314" s="205" spans="1:36" x14ac:dyDescent="0.2">
      <c r="A314" s="193">
        <v>310</v>
      </c>
      <c r="B314" s="215">
        <v>8</v>
      </c>
      <c r="C314" s="195" t="s">
        <v>248</v>
      </c>
      <c r="D314" s="195">
        <v>1</v>
      </c>
      <c r="E314" s="195" t="s">
        <v>249</v>
      </c>
      <c r="F314" s="196">
        <v>44354</v>
      </c>
      <c r="G314" s="197" t="s">
        <v>4</v>
      </c>
      <c r="H314" s="198">
        <v>2124</v>
      </c>
      <c r="I314" s="196" t="s">
        <v>250</v>
      </c>
      <c r="J314" s="199">
        <v>1355</v>
      </c>
      <c r="K314" s="198">
        <v>1548</v>
      </c>
      <c r="L314" s="200">
        <v>0</v>
      </c>
      <c r="M314" s="201"/>
      <c r="N314" s="199">
        <v>2124</v>
      </c>
      <c r="O314" s="202">
        <v>2.2999999999999998</v>
      </c>
      <c r="P314" s="203">
        <v>2.2000000000000002</v>
      </c>
      <c r="Q314" s="203">
        <v>0.1</v>
      </c>
      <c r="R314" s="204">
        <v>2.1</v>
      </c>
      <c r="S314" s="203">
        <v>2.1</v>
      </c>
      <c r="T314" s="203" t="s">
        <v>84</v>
      </c>
      <c r="V314" s="198">
        <v>2124</v>
      </c>
      <c r="W314" s="202">
        <v>2.2000000000000002</v>
      </c>
      <c r="X314" s="203">
        <v>2.2000000000000002</v>
      </c>
      <c r="Y314" s="203">
        <v>0</v>
      </c>
      <c r="Z314" s="204">
        <v>2.1</v>
      </c>
      <c r="AA314" s="203">
        <v>2.1</v>
      </c>
      <c r="AB314" s="203" t="s">
        <v>84</v>
      </c>
      <c r="AD314" s="198">
        <v>2124</v>
      </c>
      <c r="AE314" s="202">
        <v>-9.9999999999999645E-2</v>
      </c>
      <c r="AF314" s="203" t="s">
        <v>82</v>
      </c>
      <c r="AG314" s="203">
        <v>-0.1</v>
      </c>
      <c r="AH314" s="204" t="s">
        <v>82</v>
      </c>
      <c r="AI314" s="203" t="s">
        <v>82</v>
      </c>
      <c r="AJ314" s="203" t="s">
        <v>82</v>
      </c>
    </row>
    <row customFormat="1" r="315" s="205" spans="1:36" x14ac:dyDescent="0.2">
      <c r="A315" s="193">
        <v>311</v>
      </c>
      <c r="B315" s="215">
        <v>8</v>
      </c>
      <c r="C315" s="195" t="s">
        <v>248</v>
      </c>
      <c r="D315" s="195">
        <v>1</v>
      </c>
      <c r="E315" s="195" t="s">
        <v>249</v>
      </c>
      <c r="F315" s="196">
        <v>44361</v>
      </c>
      <c r="G315" s="197" t="s">
        <v>4</v>
      </c>
      <c r="H315" s="198">
        <v>2125</v>
      </c>
      <c r="I315" s="196" t="s">
        <v>250</v>
      </c>
      <c r="J315" s="199">
        <v>1355</v>
      </c>
      <c r="K315" s="198">
        <v>1539</v>
      </c>
      <c r="L315" s="200">
        <v>0</v>
      </c>
      <c r="M315" s="201"/>
      <c r="N315" s="199">
        <v>2125</v>
      </c>
      <c r="O315" s="202">
        <v>2.2999999999999998</v>
      </c>
      <c r="P315" s="203">
        <v>2.2000000000000002</v>
      </c>
      <c r="Q315" s="203">
        <v>0.1</v>
      </c>
      <c r="R315" s="204">
        <v>2.4</v>
      </c>
      <c r="S315" s="203">
        <v>2.4</v>
      </c>
      <c r="T315" s="203" t="s">
        <v>84</v>
      </c>
      <c r="V315" s="198">
        <v>2125</v>
      </c>
      <c r="W315" s="202">
        <v>2.2999999999999998</v>
      </c>
      <c r="X315" s="203">
        <v>2.2000000000000002</v>
      </c>
      <c r="Y315" s="203">
        <v>0.1</v>
      </c>
      <c r="Z315" s="204">
        <v>2.4</v>
      </c>
      <c r="AA315" s="203">
        <v>2.4</v>
      </c>
      <c r="AB315" s="203" t="s">
        <v>84</v>
      </c>
      <c r="AD315" s="198">
        <v>2125</v>
      </c>
      <c r="AE315" s="202"/>
      <c r="AF315" s="203" t="s">
        <v>82</v>
      </c>
      <c r="AG315" s="203" t="s">
        <v>82</v>
      </c>
      <c r="AH315" s="204" t="s">
        <v>82</v>
      </c>
      <c r="AI315" s="203" t="s">
        <v>82</v>
      </c>
      <c r="AJ315" s="203" t="s">
        <v>82</v>
      </c>
    </row>
    <row customFormat="1" r="316" s="205" spans="1:36" x14ac:dyDescent="0.2">
      <c r="A316" s="193">
        <v>312</v>
      </c>
      <c r="B316" s="215">
        <v>8</v>
      </c>
      <c r="C316" s="195" t="s">
        <v>248</v>
      </c>
      <c r="D316" s="195">
        <v>1</v>
      </c>
      <c r="E316" s="195" t="s">
        <v>249</v>
      </c>
      <c r="F316" s="196">
        <v>44368</v>
      </c>
      <c r="G316" s="197" t="s">
        <v>4</v>
      </c>
      <c r="H316" s="198">
        <v>2126</v>
      </c>
      <c r="I316" s="196" t="s">
        <v>250</v>
      </c>
      <c r="J316" s="199">
        <v>1355</v>
      </c>
      <c r="K316" s="198">
        <v>1548</v>
      </c>
      <c r="L316" s="200">
        <v>0</v>
      </c>
      <c r="M316" s="201"/>
      <c r="N316" s="199">
        <v>2126</v>
      </c>
      <c r="O316" s="202">
        <v>2.4</v>
      </c>
      <c r="P316" s="203">
        <v>2.2999999999999998</v>
      </c>
      <c r="Q316" s="203">
        <v>0.1</v>
      </c>
      <c r="R316" s="204">
        <v>2.1</v>
      </c>
      <c r="S316" s="203">
        <v>2.1</v>
      </c>
      <c r="T316" s="203" t="s">
        <v>84</v>
      </c>
      <c r="V316" s="198">
        <v>2126</v>
      </c>
      <c r="W316" s="202">
        <v>2.4</v>
      </c>
      <c r="X316" s="203">
        <v>2.2999999999999998</v>
      </c>
      <c r="Y316" s="203">
        <v>0.1</v>
      </c>
      <c r="Z316" s="204">
        <v>2.1</v>
      </c>
      <c r="AA316" s="203">
        <v>2.1</v>
      </c>
      <c r="AB316" s="203" t="s">
        <v>84</v>
      </c>
      <c r="AD316" s="198">
        <v>2126</v>
      </c>
      <c r="AE316" s="202" t="s">
        <v>82</v>
      </c>
      <c r="AF316" s="203" t="s">
        <v>82</v>
      </c>
      <c r="AG316" s="203" t="s">
        <v>82</v>
      </c>
      <c r="AH316" s="204" t="s">
        <v>82</v>
      </c>
      <c r="AI316" s="203" t="s">
        <v>82</v>
      </c>
      <c r="AJ316" s="203" t="s">
        <v>82</v>
      </c>
    </row>
    <row customFormat="1" r="317" s="205" spans="1:36" x14ac:dyDescent="0.2">
      <c r="A317" s="193">
        <v>313</v>
      </c>
      <c r="B317" s="215">
        <v>8</v>
      </c>
      <c r="C317" s="195" t="s">
        <v>248</v>
      </c>
      <c r="D317" s="195">
        <v>1</v>
      </c>
      <c r="E317" s="195" t="s">
        <v>249</v>
      </c>
      <c r="F317" s="196">
        <v>44499</v>
      </c>
      <c r="G317" s="197" t="s">
        <v>9</v>
      </c>
      <c r="H317" s="198">
        <v>2144</v>
      </c>
      <c r="I317" s="196" t="s">
        <v>251</v>
      </c>
      <c r="J317" s="199">
        <v>635</v>
      </c>
      <c r="K317" s="198">
        <v>724</v>
      </c>
      <c r="L317" s="200">
        <v>0</v>
      </c>
      <c r="M317" s="201"/>
      <c r="N317" s="199">
        <v>2144</v>
      </c>
      <c r="O317" s="202">
        <v>1.8</v>
      </c>
      <c r="P317" s="203">
        <v>1.2</v>
      </c>
      <c r="Q317" s="203">
        <v>0.6</v>
      </c>
      <c r="R317" s="204">
        <v>1.3</v>
      </c>
      <c r="S317" s="203">
        <v>1.3</v>
      </c>
      <c r="T317" s="203">
        <v>0</v>
      </c>
      <c r="V317" s="198">
        <v>2144</v>
      </c>
      <c r="W317" s="202">
        <v>1.2</v>
      </c>
      <c r="X317" s="203">
        <v>1.2</v>
      </c>
      <c r="Y317" s="203">
        <v>0</v>
      </c>
      <c r="Z317" s="204">
        <v>1.3</v>
      </c>
      <c r="AA317" s="203">
        <v>1.3</v>
      </c>
      <c r="AB317" s="203">
        <v>0</v>
      </c>
      <c r="AD317" s="198">
        <v>2144</v>
      </c>
      <c r="AE317" s="202">
        <v>-0.60000000000000009</v>
      </c>
      <c r="AF317" s="203" t="s">
        <v>82</v>
      </c>
      <c r="AG317" s="203">
        <v>-0.6</v>
      </c>
      <c r="AH317" s="204" t="s">
        <v>82</v>
      </c>
      <c r="AI317" s="203" t="s">
        <v>82</v>
      </c>
      <c r="AJ317" s="203" t="s">
        <v>82</v>
      </c>
    </row>
    <row customFormat="1" r="318" s="205" spans="1:36" x14ac:dyDescent="0.2">
      <c r="A318" s="193">
        <v>314</v>
      </c>
      <c r="B318" s="215">
        <v>8</v>
      </c>
      <c r="C318" s="195" t="s">
        <v>248</v>
      </c>
      <c r="D318" s="195">
        <v>1</v>
      </c>
      <c r="E318" s="195" t="s">
        <v>249</v>
      </c>
      <c r="F318" s="196">
        <v>44506</v>
      </c>
      <c r="G318" s="197" t="s">
        <v>9</v>
      </c>
      <c r="H318" s="198">
        <v>2145</v>
      </c>
      <c r="I318" s="196" t="s">
        <v>251</v>
      </c>
      <c r="J318" s="199">
        <v>635</v>
      </c>
      <c r="K318" s="198">
        <v>724</v>
      </c>
      <c r="L318" s="200">
        <v>0</v>
      </c>
      <c r="M318" s="201"/>
      <c r="N318" s="199">
        <v>2145</v>
      </c>
      <c r="O318" s="202">
        <v>1.7</v>
      </c>
      <c r="P318" s="203">
        <v>1.1000000000000001</v>
      </c>
      <c r="Q318" s="203">
        <v>0.6</v>
      </c>
      <c r="R318" s="204">
        <v>1.3</v>
      </c>
      <c r="S318" s="203">
        <v>1.3</v>
      </c>
      <c r="T318" s="203">
        <v>0</v>
      </c>
      <c r="V318" s="198">
        <v>2145</v>
      </c>
      <c r="W318" s="202">
        <v>1.1000000000000001</v>
      </c>
      <c r="X318" s="203">
        <v>1.1000000000000001</v>
      </c>
      <c r="Y318" s="203">
        <v>0</v>
      </c>
      <c r="Z318" s="204">
        <v>1.3</v>
      </c>
      <c r="AA318" s="203">
        <v>1.3</v>
      </c>
      <c r="AB318" s="203">
        <v>0</v>
      </c>
      <c r="AD318" s="198">
        <v>2145</v>
      </c>
      <c r="AE318" s="202">
        <v>-0.59999999999999987</v>
      </c>
      <c r="AF318" s="203" t="s">
        <v>82</v>
      </c>
      <c r="AG318" s="203">
        <v>-0.6</v>
      </c>
      <c r="AH318" s="204" t="s">
        <v>82</v>
      </c>
      <c r="AI318" s="203" t="s">
        <v>82</v>
      </c>
      <c r="AJ318" s="203" t="s">
        <v>82</v>
      </c>
    </row>
    <row customFormat="1" r="319" s="205" spans="1:36" x14ac:dyDescent="0.2">
      <c r="A319" s="193">
        <v>315</v>
      </c>
      <c r="B319" s="215">
        <v>8</v>
      </c>
      <c r="C319" s="195" t="s">
        <v>248</v>
      </c>
      <c r="D319" s="195">
        <v>1</v>
      </c>
      <c r="E319" s="195" t="s">
        <v>249</v>
      </c>
      <c r="F319" s="196">
        <v>44513</v>
      </c>
      <c r="G319" s="197" t="s">
        <v>9</v>
      </c>
      <c r="H319" s="198">
        <v>2146</v>
      </c>
      <c r="I319" s="196" t="s">
        <v>251</v>
      </c>
      <c r="J319" s="199">
        <v>635</v>
      </c>
      <c r="K319" s="198">
        <v>724</v>
      </c>
      <c r="L319" s="200">
        <v>0</v>
      </c>
      <c r="M319" s="201"/>
      <c r="N319" s="199">
        <v>2146</v>
      </c>
      <c r="O319" s="202">
        <v>1.7</v>
      </c>
      <c r="P319" s="203">
        <v>1.2</v>
      </c>
      <c r="Q319" s="203">
        <v>0.5</v>
      </c>
      <c r="R319" s="204">
        <v>1.5</v>
      </c>
      <c r="S319" s="203">
        <v>1.5</v>
      </c>
      <c r="T319" s="203">
        <v>0</v>
      </c>
      <c r="V319" s="198">
        <v>2146</v>
      </c>
      <c r="W319" s="202">
        <v>1.2</v>
      </c>
      <c r="X319" s="203">
        <v>1.2</v>
      </c>
      <c r="Y319" s="203">
        <v>0</v>
      </c>
      <c r="Z319" s="204">
        <v>1.5</v>
      </c>
      <c r="AA319" s="203">
        <v>1.5</v>
      </c>
      <c r="AB319" s="203">
        <v>0</v>
      </c>
      <c r="AD319" s="198">
        <v>2146</v>
      </c>
      <c r="AE319" s="202">
        <v>-0.5</v>
      </c>
      <c r="AF319" s="203" t="s">
        <v>82</v>
      </c>
      <c r="AG319" s="203">
        <v>-0.5</v>
      </c>
      <c r="AH319" s="204" t="s">
        <v>82</v>
      </c>
      <c r="AI319" s="203" t="s">
        <v>82</v>
      </c>
      <c r="AJ319" s="203" t="s">
        <v>82</v>
      </c>
    </row>
    <row customFormat="1" r="320" s="205" spans="1:36" x14ac:dyDescent="0.2">
      <c r="A320" s="193">
        <v>316</v>
      </c>
      <c r="B320" s="215">
        <v>8</v>
      </c>
      <c r="C320" s="195" t="s">
        <v>248</v>
      </c>
      <c r="D320" s="195">
        <v>1</v>
      </c>
      <c r="E320" s="195" t="s">
        <v>249</v>
      </c>
      <c r="F320" s="196">
        <v>44520</v>
      </c>
      <c r="G320" s="197" t="s">
        <v>9</v>
      </c>
      <c r="H320" s="198">
        <v>2147</v>
      </c>
      <c r="I320" s="196" t="s">
        <v>251</v>
      </c>
      <c r="J320" s="199">
        <v>635</v>
      </c>
      <c r="K320" s="198">
        <v>724</v>
      </c>
      <c r="L320" s="200">
        <v>0</v>
      </c>
      <c r="M320" s="201"/>
      <c r="N320" s="199">
        <v>2147</v>
      </c>
      <c r="O320" s="202">
        <v>1.5</v>
      </c>
      <c r="P320" s="203">
        <v>1</v>
      </c>
      <c r="Q320" s="203">
        <v>0.5</v>
      </c>
      <c r="R320" s="204">
        <v>1.1000000000000001</v>
      </c>
      <c r="S320" s="203">
        <v>1.1000000000000001</v>
      </c>
      <c r="T320" s="203">
        <v>0</v>
      </c>
      <c r="V320" s="198">
        <v>2147</v>
      </c>
      <c r="W320" s="202">
        <v>1</v>
      </c>
      <c r="X320" s="203">
        <v>1</v>
      </c>
      <c r="Y320" s="203">
        <v>0</v>
      </c>
      <c r="Z320" s="204">
        <v>1.1000000000000001</v>
      </c>
      <c r="AA320" s="203">
        <v>1.1000000000000001</v>
      </c>
      <c r="AB320" s="203">
        <v>0</v>
      </c>
      <c r="AD320" s="198">
        <v>2147</v>
      </c>
      <c r="AE320" s="202">
        <v>-0.5</v>
      </c>
      <c r="AF320" s="203" t="s">
        <v>82</v>
      </c>
      <c r="AG320" s="203">
        <v>-0.5</v>
      </c>
      <c r="AH320" s="204" t="s">
        <v>82</v>
      </c>
      <c r="AI320" s="203" t="s">
        <v>82</v>
      </c>
      <c r="AJ320" s="203" t="s">
        <v>82</v>
      </c>
    </row>
    <row customFormat="1" r="321" s="205" spans="1:36" x14ac:dyDescent="0.2">
      <c r="A321" s="193">
        <v>317</v>
      </c>
      <c r="B321" s="215">
        <v>8</v>
      </c>
      <c r="C321" s="195" t="s">
        <v>248</v>
      </c>
      <c r="D321" s="195">
        <v>2</v>
      </c>
      <c r="E321" s="195" t="s">
        <v>252</v>
      </c>
      <c r="F321" s="196">
        <v>44052</v>
      </c>
      <c r="G321" s="197" t="s">
        <v>10</v>
      </c>
      <c r="H321" s="198">
        <v>2032</v>
      </c>
      <c r="I321" s="196" t="s">
        <v>112</v>
      </c>
      <c r="J321" s="199">
        <v>1115</v>
      </c>
      <c r="K321" s="198">
        <v>1144</v>
      </c>
      <c r="L321" s="200">
        <v>1</v>
      </c>
      <c r="M321" s="201"/>
      <c r="N321" s="199">
        <v>2032</v>
      </c>
      <c r="O321" s="202">
        <v>2.7</v>
      </c>
      <c r="P321" s="203">
        <v>2.5</v>
      </c>
      <c r="Q321" s="203">
        <v>0.2</v>
      </c>
      <c r="R321" s="204">
        <v>3.4</v>
      </c>
      <c r="S321" s="203">
        <v>2.1</v>
      </c>
      <c r="T321" s="203">
        <v>1.3</v>
      </c>
      <c r="V321" s="198">
        <v>2032</v>
      </c>
      <c r="W321" s="202">
        <v>2.5</v>
      </c>
      <c r="X321" s="203">
        <v>2.5</v>
      </c>
      <c r="Y321" s="203">
        <v>0</v>
      </c>
      <c r="Z321" s="204">
        <v>2.1</v>
      </c>
      <c r="AA321" s="203">
        <v>2.1</v>
      </c>
      <c r="AB321" s="203">
        <v>0</v>
      </c>
      <c r="AD321" s="198">
        <v>2032</v>
      </c>
      <c r="AE321" s="202">
        <v>-0.20000000000000018</v>
      </c>
      <c r="AF321" s="203" t="s">
        <v>82</v>
      </c>
      <c r="AG321" s="203">
        <v>-0.2</v>
      </c>
      <c r="AH321" s="204">
        <v>-1.2999999999999998</v>
      </c>
      <c r="AI321" s="203" t="s">
        <v>82</v>
      </c>
      <c r="AJ321" s="203">
        <v>-1.3</v>
      </c>
    </row>
    <row customFormat="1" r="322" s="205" spans="1:36" x14ac:dyDescent="0.2">
      <c r="A322" s="193">
        <v>318</v>
      </c>
      <c r="B322" s="215">
        <v>8</v>
      </c>
      <c r="C322" s="195" t="s">
        <v>248</v>
      </c>
      <c r="D322" s="195">
        <v>2</v>
      </c>
      <c r="E322" s="195" t="s">
        <v>252</v>
      </c>
      <c r="F322" s="196">
        <v>44059</v>
      </c>
      <c r="G322" s="197" t="s">
        <v>10</v>
      </c>
      <c r="H322" s="198">
        <v>2033</v>
      </c>
      <c r="I322" s="196" t="s">
        <v>112</v>
      </c>
      <c r="J322" s="199">
        <v>1115</v>
      </c>
      <c r="K322" s="198">
        <v>1144</v>
      </c>
      <c r="L322" s="200">
        <v>1</v>
      </c>
      <c r="M322" s="201"/>
      <c r="N322" s="199">
        <v>2033</v>
      </c>
      <c r="O322" s="202">
        <v>3.3</v>
      </c>
      <c r="P322" s="203">
        <v>3.1</v>
      </c>
      <c r="Q322" s="203">
        <v>0.2</v>
      </c>
      <c r="R322" s="204">
        <v>3.8</v>
      </c>
      <c r="S322" s="203">
        <v>2.8</v>
      </c>
      <c r="T322" s="203">
        <v>1</v>
      </c>
      <c r="V322" s="198">
        <v>2033</v>
      </c>
      <c r="W322" s="202">
        <v>3.1</v>
      </c>
      <c r="X322" s="203">
        <v>3.1</v>
      </c>
      <c r="Y322" s="203">
        <v>0</v>
      </c>
      <c r="Z322" s="204">
        <v>2.8</v>
      </c>
      <c r="AA322" s="203">
        <v>2.8</v>
      </c>
      <c r="AB322" s="203">
        <v>0</v>
      </c>
      <c r="AD322" s="198">
        <v>2033</v>
      </c>
      <c r="AE322" s="202">
        <v>-0.19999999999999973</v>
      </c>
      <c r="AF322" s="203" t="s">
        <v>82</v>
      </c>
      <c r="AG322" s="203">
        <v>-0.2</v>
      </c>
      <c r="AH322" s="204">
        <v>-1</v>
      </c>
      <c r="AI322" s="203" t="s">
        <v>82</v>
      </c>
      <c r="AJ322" s="203">
        <v>-1</v>
      </c>
    </row>
    <row customFormat="1" r="323" s="205" spans="1:36" x14ac:dyDescent="0.2">
      <c r="A323" s="193">
        <v>319</v>
      </c>
      <c r="B323" s="215">
        <v>8</v>
      </c>
      <c r="C323" s="195" t="s">
        <v>248</v>
      </c>
      <c r="D323" s="195">
        <v>2</v>
      </c>
      <c r="E323" s="195" t="s">
        <v>252</v>
      </c>
      <c r="F323" s="196">
        <v>44060</v>
      </c>
      <c r="G323" s="197" t="s">
        <v>4</v>
      </c>
      <c r="H323" s="198">
        <v>2034</v>
      </c>
      <c r="I323" s="196" t="s">
        <v>253</v>
      </c>
      <c r="J323" s="199">
        <v>2300</v>
      </c>
      <c r="K323" s="198">
        <v>2339</v>
      </c>
      <c r="L323" s="200">
        <v>0</v>
      </c>
      <c r="M323" s="201"/>
      <c r="N323" s="199">
        <v>2034</v>
      </c>
      <c r="O323" s="202">
        <v>2.9</v>
      </c>
      <c r="P323" s="203">
        <v>2.6</v>
      </c>
      <c r="Q323" s="203">
        <v>0.3</v>
      </c>
      <c r="R323" s="204">
        <v>1.9</v>
      </c>
      <c r="S323" s="203">
        <v>1.8</v>
      </c>
      <c r="T323" s="203">
        <v>0.1</v>
      </c>
      <c r="V323" s="198">
        <v>2034</v>
      </c>
      <c r="W323" s="202">
        <v>2.9</v>
      </c>
      <c r="X323" s="203">
        <v>2.6</v>
      </c>
      <c r="Y323" s="203">
        <v>0.3</v>
      </c>
      <c r="Z323" s="204">
        <v>1.9</v>
      </c>
      <c r="AA323" s="203">
        <v>1.8</v>
      </c>
      <c r="AB323" s="203">
        <v>0.1</v>
      </c>
      <c r="AD323" s="198">
        <v>2034</v>
      </c>
      <c r="AE323" s="202" t="s">
        <v>82</v>
      </c>
      <c r="AF323" s="203" t="s">
        <v>82</v>
      </c>
      <c r="AG323" s="203" t="s">
        <v>82</v>
      </c>
      <c r="AH323" s="204"/>
      <c r="AI323" s="203" t="s">
        <v>82</v>
      </c>
      <c r="AJ323" s="203" t="s">
        <v>82</v>
      </c>
    </row>
    <row customFormat="1" r="324" s="205" spans="1:36" x14ac:dyDescent="0.2">
      <c r="A324" s="193">
        <v>320</v>
      </c>
      <c r="B324" s="215">
        <v>8</v>
      </c>
      <c r="C324" s="195" t="s">
        <v>248</v>
      </c>
      <c r="D324" s="195">
        <v>2</v>
      </c>
      <c r="E324" s="195" t="s">
        <v>252</v>
      </c>
      <c r="F324" s="196">
        <v>44062</v>
      </c>
      <c r="G324" s="197" t="s">
        <v>6</v>
      </c>
      <c r="H324" s="198">
        <v>2034</v>
      </c>
      <c r="I324" s="196" t="s">
        <v>254</v>
      </c>
      <c r="J324" s="199">
        <v>2300</v>
      </c>
      <c r="K324" s="198">
        <v>2339</v>
      </c>
      <c r="L324" s="200">
        <v>0</v>
      </c>
      <c r="M324" s="201"/>
      <c r="N324" s="199">
        <v>2034</v>
      </c>
      <c r="O324" s="202">
        <v>3.4</v>
      </c>
      <c r="P324" s="203">
        <v>2.9</v>
      </c>
      <c r="Q324" s="203">
        <v>0.5</v>
      </c>
      <c r="R324" s="204">
        <v>1.8</v>
      </c>
      <c r="S324" s="203">
        <v>1.7</v>
      </c>
      <c r="T324" s="203">
        <v>0.1</v>
      </c>
      <c r="V324" s="198">
        <v>2034</v>
      </c>
      <c r="W324" s="202">
        <v>3.3</v>
      </c>
      <c r="X324" s="203">
        <v>2.9</v>
      </c>
      <c r="Y324" s="203">
        <v>0.4</v>
      </c>
      <c r="Z324" s="204">
        <v>1.8</v>
      </c>
      <c r="AA324" s="203">
        <v>1.7</v>
      </c>
      <c r="AB324" s="203">
        <v>0.1</v>
      </c>
      <c r="AD324" s="198">
        <v>2034</v>
      </c>
      <c r="AE324" s="202">
        <v>-0.10000000000000009</v>
      </c>
      <c r="AF324" s="203" t="s">
        <v>82</v>
      </c>
      <c r="AG324" s="203">
        <v>-9.9999999999999978E-2</v>
      </c>
      <c r="AH324" s="204" t="s">
        <v>82</v>
      </c>
      <c r="AI324" s="203" t="s">
        <v>82</v>
      </c>
      <c r="AJ324" s="203" t="s">
        <v>82</v>
      </c>
    </row>
    <row customFormat="1" r="325" s="205" spans="1:36" x14ac:dyDescent="0.2">
      <c r="A325" s="193">
        <v>321</v>
      </c>
      <c r="B325" s="215">
        <v>8</v>
      </c>
      <c r="C325" s="195" t="s">
        <v>248</v>
      </c>
      <c r="D325" s="195">
        <v>2</v>
      </c>
      <c r="E325" s="195" t="s">
        <v>252</v>
      </c>
      <c r="F325" s="196">
        <v>44066</v>
      </c>
      <c r="G325" s="197" t="s">
        <v>10</v>
      </c>
      <c r="H325" s="198">
        <v>2034</v>
      </c>
      <c r="I325" s="196" t="s">
        <v>112</v>
      </c>
      <c r="J325" s="199">
        <v>1115</v>
      </c>
      <c r="K325" s="198">
        <v>1144</v>
      </c>
      <c r="L325" s="200">
        <v>1</v>
      </c>
      <c r="M325" s="201"/>
      <c r="N325" s="199">
        <v>2034</v>
      </c>
      <c r="O325" s="202">
        <v>3.1</v>
      </c>
      <c r="P325" s="203">
        <v>2.9</v>
      </c>
      <c r="Q325" s="203">
        <v>0.2</v>
      </c>
      <c r="R325" s="204">
        <v>3.7</v>
      </c>
      <c r="S325" s="203">
        <v>2.7</v>
      </c>
      <c r="T325" s="203">
        <v>1</v>
      </c>
      <c r="V325" s="198">
        <v>2034</v>
      </c>
      <c r="W325" s="202">
        <v>2.9</v>
      </c>
      <c r="X325" s="203">
        <v>2.9</v>
      </c>
      <c r="Y325" s="203">
        <v>0</v>
      </c>
      <c r="Z325" s="204">
        <v>2.7</v>
      </c>
      <c r="AA325" s="203">
        <v>2.7</v>
      </c>
      <c r="AB325" s="203">
        <v>0</v>
      </c>
      <c r="AD325" s="198">
        <v>2034</v>
      </c>
      <c r="AE325" s="202">
        <v>-0.20000000000000018</v>
      </c>
      <c r="AF325" s="203" t="s">
        <v>82</v>
      </c>
      <c r="AG325" s="203">
        <v>-0.2</v>
      </c>
      <c r="AH325" s="204">
        <v>-1</v>
      </c>
      <c r="AI325" s="203" t="s">
        <v>82</v>
      </c>
      <c r="AJ325" s="203">
        <v>-1</v>
      </c>
    </row>
    <row customFormat="1" r="326" s="205" spans="1:36" x14ac:dyDescent="0.2">
      <c r="A326" s="193">
        <v>322</v>
      </c>
      <c r="B326" s="215">
        <v>8</v>
      </c>
      <c r="C326" s="195" t="s">
        <v>248</v>
      </c>
      <c r="D326" s="195">
        <v>2</v>
      </c>
      <c r="E326" s="195" t="s">
        <v>252</v>
      </c>
      <c r="F326" s="196">
        <v>44067</v>
      </c>
      <c r="G326" s="197" t="s">
        <v>4</v>
      </c>
      <c r="H326" s="198">
        <v>2035</v>
      </c>
      <c r="I326" s="196" t="s">
        <v>253</v>
      </c>
      <c r="J326" s="199">
        <v>2300</v>
      </c>
      <c r="K326" s="198">
        <v>2339</v>
      </c>
      <c r="L326" s="200">
        <v>0</v>
      </c>
      <c r="M326" s="201"/>
      <c r="N326" s="199">
        <v>2035</v>
      </c>
      <c r="O326" s="202">
        <v>2.9</v>
      </c>
      <c r="P326" s="203">
        <v>2.4</v>
      </c>
      <c r="Q326" s="203">
        <v>0.5</v>
      </c>
      <c r="R326" s="204">
        <v>2.1</v>
      </c>
      <c r="S326" s="203">
        <v>2</v>
      </c>
      <c r="T326" s="203">
        <v>0.1</v>
      </c>
      <c r="V326" s="198">
        <v>2035</v>
      </c>
      <c r="W326" s="202">
        <v>2.8</v>
      </c>
      <c r="X326" s="203">
        <v>2.4</v>
      </c>
      <c r="Y326" s="203">
        <v>0.4</v>
      </c>
      <c r="Z326" s="204">
        <v>2.1</v>
      </c>
      <c r="AA326" s="203">
        <v>2</v>
      </c>
      <c r="AB326" s="203">
        <v>0.1</v>
      </c>
      <c r="AD326" s="198">
        <v>2035</v>
      </c>
      <c r="AE326" s="202">
        <v>-0.10000000000000009</v>
      </c>
      <c r="AF326" s="203" t="s">
        <v>82</v>
      </c>
      <c r="AG326" s="203">
        <v>-9.9999999999999978E-2</v>
      </c>
      <c r="AH326" s="204" t="s">
        <v>82</v>
      </c>
      <c r="AI326" s="203" t="s">
        <v>82</v>
      </c>
      <c r="AJ326" s="203" t="s">
        <v>82</v>
      </c>
    </row>
    <row customFormat="1" r="327" s="205" spans="1:36" x14ac:dyDescent="0.2">
      <c r="A327" s="193">
        <v>323</v>
      </c>
      <c r="B327" s="215">
        <v>8</v>
      </c>
      <c r="C327" s="195" t="s">
        <v>248</v>
      </c>
      <c r="D327" s="195">
        <v>2</v>
      </c>
      <c r="E327" s="195" t="s">
        <v>252</v>
      </c>
      <c r="F327" s="196">
        <v>44069</v>
      </c>
      <c r="G327" s="197" t="s">
        <v>6</v>
      </c>
      <c r="H327" s="198">
        <v>2035</v>
      </c>
      <c r="I327" s="196" t="s">
        <v>254</v>
      </c>
      <c r="J327" s="199">
        <v>2315</v>
      </c>
      <c r="K327" s="198">
        <v>2354</v>
      </c>
      <c r="L327" s="200">
        <v>0</v>
      </c>
      <c r="M327" s="201"/>
      <c r="N327" s="199">
        <v>2035</v>
      </c>
      <c r="O327" s="202">
        <v>3</v>
      </c>
      <c r="P327" s="203">
        <v>2.5</v>
      </c>
      <c r="Q327" s="203">
        <v>0.5</v>
      </c>
      <c r="R327" s="204">
        <v>1.9</v>
      </c>
      <c r="S327" s="203">
        <v>1.9</v>
      </c>
      <c r="T327" s="203" t="s">
        <v>84</v>
      </c>
      <c r="V327" s="198">
        <v>2035</v>
      </c>
      <c r="W327" s="202">
        <v>2.8</v>
      </c>
      <c r="X327" s="203">
        <v>2.5</v>
      </c>
      <c r="Y327" s="203">
        <v>0.3</v>
      </c>
      <c r="Z327" s="204">
        <v>1.9</v>
      </c>
      <c r="AA327" s="203">
        <v>1.9</v>
      </c>
      <c r="AB327" s="203" t="s">
        <v>84</v>
      </c>
      <c r="AD327" s="198">
        <v>2035</v>
      </c>
      <c r="AE327" s="202">
        <v>-0.20000000000000018</v>
      </c>
      <c r="AF327" s="203" t="s">
        <v>82</v>
      </c>
      <c r="AG327" s="203">
        <v>-0.2</v>
      </c>
      <c r="AH327" s="204" t="s">
        <v>82</v>
      </c>
      <c r="AI327" s="203" t="s">
        <v>82</v>
      </c>
      <c r="AJ327" s="203" t="s">
        <v>82</v>
      </c>
    </row>
    <row customFormat="1" r="328" s="205" spans="1:36" x14ac:dyDescent="0.2">
      <c r="A328" s="193">
        <v>324</v>
      </c>
      <c r="B328" s="215">
        <v>8</v>
      </c>
      <c r="C328" s="195" t="s">
        <v>248</v>
      </c>
      <c r="D328" s="195">
        <v>2</v>
      </c>
      <c r="E328" s="195" t="s">
        <v>252</v>
      </c>
      <c r="F328" s="196">
        <v>44073</v>
      </c>
      <c r="G328" s="197" t="s">
        <v>10</v>
      </c>
      <c r="H328" s="198">
        <v>2035</v>
      </c>
      <c r="I328" s="196" t="s">
        <v>112</v>
      </c>
      <c r="J328" s="199">
        <v>1115</v>
      </c>
      <c r="K328" s="198">
        <v>1144</v>
      </c>
      <c r="L328" s="200">
        <v>1</v>
      </c>
      <c r="M328" s="201"/>
      <c r="N328" s="199">
        <v>2035</v>
      </c>
      <c r="O328" s="202">
        <v>2.9</v>
      </c>
      <c r="P328" s="203">
        <v>2.7</v>
      </c>
      <c r="Q328" s="203">
        <v>0.2</v>
      </c>
      <c r="R328" s="204">
        <v>3.5</v>
      </c>
      <c r="S328" s="203">
        <v>2.5</v>
      </c>
      <c r="T328" s="203">
        <v>1</v>
      </c>
      <c r="V328" s="198">
        <v>2035</v>
      </c>
      <c r="W328" s="202">
        <v>2.7</v>
      </c>
      <c r="X328" s="203">
        <v>2.7</v>
      </c>
      <c r="Y328" s="203">
        <v>0</v>
      </c>
      <c r="Z328" s="204">
        <v>2.5</v>
      </c>
      <c r="AA328" s="203">
        <v>2.5</v>
      </c>
      <c r="AB328" s="203">
        <v>0</v>
      </c>
      <c r="AD328" s="198">
        <v>2035</v>
      </c>
      <c r="AE328" s="202">
        <v>-0.19999999999999973</v>
      </c>
      <c r="AF328" s="203" t="s">
        <v>82</v>
      </c>
      <c r="AG328" s="203">
        <v>-0.2</v>
      </c>
      <c r="AH328" s="204">
        <v>-1</v>
      </c>
      <c r="AI328" s="203" t="s">
        <v>82</v>
      </c>
      <c r="AJ328" s="203">
        <v>-1</v>
      </c>
    </row>
    <row customFormat="1" r="329" s="205" spans="1:36" x14ac:dyDescent="0.2">
      <c r="A329" s="193">
        <v>325</v>
      </c>
      <c r="B329" s="215">
        <v>8</v>
      </c>
      <c r="C329" s="195" t="s">
        <v>248</v>
      </c>
      <c r="D329" s="195">
        <v>2</v>
      </c>
      <c r="E329" s="195" t="s">
        <v>252</v>
      </c>
      <c r="F329" s="196">
        <v>44074</v>
      </c>
      <c r="G329" s="197" t="s">
        <v>4</v>
      </c>
      <c r="H329" s="198">
        <v>2036</v>
      </c>
      <c r="I329" s="196" t="s">
        <v>253</v>
      </c>
      <c r="J329" s="199">
        <v>2300</v>
      </c>
      <c r="K329" s="198">
        <v>2339</v>
      </c>
      <c r="L329" s="200">
        <v>0</v>
      </c>
      <c r="M329" s="201"/>
      <c r="N329" s="199">
        <v>2036</v>
      </c>
      <c r="O329" s="202">
        <v>2.5</v>
      </c>
      <c r="P329" s="203">
        <v>2</v>
      </c>
      <c r="Q329" s="203">
        <v>0.5</v>
      </c>
      <c r="R329" s="204">
        <v>1.8</v>
      </c>
      <c r="S329" s="203">
        <v>1.7</v>
      </c>
      <c r="T329" s="203">
        <v>0.1</v>
      </c>
      <c r="V329" s="198">
        <v>2036</v>
      </c>
      <c r="W329" s="202">
        <v>2.4</v>
      </c>
      <c r="X329" s="203">
        <v>2</v>
      </c>
      <c r="Y329" s="203">
        <v>0.4</v>
      </c>
      <c r="Z329" s="204">
        <v>1.8</v>
      </c>
      <c r="AA329" s="203">
        <v>1.7</v>
      </c>
      <c r="AB329" s="203">
        <v>0.1</v>
      </c>
      <c r="AD329" s="198">
        <v>2036</v>
      </c>
      <c r="AE329" s="202">
        <v>-0.10000000000000009</v>
      </c>
      <c r="AF329" s="203" t="s">
        <v>82</v>
      </c>
      <c r="AG329" s="203">
        <v>-9.9999999999999978E-2</v>
      </c>
      <c r="AH329" s="204" t="s">
        <v>82</v>
      </c>
      <c r="AI329" s="203" t="s">
        <v>82</v>
      </c>
      <c r="AJ329" s="203" t="s">
        <v>82</v>
      </c>
    </row>
    <row customFormat="1" r="330" s="205" spans="1:36" x14ac:dyDescent="0.2">
      <c r="A330" s="193">
        <v>326</v>
      </c>
      <c r="B330" s="215">
        <v>8</v>
      </c>
      <c r="C330" s="195" t="s">
        <v>248</v>
      </c>
      <c r="D330" s="195">
        <v>2</v>
      </c>
      <c r="E330" s="195" t="s">
        <v>252</v>
      </c>
      <c r="F330" s="196">
        <v>44076</v>
      </c>
      <c r="G330" s="197" t="s">
        <v>6</v>
      </c>
      <c r="H330" s="198">
        <v>2036</v>
      </c>
      <c r="I330" s="196" t="s">
        <v>254</v>
      </c>
      <c r="J330" s="199">
        <v>2300</v>
      </c>
      <c r="K330" s="198">
        <v>2339</v>
      </c>
      <c r="L330" s="200">
        <v>0</v>
      </c>
      <c r="M330" s="201"/>
      <c r="N330" s="199">
        <v>2036</v>
      </c>
      <c r="O330" s="202">
        <v>4</v>
      </c>
      <c r="P330" s="203">
        <v>3.5</v>
      </c>
      <c r="Q330" s="203">
        <v>0.5</v>
      </c>
      <c r="R330" s="204">
        <v>2.2000000000000002</v>
      </c>
      <c r="S330" s="203">
        <v>2</v>
      </c>
      <c r="T330" s="203">
        <v>0.2</v>
      </c>
      <c r="V330" s="198">
        <v>2036</v>
      </c>
      <c r="W330" s="202">
        <v>3.8</v>
      </c>
      <c r="X330" s="203">
        <v>3.5</v>
      </c>
      <c r="Y330" s="203">
        <v>0.3</v>
      </c>
      <c r="Z330" s="204">
        <v>2.2000000000000002</v>
      </c>
      <c r="AA330" s="203">
        <v>2</v>
      </c>
      <c r="AB330" s="203">
        <v>0.2</v>
      </c>
      <c r="AD330" s="198">
        <v>2036</v>
      </c>
      <c r="AE330" s="202">
        <v>-0.20000000000000018</v>
      </c>
      <c r="AF330" s="203" t="s">
        <v>82</v>
      </c>
      <c r="AG330" s="203">
        <v>-0.2</v>
      </c>
      <c r="AH330" s="204" t="s">
        <v>82</v>
      </c>
      <c r="AI330" s="203" t="s">
        <v>82</v>
      </c>
      <c r="AJ330" s="203" t="s">
        <v>82</v>
      </c>
    </row>
    <row customFormat="1" r="331" s="205" spans="1:36" x14ac:dyDescent="0.2">
      <c r="A331" s="193">
        <v>327</v>
      </c>
      <c r="B331" s="215">
        <v>8</v>
      </c>
      <c r="C331" s="195" t="s">
        <v>248</v>
      </c>
      <c r="D331" s="195">
        <v>2</v>
      </c>
      <c r="E331" s="195" t="s">
        <v>252</v>
      </c>
      <c r="F331" s="196">
        <v>44081</v>
      </c>
      <c r="G331" s="197" t="s">
        <v>4</v>
      </c>
      <c r="H331" s="198">
        <v>2037</v>
      </c>
      <c r="I331" s="196" t="s">
        <v>253</v>
      </c>
      <c r="J331" s="199">
        <v>2300</v>
      </c>
      <c r="K331" s="198">
        <v>2339</v>
      </c>
      <c r="L331" s="200">
        <v>0</v>
      </c>
      <c r="M331" s="201"/>
      <c r="N331" s="199">
        <v>2037</v>
      </c>
      <c r="O331" s="202">
        <v>2.4</v>
      </c>
      <c r="P331" s="203">
        <v>2</v>
      </c>
      <c r="Q331" s="203">
        <v>0.4</v>
      </c>
      <c r="R331" s="204">
        <v>1.9</v>
      </c>
      <c r="S331" s="203">
        <v>1.8</v>
      </c>
      <c r="T331" s="203">
        <v>0.1</v>
      </c>
      <c r="V331" s="198">
        <v>2037</v>
      </c>
      <c r="W331" s="202">
        <v>2.4</v>
      </c>
      <c r="X331" s="203">
        <v>2</v>
      </c>
      <c r="Y331" s="203">
        <v>0.4</v>
      </c>
      <c r="Z331" s="204">
        <v>1.9</v>
      </c>
      <c r="AA331" s="203">
        <v>1.8</v>
      </c>
      <c r="AB331" s="203">
        <v>0.1</v>
      </c>
      <c r="AD331" s="198">
        <v>2037</v>
      </c>
      <c r="AE331" s="202" t="s">
        <v>82</v>
      </c>
      <c r="AF331" s="203" t="s">
        <v>82</v>
      </c>
      <c r="AG331" s="203" t="s">
        <v>82</v>
      </c>
      <c r="AH331" s="204"/>
      <c r="AI331" s="203" t="s">
        <v>82</v>
      </c>
      <c r="AJ331" s="203" t="s">
        <v>82</v>
      </c>
    </row>
    <row customFormat="1" r="332" s="205" spans="1:36" x14ac:dyDescent="0.2">
      <c r="A332" s="193">
        <v>328</v>
      </c>
      <c r="B332" s="215">
        <v>8</v>
      </c>
      <c r="C332" s="195" t="s">
        <v>248</v>
      </c>
      <c r="D332" s="195">
        <v>2</v>
      </c>
      <c r="E332" s="195" t="s">
        <v>252</v>
      </c>
      <c r="F332" s="196">
        <v>44083</v>
      </c>
      <c r="G332" s="197" t="s">
        <v>6</v>
      </c>
      <c r="H332" s="198">
        <v>2037</v>
      </c>
      <c r="I332" s="196" t="s">
        <v>254</v>
      </c>
      <c r="J332" s="199">
        <v>2300</v>
      </c>
      <c r="K332" s="198">
        <v>2339</v>
      </c>
      <c r="L332" s="200">
        <v>0</v>
      </c>
      <c r="M332" s="201"/>
      <c r="N332" s="199">
        <v>2037</v>
      </c>
      <c r="O332" s="202">
        <v>3.8</v>
      </c>
      <c r="P332" s="203">
        <v>3.3</v>
      </c>
      <c r="Q332" s="203">
        <v>0.5</v>
      </c>
      <c r="R332" s="204">
        <v>2.4</v>
      </c>
      <c r="S332" s="203">
        <v>2.2999999999999998</v>
      </c>
      <c r="T332" s="203">
        <v>0.1</v>
      </c>
      <c r="V332" s="198">
        <v>2037</v>
      </c>
      <c r="W332" s="202">
        <v>3.6</v>
      </c>
      <c r="X332" s="203">
        <v>3.3</v>
      </c>
      <c r="Y332" s="203">
        <v>0.3</v>
      </c>
      <c r="Z332" s="204">
        <v>2.4</v>
      </c>
      <c r="AA332" s="203">
        <v>2.2999999999999998</v>
      </c>
      <c r="AB332" s="203">
        <v>0.1</v>
      </c>
      <c r="AD332" s="198">
        <v>2037</v>
      </c>
      <c r="AE332" s="202">
        <v>-0.19999999999999973</v>
      </c>
      <c r="AF332" s="203" t="s">
        <v>82</v>
      </c>
      <c r="AG332" s="203">
        <v>-0.2</v>
      </c>
      <c r="AH332" s="204" t="s">
        <v>82</v>
      </c>
      <c r="AI332" s="203" t="s">
        <v>82</v>
      </c>
      <c r="AJ332" s="203" t="s">
        <v>82</v>
      </c>
    </row>
    <row customFormat="1" r="333" s="205" spans="1:36" x14ac:dyDescent="0.2">
      <c r="A333" s="193">
        <v>329</v>
      </c>
      <c r="B333" s="215">
        <v>8</v>
      </c>
      <c r="C333" s="195" t="s">
        <v>248</v>
      </c>
      <c r="D333" s="195">
        <v>3</v>
      </c>
      <c r="E333" s="195" t="s">
        <v>255</v>
      </c>
      <c r="F333" s="196">
        <v>44051</v>
      </c>
      <c r="G333" s="197" t="s">
        <v>9</v>
      </c>
      <c r="H333" s="198">
        <v>2032</v>
      </c>
      <c r="I333" s="196" t="s">
        <v>256</v>
      </c>
      <c r="J333" s="199">
        <v>1700</v>
      </c>
      <c r="K333" s="198">
        <v>1729</v>
      </c>
      <c r="L333" s="200">
        <v>1</v>
      </c>
      <c r="M333" s="201"/>
      <c r="N333" s="199">
        <v>2032</v>
      </c>
      <c r="O333" s="202">
        <v>6.7</v>
      </c>
      <c r="P333" s="203">
        <v>2.8</v>
      </c>
      <c r="Q333" s="203">
        <v>3.9</v>
      </c>
      <c r="R333" s="204">
        <v>8.1999999999999993</v>
      </c>
      <c r="S333" s="203">
        <v>2.9</v>
      </c>
      <c r="T333" s="203">
        <v>5.3</v>
      </c>
      <c r="V333" s="198">
        <v>2032</v>
      </c>
      <c r="W333" s="202">
        <v>6.6</v>
      </c>
      <c r="X333" s="203">
        <v>2.8</v>
      </c>
      <c r="Y333" s="203">
        <v>3.8</v>
      </c>
      <c r="Z333" s="204">
        <v>7.1</v>
      </c>
      <c r="AA333" s="203">
        <v>2.9</v>
      </c>
      <c r="AB333" s="203">
        <v>4.2</v>
      </c>
      <c r="AD333" s="198">
        <v>2032</v>
      </c>
      <c r="AE333" s="202">
        <v>-0.10000000000000053</v>
      </c>
      <c r="AF333" s="203" t="s">
        <v>82</v>
      </c>
      <c r="AG333" s="203">
        <v>-0.10000000000000009</v>
      </c>
      <c r="AH333" s="204">
        <v>-1.0999999999999996</v>
      </c>
      <c r="AI333" s="203" t="s">
        <v>82</v>
      </c>
      <c r="AJ333" s="203">
        <v>-1.0999999999999996</v>
      </c>
    </row>
    <row customFormat="1" r="334" s="205" spans="1:36" x14ac:dyDescent="0.2">
      <c r="A334" s="193">
        <v>330</v>
      </c>
      <c r="B334" s="215">
        <v>8</v>
      </c>
      <c r="C334" s="195" t="s">
        <v>248</v>
      </c>
      <c r="D334" s="195">
        <v>3</v>
      </c>
      <c r="E334" s="195" t="s">
        <v>255</v>
      </c>
      <c r="F334" s="196">
        <v>44058</v>
      </c>
      <c r="G334" s="197" t="s">
        <v>9</v>
      </c>
      <c r="H334" s="198">
        <v>2033</v>
      </c>
      <c r="I334" s="196" t="s">
        <v>256</v>
      </c>
      <c r="J334" s="199">
        <v>1700</v>
      </c>
      <c r="K334" s="198">
        <v>1729</v>
      </c>
      <c r="L334" s="200">
        <v>1</v>
      </c>
      <c r="M334" s="201"/>
      <c r="N334" s="199">
        <v>2033</v>
      </c>
      <c r="O334" s="202">
        <v>6.7</v>
      </c>
      <c r="P334" s="203">
        <v>2.6</v>
      </c>
      <c r="Q334" s="203">
        <v>4.0999999999999996</v>
      </c>
      <c r="R334" s="204">
        <v>7</v>
      </c>
      <c r="S334" s="203">
        <v>2.7</v>
      </c>
      <c r="T334" s="203">
        <v>4.3</v>
      </c>
      <c r="V334" s="198">
        <v>2033</v>
      </c>
      <c r="W334" s="202">
        <v>6.6</v>
      </c>
      <c r="X334" s="203">
        <v>2.6</v>
      </c>
      <c r="Y334" s="203">
        <v>4</v>
      </c>
      <c r="Z334" s="204">
        <v>6.3</v>
      </c>
      <c r="AA334" s="203">
        <v>2.7</v>
      </c>
      <c r="AB334" s="203">
        <v>3.6</v>
      </c>
      <c r="AD334" s="198">
        <v>2033</v>
      </c>
      <c r="AE334" s="202">
        <v>-0.10000000000000053</v>
      </c>
      <c r="AF334" s="203" t="s">
        <v>82</v>
      </c>
      <c r="AG334" s="203">
        <v>-9.9999999999999645E-2</v>
      </c>
      <c r="AH334" s="204">
        <v>-0.70000000000000018</v>
      </c>
      <c r="AI334" s="203" t="s">
        <v>82</v>
      </c>
      <c r="AJ334" s="203">
        <v>-0.69999999999999973</v>
      </c>
    </row>
    <row customFormat="1" r="335" s="205" spans="1:36" x14ac:dyDescent="0.2">
      <c r="A335" s="193">
        <v>331</v>
      </c>
      <c r="B335" s="215">
        <v>8</v>
      </c>
      <c r="C335" s="195" t="s">
        <v>248</v>
      </c>
      <c r="D335" s="195">
        <v>3</v>
      </c>
      <c r="E335" s="195" t="s">
        <v>255</v>
      </c>
      <c r="F335" s="196">
        <v>44065</v>
      </c>
      <c r="G335" s="197" t="s">
        <v>9</v>
      </c>
      <c r="H335" s="198">
        <v>2034</v>
      </c>
      <c r="I335" s="196" t="s">
        <v>256</v>
      </c>
      <c r="J335" s="199">
        <v>1700</v>
      </c>
      <c r="K335" s="198">
        <v>1729</v>
      </c>
      <c r="L335" s="200">
        <v>1</v>
      </c>
      <c r="M335" s="201"/>
      <c r="N335" s="199">
        <v>2034</v>
      </c>
      <c r="O335" s="202">
        <v>7.3</v>
      </c>
      <c r="P335" s="203">
        <v>2.7</v>
      </c>
      <c r="Q335" s="203">
        <v>4.5999999999999996</v>
      </c>
      <c r="R335" s="204">
        <v>7.8</v>
      </c>
      <c r="S335" s="203">
        <v>2.7</v>
      </c>
      <c r="T335" s="203">
        <v>5.0999999999999996</v>
      </c>
      <c r="V335" s="198">
        <v>2034</v>
      </c>
      <c r="W335" s="202">
        <v>7.3</v>
      </c>
      <c r="X335" s="203">
        <v>2.7</v>
      </c>
      <c r="Y335" s="203">
        <v>4.5999999999999996</v>
      </c>
      <c r="Z335" s="204">
        <v>6.8</v>
      </c>
      <c r="AA335" s="203">
        <v>2.7</v>
      </c>
      <c r="AB335" s="203">
        <v>4.0999999999999996</v>
      </c>
      <c r="AD335" s="198">
        <v>2034</v>
      </c>
      <c r="AE335" s="202" t="s">
        <v>82</v>
      </c>
      <c r="AF335" s="203" t="s">
        <v>82</v>
      </c>
      <c r="AG335" s="203" t="s">
        <v>82</v>
      </c>
      <c r="AH335" s="204">
        <v>-1</v>
      </c>
      <c r="AI335" s="203" t="s">
        <v>82</v>
      </c>
      <c r="AJ335" s="203">
        <v>-1</v>
      </c>
    </row>
    <row customFormat="1" r="336" s="205" spans="1:36" x14ac:dyDescent="0.2">
      <c r="A336" s="193">
        <v>332</v>
      </c>
      <c r="B336" s="215">
        <v>8</v>
      </c>
      <c r="C336" s="195" t="s">
        <v>248</v>
      </c>
      <c r="D336" s="195">
        <v>3</v>
      </c>
      <c r="E336" s="195" t="s">
        <v>255</v>
      </c>
      <c r="F336" s="196">
        <v>44072</v>
      </c>
      <c r="G336" s="197" t="s">
        <v>9</v>
      </c>
      <c r="H336" s="198">
        <v>2035</v>
      </c>
      <c r="I336" s="196" t="s">
        <v>256</v>
      </c>
      <c r="J336" s="199">
        <v>1700</v>
      </c>
      <c r="K336" s="198">
        <v>1729</v>
      </c>
      <c r="L336" s="200">
        <v>1</v>
      </c>
      <c r="M336" s="201"/>
      <c r="N336" s="199">
        <v>2035</v>
      </c>
      <c r="O336" s="202">
        <v>7.2</v>
      </c>
      <c r="P336" s="203">
        <v>2.5</v>
      </c>
      <c r="Q336" s="203">
        <v>4.7</v>
      </c>
      <c r="R336" s="204">
        <v>7.1</v>
      </c>
      <c r="S336" s="203">
        <v>2.8</v>
      </c>
      <c r="T336" s="203">
        <v>4.3</v>
      </c>
      <c r="V336" s="198">
        <v>2035</v>
      </c>
      <c r="W336" s="202">
        <v>7.1</v>
      </c>
      <c r="X336" s="203">
        <v>2.5</v>
      </c>
      <c r="Y336" s="203">
        <v>4.5999999999999996</v>
      </c>
      <c r="Z336" s="204">
        <v>6.4</v>
      </c>
      <c r="AA336" s="203">
        <v>2.8</v>
      </c>
      <c r="AB336" s="203">
        <v>3.6</v>
      </c>
      <c r="AD336" s="198">
        <v>2035</v>
      </c>
      <c r="AE336" s="202">
        <v>-0.10000000000000053</v>
      </c>
      <c r="AF336" s="203" t="s">
        <v>82</v>
      </c>
      <c r="AG336" s="203">
        <v>-0.10000000000000053</v>
      </c>
      <c r="AH336" s="204">
        <v>-0.69999999999999929</v>
      </c>
      <c r="AI336" s="203" t="s">
        <v>82</v>
      </c>
      <c r="AJ336" s="203">
        <v>-0.69999999999999973</v>
      </c>
    </row>
    <row customFormat="1" r="337" s="205" spans="1:36" x14ac:dyDescent="0.2">
      <c r="A337" s="193">
        <v>333</v>
      </c>
      <c r="B337" s="215">
        <v>8</v>
      </c>
      <c r="C337" s="195" t="s">
        <v>248</v>
      </c>
      <c r="D337" s="195">
        <v>4</v>
      </c>
      <c r="E337" s="195" t="s">
        <v>257</v>
      </c>
      <c r="F337" s="196">
        <v>44335</v>
      </c>
      <c r="G337" s="197" t="s">
        <v>6</v>
      </c>
      <c r="H337" s="198">
        <v>2121</v>
      </c>
      <c r="I337" s="196" t="s">
        <v>258</v>
      </c>
      <c r="J337" s="199">
        <v>1815</v>
      </c>
      <c r="K337" s="198">
        <v>1859</v>
      </c>
      <c r="L337" s="200">
        <v>0</v>
      </c>
      <c r="M337" s="201"/>
      <c r="N337" s="199">
        <v>2121</v>
      </c>
      <c r="O337" s="202">
        <v>5.9</v>
      </c>
      <c r="P337" s="203">
        <v>5.8</v>
      </c>
      <c r="Q337" s="203">
        <v>0.1</v>
      </c>
      <c r="R337" s="204">
        <v>4.2</v>
      </c>
      <c r="S337" s="203">
        <v>4.2</v>
      </c>
      <c r="T337" s="203">
        <v>0</v>
      </c>
      <c r="V337" s="198">
        <v>2121</v>
      </c>
      <c r="W337" s="202">
        <v>5.8</v>
      </c>
      <c r="X337" s="203">
        <v>5.8</v>
      </c>
      <c r="Y337" s="203">
        <v>0</v>
      </c>
      <c r="Z337" s="204">
        <v>4.2</v>
      </c>
      <c r="AA337" s="203">
        <v>4.2</v>
      </c>
      <c r="AB337" s="203">
        <v>0</v>
      </c>
      <c r="AD337" s="198">
        <v>2121</v>
      </c>
      <c r="AE337" s="202">
        <v>-0.10000000000000053</v>
      </c>
      <c r="AF337" s="203" t="s">
        <v>82</v>
      </c>
      <c r="AG337" s="203">
        <v>-0.1</v>
      </c>
      <c r="AH337" s="204" t="s">
        <v>82</v>
      </c>
      <c r="AI337" s="203" t="s">
        <v>82</v>
      </c>
      <c r="AJ337" s="203" t="s">
        <v>82</v>
      </c>
    </row>
    <row customFormat="1" r="338" s="205" spans="1:36" x14ac:dyDescent="0.2">
      <c r="A338" s="193">
        <v>334</v>
      </c>
      <c r="B338" s="215">
        <v>8</v>
      </c>
      <c r="C338" s="195" t="s">
        <v>248</v>
      </c>
      <c r="D338" s="195">
        <v>4</v>
      </c>
      <c r="E338" s="195" t="s">
        <v>257</v>
      </c>
      <c r="F338" s="196">
        <v>44338</v>
      </c>
      <c r="G338" s="197" t="s">
        <v>9</v>
      </c>
      <c r="H338" s="198">
        <v>2121</v>
      </c>
      <c r="I338" s="196" t="s">
        <v>259</v>
      </c>
      <c r="J338" s="199">
        <v>559</v>
      </c>
      <c r="K338" s="198">
        <v>759</v>
      </c>
      <c r="L338" s="200">
        <v>0</v>
      </c>
      <c r="M338" s="201"/>
      <c r="N338" s="199">
        <v>2121</v>
      </c>
      <c r="O338" s="202">
        <v>2.9</v>
      </c>
      <c r="P338" s="203">
        <v>2.7</v>
      </c>
      <c r="Q338" s="203">
        <v>0.2</v>
      </c>
      <c r="R338" s="204">
        <v>3.6</v>
      </c>
      <c r="S338" s="203">
        <v>3.6</v>
      </c>
      <c r="T338" s="203">
        <v>0</v>
      </c>
      <c r="V338" s="198">
        <v>2121</v>
      </c>
      <c r="W338" s="202">
        <v>2.7</v>
      </c>
      <c r="X338" s="203">
        <v>2.7</v>
      </c>
      <c r="Y338" s="203">
        <v>0</v>
      </c>
      <c r="Z338" s="204">
        <v>3.6</v>
      </c>
      <c r="AA338" s="203">
        <v>3.6</v>
      </c>
      <c r="AB338" s="203">
        <v>0</v>
      </c>
      <c r="AD338" s="198">
        <v>2121</v>
      </c>
      <c r="AE338" s="202">
        <v>-0.19999999999999973</v>
      </c>
      <c r="AF338" s="203" t="s">
        <v>82</v>
      </c>
      <c r="AG338" s="203">
        <v>-0.2</v>
      </c>
      <c r="AH338" s="204" t="s">
        <v>82</v>
      </c>
      <c r="AI338" s="203" t="s">
        <v>82</v>
      </c>
      <c r="AJ338" s="203" t="s">
        <v>82</v>
      </c>
    </row>
    <row customFormat="1" r="339" s="205" spans="1:36" x14ac:dyDescent="0.2">
      <c r="A339" s="193">
        <v>335</v>
      </c>
      <c r="B339" s="215">
        <v>8</v>
      </c>
      <c r="C339" s="195" t="s">
        <v>248</v>
      </c>
      <c r="D339" s="195">
        <v>4</v>
      </c>
      <c r="E339" s="195" t="s">
        <v>257</v>
      </c>
      <c r="F339" s="196">
        <v>44342</v>
      </c>
      <c r="G339" s="197" t="s">
        <v>6</v>
      </c>
      <c r="H339" s="198">
        <v>2122</v>
      </c>
      <c r="I339" s="196" t="s">
        <v>258</v>
      </c>
      <c r="J339" s="199">
        <v>1815</v>
      </c>
      <c r="K339" s="198">
        <v>1859</v>
      </c>
      <c r="L339" s="200">
        <v>0</v>
      </c>
      <c r="M339" s="201"/>
      <c r="N339" s="199">
        <v>2122</v>
      </c>
      <c r="O339" s="202">
        <v>6.1</v>
      </c>
      <c r="P339" s="203">
        <v>6</v>
      </c>
      <c r="Q339" s="203">
        <v>0.1</v>
      </c>
      <c r="R339" s="204">
        <v>4.5999999999999996</v>
      </c>
      <c r="S339" s="203">
        <v>4.5999999999999996</v>
      </c>
      <c r="T339" s="203">
        <v>0</v>
      </c>
      <c r="V339" s="198">
        <v>2122</v>
      </c>
      <c r="W339" s="202">
        <v>6</v>
      </c>
      <c r="X339" s="203">
        <v>6</v>
      </c>
      <c r="Y339" s="203">
        <v>0</v>
      </c>
      <c r="Z339" s="204">
        <v>4.5999999999999996</v>
      </c>
      <c r="AA339" s="203">
        <v>4.5999999999999996</v>
      </c>
      <c r="AB339" s="203">
        <v>0</v>
      </c>
      <c r="AD339" s="198">
        <v>2122</v>
      </c>
      <c r="AE339" s="202">
        <v>-9.9999999999999645E-2</v>
      </c>
      <c r="AF339" s="203" t="s">
        <v>82</v>
      </c>
      <c r="AG339" s="203">
        <v>-0.1</v>
      </c>
      <c r="AH339" s="204" t="s">
        <v>82</v>
      </c>
      <c r="AI339" s="203" t="s">
        <v>82</v>
      </c>
      <c r="AJ339" s="203" t="s">
        <v>82</v>
      </c>
    </row>
    <row customFormat="1" r="340" s="205" spans="1:36" x14ac:dyDescent="0.2">
      <c r="A340" s="193">
        <v>336</v>
      </c>
      <c r="B340" s="215">
        <v>8</v>
      </c>
      <c r="C340" s="195" t="s">
        <v>248</v>
      </c>
      <c r="D340" s="195">
        <v>4</v>
      </c>
      <c r="E340" s="195" t="s">
        <v>257</v>
      </c>
      <c r="F340" s="196">
        <v>44345</v>
      </c>
      <c r="G340" s="197" t="s">
        <v>9</v>
      </c>
      <c r="H340" s="198">
        <v>2122</v>
      </c>
      <c r="I340" s="196" t="s">
        <v>259</v>
      </c>
      <c r="J340" s="199">
        <v>559</v>
      </c>
      <c r="K340" s="198">
        <v>759</v>
      </c>
      <c r="L340" s="200">
        <v>0</v>
      </c>
      <c r="M340" s="201"/>
      <c r="N340" s="199">
        <v>2122</v>
      </c>
      <c r="O340" s="202">
        <v>2.9</v>
      </c>
      <c r="P340" s="203">
        <v>2.7</v>
      </c>
      <c r="Q340" s="203">
        <v>0.2</v>
      </c>
      <c r="R340" s="204">
        <v>3.6</v>
      </c>
      <c r="S340" s="203">
        <v>3.6</v>
      </c>
      <c r="T340" s="203">
        <v>0</v>
      </c>
      <c r="V340" s="198">
        <v>2122</v>
      </c>
      <c r="W340" s="202">
        <v>2.7</v>
      </c>
      <c r="X340" s="203">
        <v>2.7</v>
      </c>
      <c r="Y340" s="203">
        <v>0</v>
      </c>
      <c r="Z340" s="204">
        <v>3.6</v>
      </c>
      <c r="AA340" s="203">
        <v>3.6</v>
      </c>
      <c r="AB340" s="203">
        <v>0</v>
      </c>
      <c r="AD340" s="198">
        <v>2122</v>
      </c>
      <c r="AE340" s="202">
        <v>-0.19999999999999973</v>
      </c>
      <c r="AF340" s="203" t="s">
        <v>82</v>
      </c>
      <c r="AG340" s="203">
        <v>-0.2</v>
      </c>
      <c r="AH340" s="204" t="s">
        <v>82</v>
      </c>
      <c r="AI340" s="203" t="s">
        <v>82</v>
      </c>
      <c r="AJ340" s="203" t="s">
        <v>82</v>
      </c>
    </row>
    <row customFormat="1" r="341" s="205" spans="1:36" x14ac:dyDescent="0.2">
      <c r="A341" s="193">
        <v>337</v>
      </c>
      <c r="B341" s="215">
        <v>8</v>
      </c>
      <c r="C341" s="195" t="s">
        <v>248</v>
      </c>
      <c r="D341" s="195">
        <v>4</v>
      </c>
      <c r="E341" s="195" t="s">
        <v>257</v>
      </c>
      <c r="F341" s="196">
        <v>44349</v>
      </c>
      <c r="G341" s="197" t="s">
        <v>6</v>
      </c>
      <c r="H341" s="198">
        <v>2123</v>
      </c>
      <c r="I341" s="196" t="s">
        <v>258</v>
      </c>
      <c r="J341" s="199">
        <v>1815</v>
      </c>
      <c r="K341" s="198">
        <v>1859</v>
      </c>
      <c r="L341" s="200">
        <v>0</v>
      </c>
      <c r="M341" s="201"/>
      <c r="N341" s="199">
        <v>2123</v>
      </c>
      <c r="O341" s="202">
        <v>5.9</v>
      </c>
      <c r="P341" s="203">
        <v>5.8</v>
      </c>
      <c r="Q341" s="203">
        <v>0.1</v>
      </c>
      <c r="R341" s="204">
        <v>4.7</v>
      </c>
      <c r="S341" s="203">
        <v>4.7</v>
      </c>
      <c r="T341" s="203">
        <v>0</v>
      </c>
      <c r="V341" s="198">
        <v>2123</v>
      </c>
      <c r="W341" s="202">
        <v>5.8</v>
      </c>
      <c r="X341" s="203">
        <v>5.8</v>
      </c>
      <c r="Y341" s="203">
        <v>0</v>
      </c>
      <c r="Z341" s="204">
        <v>4.7</v>
      </c>
      <c r="AA341" s="203">
        <v>4.7</v>
      </c>
      <c r="AB341" s="203">
        <v>0</v>
      </c>
      <c r="AD341" s="198">
        <v>2123</v>
      </c>
      <c r="AE341" s="202">
        <v>-0.10000000000000053</v>
      </c>
      <c r="AF341" s="203" t="s">
        <v>82</v>
      </c>
      <c r="AG341" s="203">
        <v>-0.1</v>
      </c>
      <c r="AH341" s="204" t="s">
        <v>82</v>
      </c>
      <c r="AI341" s="203" t="s">
        <v>82</v>
      </c>
      <c r="AJ341" s="203" t="s">
        <v>82</v>
      </c>
    </row>
    <row customFormat="1" r="342" s="205" spans="1:36" x14ac:dyDescent="0.2">
      <c r="A342" s="193">
        <v>338</v>
      </c>
      <c r="B342" s="215">
        <v>8</v>
      </c>
      <c r="C342" s="195" t="s">
        <v>248</v>
      </c>
      <c r="D342" s="195">
        <v>4</v>
      </c>
      <c r="E342" s="195" t="s">
        <v>257</v>
      </c>
      <c r="F342" s="196">
        <v>44352</v>
      </c>
      <c r="G342" s="197" t="s">
        <v>9</v>
      </c>
      <c r="H342" s="198">
        <v>2123</v>
      </c>
      <c r="I342" s="196" t="s">
        <v>259</v>
      </c>
      <c r="J342" s="199">
        <v>559</v>
      </c>
      <c r="K342" s="198">
        <v>759</v>
      </c>
      <c r="L342" s="200">
        <v>0</v>
      </c>
      <c r="M342" s="201"/>
      <c r="N342" s="199">
        <v>2123</v>
      </c>
      <c r="O342" s="202">
        <v>3.1</v>
      </c>
      <c r="P342" s="203">
        <v>2.9</v>
      </c>
      <c r="Q342" s="203">
        <v>0.2</v>
      </c>
      <c r="R342" s="204">
        <v>3.8</v>
      </c>
      <c r="S342" s="203">
        <v>3.8</v>
      </c>
      <c r="T342" s="203">
        <v>0</v>
      </c>
      <c r="V342" s="198">
        <v>2123</v>
      </c>
      <c r="W342" s="202">
        <v>2.9</v>
      </c>
      <c r="X342" s="203">
        <v>2.9</v>
      </c>
      <c r="Y342" s="203">
        <v>0</v>
      </c>
      <c r="Z342" s="204">
        <v>3.8</v>
      </c>
      <c r="AA342" s="203">
        <v>3.8</v>
      </c>
      <c r="AB342" s="203">
        <v>0</v>
      </c>
      <c r="AD342" s="198">
        <v>2123</v>
      </c>
      <c r="AE342" s="202">
        <v>-0.20000000000000018</v>
      </c>
      <c r="AF342" s="203" t="s">
        <v>82</v>
      </c>
      <c r="AG342" s="203">
        <v>-0.2</v>
      </c>
      <c r="AH342" s="204" t="s">
        <v>82</v>
      </c>
      <c r="AI342" s="203" t="s">
        <v>82</v>
      </c>
      <c r="AJ342" s="203" t="s">
        <v>82</v>
      </c>
    </row>
    <row customFormat="1" r="343" s="205" spans="1:36" x14ac:dyDescent="0.2">
      <c r="A343" s="193">
        <v>339</v>
      </c>
      <c r="B343" s="215">
        <v>8</v>
      </c>
      <c r="C343" s="195" t="s">
        <v>248</v>
      </c>
      <c r="D343" s="195">
        <v>4</v>
      </c>
      <c r="E343" s="195" t="s">
        <v>257</v>
      </c>
      <c r="F343" s="196">
        <v>44356</v>
      </c>
      <c r="G343" s="197" t="s">
        <v>6</v>
      </c>
      <c r="H343" s="198">
        <v>2124</v>
      </c>
      <c r="I343" s="196" t="s">
        <v>258</v>
      </c>
      <c r="J343" s="199">
        <v>1815</v>
      </c>
      <c r="K343" s="198">
        <v>1859</v>
      </c>
      <c r="L343" s="200">
        <v>0</v>
      </c>
      <c r="M343" s="201"/>
      <c r="N343" s="199">
        <v>2124</v>
      </c>
      <c r="O343" s="202">
        <v>5</v>
      </c>
      <c r="P343" s="203">
        <v>4.9000000000000004</v>
      </c>
      <c r="Q343" s="203">
        <v>0.1</v>
      </c>
      <c r="R343" s="204">
        <v>4.3</v>
      </c>
      <c r="S343" s="203">
        <v>4.3</v>
      </c>
      <c r="T343" s="203">
        <v>0</v>
      </c>
      <c r="V343" s="198">
        <v>2124</v>
      </c>
      <c r="W343" s="202">
        <v>4.9000000000000004</v>
      </c>
      <c r="X343" s="203">
        <v>4.9000000000000004</v>
      </c>
      <c r="Y343" s="203">
        <v>0</v>
      </c>
      <c r="Z343" s="204">
        <v>4.3</v>
      </c>
      <c r="AA343" s="203">
        <v>4.3</v>
      </c>
      <c r="AB343" s="203">
        <v>0</v>
      </c>
      <c r="AD343" s="198">
        <v>2124</v>
      </c>
      <c r="AE343" s="202">
        <v>-9.9999999999999645E-2</v>
      </c>
      <c r="AF343" s="203" t="s">
        <v>82</v>
      </c>
      <c r="AG343" s="203">
        <v>-0.1</v>
      </c>
      <c r="AH343" s="204" t="s">
        <v>82</v>
      </c>
      <c r="AI343" s="203" t="s">
        <v>82</v>
      </c>
      <c r="AJ343" s="203" t="s">
        <v>82</v>
      </c>
    </row>
    <row customFormat="1" r="344" s="205" spans="1:36" x14ac:dyDescent="0.2">
      <c r="A344" s="193">
        <v>340</v>
      </c>
      <c r="B344" s="215">
        <v>8</v>
      </c>
      <c r="C344" s="195" t="s">
        <v>248</v>
      </c>
      <c r="D344" s="195">
        <v>4</v>
      </c>
      <c r="E344" s="195" t="s">
        <v>257</v>
      </c>
      <c r="F344" s="196">
        <v>44359</v>
      </c>
      <c r="G344" s="197" t="s">
        <v>9</v>
      </c>
      <c r="H344" s="198">
        <v>2124</v>
      </c>
      <c r="I344" s="196" t="s">
        <v>259</v>
      </c>
      <c r="J344" s="199">
        <v>559</v>
      </c>
      <c r="K344" s="198">
        <v>759</v>
      </c>
      <c r="L344" s="200">
        <v>0</v>
      </c>
      <c r="M344" s="201"/>
      <c r="N344" s="199">
        <v>2124</v>
      </c>
      <c r="O344" s="202">
        <v>3.1</v>
      </c>
      <c r="P344" s="203">
        <v>2.9</v>
      </c>
      <c r="Q344" s="203">
        <v>0.2</v>
      </c>
      <c r="R344" s="204">
        <v>3.9</v>
      </c>
      <c r="S344" s="203">
        <v>3.9</v>
      </c>
      <c r="T344" s="203">
        <v>0</v>
      </c>
      <c r="V344" s="198">
        <v>2124</v>
      </c>
      <c r="W344" s="202">
        <v>2.9</v>
      </c>
      <c r="X344" s="203">
        <v>2.9</v>
      </c>
      <c r="Y344" s="203">
        <v>0</v>
      </c>
      <c r="Z344" s="204">
        <v>3.9</v>
      </c>
      <c r="AA344" s="203">
        <v>3.9</v>
      </c>
      <c r="AB344" s="203">
        <v>0</v>
      </c>
      <c r="AD344" s="198">
        <v>2124</v>
      </c>
      <c r="AE344" s="202">
        <v>-0.20000000000000018</v>
      </c>
      <c r="AF344" s="203" t="s">
        <v>82</v>
      </c>
      <c r="AG344" s="203">
        <v>-0.2</v>
      </c>
      <c r="AH344" s="204" t="s">
        <v>82</v>
      </c>
      <c r="AI344" s="203" t="s">
        <v>82</v>
      </c>
      <c r="AJ344" s="203" t="s">
        <v>82</v>
      </c>
    </row>
    <row customFormat="1" r="345" s="205" spans="1:36" x14ac:dyDescent="0.2">
      <c r="A345" s="193">
        <v>341</v>
      </c>
      <c r="B345" s="215">
        <v>9</v>
      </c>
      <c r="C345" s="195" t="s">
        <v>260</v>
      </c>
      <c r="D345" s="195">
        <v>1</v>
      </c>
      <c r="E345" s="195" t="s">
        <v>261</v>
      </c>
      <c r="F345" s="196">
        <v>44344</v>
      </c>
      <c r="G345" s="197" t="s">
        <v>8</v>
      </c>
      <c r="H345" s="198">
        <v>2122</v>
      </c>
      <c r="I345" s="196" t="s">
        <v>262</v>
      </c>
      <c r="J345" s="199">
        <v>1355</v>
      </c>
      <c r="K345" s="198">
        <v>1542</v>
      </c>
      <c r="L345" s="200">
        <v>0</v>
      </c>
      <c r="M345" s="201"/>
      <c r="N345" s="199">
        <v>2122</v>
      </c>
      <c r="O345" s="202">
        <v>2.2000000000000002</v>
      </c>
      <c r="P345" s="203">
        <v>2.1</v>
      </c>
      <c r="Q345" s="203">
        <v>0.1</v>
      </c>
      <c r="R345" s="204">
        <v>1.6</v>
      </c>
      <c r="S345" s="203">
        <v>1.6</v>
      </c>
      <c r="T345" s="203">
        <v>0</v>
      </c>
      <c r="V345" s="198">
        <v>2122</v>
      </c>
      <c r="W345" s="202">
        <v>2.1</v>
      </c>
      <c r="X345" s="203">
        <v>2.1</v>
      </c>
      <c r="Y345" s="203">
        <v>0</v>
      </c>
      <c r="Z345" s="204">
        <v>1.6</v>
      </c>
      <c r="AA345" s="203">
        <v>1.6</v>
      </c>
      <c r="AB345" s="203">
        <v>0</v>
      </c>
      <c r="AD345" s="198">
        <v>2122</v>
      </c>
      <c r="AE345" s="202">
        <v>-0.10000000000000009</v>
      </c>
      <c r="AF345" s="203" t="s">
        <v>82</v>
      </c>
      <c r="AG345" s="203">
        <v>-0.1</v>
      </c>
      <c r="AH345" s="204" t="s">
        <v>82</v>
      </c>
      <c r="AI345" s="203" t="s">
        <v>82</v>
      </c>
      <c r="AJ345" s="203" t="s">
        <v>82</v>
      </c>
    </row>
    <row customFormat="1" r="346" s="205" spans="1:36" x14ac:dyDescent="0.2">
      <c r="A346" s="193">
        <v>342</v>
      </c>
      <c r="B346" s="215">
        <v>9</v>
      </c>
      <c r="C346" s="195" t="s">
        <v>260</v>
      </c>
      <c r="D346" s="195">
        <v>1</v>
      </c>
      <c r="E346" s="195" t="s">
        <v>261</v>
      </c>
      <c r="F346" s="196">
        <v>44351</v>
      </c>
      <c r="G346" s="197" t="s">
        <v>8</v>
      </c>
      <c r="H346" s="198">
        <v>2123</v>
      </c>
      <c r="I346" s="196" t="s">
        <v>262</v>
      </c>
      <c r="J346" s="199">
        <v>1355</v>
      </c>
      <c r="K346" s="198">
        <v>1542</v>
      </c>
      <c r="L346" s="200">
        <v>0</v>
      </c>
      <c r="M346" s="201"/>
      <c r="N346" s="199">
        <v>2123</v>
      </c>
      <c r="O346" s="202">
        <v>2.2999999999999998</v>
      </c>
      <c r="P346" s="203">
        <v>2.2000000000000002</v>
      </c>
      <c r="Q346" s="203">
        <v>0.1</v>
      </c>
      <c r="R346" s="204">
        <v>1.7</v>
      </c>
      <c r="S346" s="203">
        <v>1.7</v>
      </c>
      <c r="T346" s="203">
        <v>0</v>
      </c>
      <c r="V346" s="198">
        <v>2123</v>
      </c>
      <c r="W346" s="202">
        <v>2.2000000000000002</v>
      </c>
      <c r="X346" s="203">
        <v>2.2000000000000002</v>
      </c>
      <c r="Y346" s="203">
        <v>0</v>
      </c>
      <c r="Z346" s="204">
        <v>1.7</v>
      </c>
      <c r="AA346" s="203">
        <v>1.7</v>
      </c>
      <c r="AB346" s="203">
        <v>0</v>
      </c>
      <c r="AD346" s="198">
        <v>2123</v>
      </c>
      <c r="AE346" s="202">
        <v>-9.9999999999999645E-2</v>
      </c>
      <c r="AF346" s="203" t="s">
        <v>82</v>
      </c>
      <c r="AG346" s="203">
        <v>-0.1</v>
      </c>
      <c r="AH346" s="204" t="s">
        <v>82</v>
      </c>
      <c r="AI346" s="203" t="s">
        <v>82</v>
      </c>
      <c r="AJ346" s="203" t="s">
        <v>82</v>
      </c>
    </row>
    <row customFormat="1" r="347" s="205" spans="1:36" x14ac:dyDescent="0.2">
      <c r="A347" s="193">
        <v>343</v>
      </c>
      <c r="B347" s="215">
        <v>9</v>
      </c>
      <c r="C347" s="195" t="s">
        <v>260</v>
      </c>
      <c r="D347" s="195">
        <v>1</v>
      </c>
      <c r="E347" s="195" t="s">
        <v>261</v>
      </c>
      <c r="F347" s="196">
        <v>44358</v>
      </c>
      <c r="G347" s="197" t="s">
        <v>8</v>
      </c>
      <c r="H347" s="198">
        <v>2124</v>
      </c>
      <c r="I347" s="196" t="s">
        <v>262</v>
      </c>
      <c r="J347" s="199">
        <v>1355</v>
      </c>
      <c r="K347" s="198">
        <v>1542</v>
      </c>
      <c r="L347" s="200">
        <v>0</v>
      </c>
      <c r="M347" s="201"/>
      <c r="N347" s="199">
        <v>2124</v>
      </c>
      <c r="O347" s="202">
        <v>2.6</v>
      </c>
      <c r="P347" s="203">
        <v>2.5</v>
      </c>
      <c r="Q347" s="203">
        <v>0.1</v>
      </c>
      <c r="R347" s="204">
        <v>2.2999999999999998</v>
      </c>
      <c r="S347" s="203">
        <v>2.2999999999999998</v>
      </c>
      <c r="T347" s="203">
        <v>0</v>
      </c>
      <c r="V347" s="198">
        <v>2124</v>
      </c>
      <c r="W347" s="202">
        <v>2.5</v>
      </c>
      <c r="X347" s="203">
        <v>2.5</v>
      </c>
      <c r="Y347" s="203">
        <v>0</v>
      </c>
      <c r="Z347" s="204">
        <v>2.2999999999999998</v>
      </c>
      <c r="AA347" s="203">
        <v>2.2999999999999998</v>
      </c>
      <c r="AB347" s="203">
        <v>0</v>
      </c>
      <c r="AD347" s="198">
        <v>2124</v>
      </c>
      <c r="AE347" s="202">
        <v>-0.10000000000000009</v>
      </c>
      <c r="AF347" s="203" t="s">
        <v>82</v>
      </c>
      <c r="AG347" s="203">
        <v>-0.1</v>
      </c>
      <c r="AH347" s="204" t="s">
        <v>82</v>
      </c>
      <c r="AI347" s="203" t="s">
        <v>82</v>
      </c>
      <c r="AJ347" s="203" t="s">
        <v>82</v>
      </c>
    </row>
    <row customFormat="1" r="348" s="205" spans="1:36" x14ac:dyDescent="0.2">
      <c r="A348" s="193">
        <v>344</v>
      </c>
      <c r="B348" s="215">
        <v>9</v>
      </c>
      <c r="C348" s="195" t="s">
        <v>260</v>
      </c>
      <c r="D348" s="195">
        <v>1</v>
      </c>
      <c r="E348" s="195" t="s">
        <v>261</v>
      </c>
      <c r="F348" s="196">
        <v>44365</v>
      </c>
      <c r="G348" s="197" t="s">
        <v>8</v>
      </c>
      <c r="H348" s="198">
        <v>2125</v>
      </c>
      <c r="I348" s="196" t="s">
        <v>262</v>
      </c>
      <c r="J348" s="199">
        <v>1355</v>
      </c>
      <c r="K348" s="198">
        <v>1542</v>
      </c>
      <c r="L348" s="200">
        <v>0</v>
      </c>
      <c r="M348" s="201"/>
      <c r="N348" s="199">
        <v>2125</v>
      </c>
      <c r="O348" s="202">
        <v>2.6</v>
      </c>
      <c r="P348" s="203">
        <v>2.5</v>
      </c>
      <c r="Q348" s="203">
        <v>0.1</v>
      </c>
      <c r="R348" s="204">
        <v>2.4</v>
      </c>
      <c r="S348" s="203">
        <v>2.4</v>
      </c>
      <c r="T348" s="203">
        <v>0</v>
      </c>
      <c r="V348" s="198">
        <v>2125</v>
      </c>
      <c r="W348" s="202">
        <v>2.5</v>
      </c>
      <c r="X348" s="203">
        <v>2.5</v>
      </c>
      <c r="Y348" s="203">
        <v>0</v>
      </c>
      <c r="Z348" s="204">
        <v>2.4</v>
      </c>
      <c r="AA348" s="203">
        <v>2.4</v>
      </c>
      <c r="AB348" s="203">
        <v>0</v>
      </c>
      <c r="AD348" s="198">
        <v>2125</v>
      </c>
      <c r="AE348" s="202">
        <v>-0.10000000000000009</v>
      </c>
      <c r="AF348" s="203" t="s">
        <v>82</v>
      </c>
      <c r="AG348" s="203">
        <v>-0.1</v>
      </c>
      <c r="AH348" s="204" t="s">
        <v>82</v>
      </c>
      <c r="AI348" s="203" t="s">
        <v>82</v>
      </c>
      <c r="AJ348" s="203" t="s">
        <v>82</v>
      </c>
    </row>
    <row customFormat="1" r="349" s="205" spans="1:36" x14ac:dyDescent="0.2">
      <c r="A349" s="193">
        <v>345</v>
      </c>
      <c r="B349" s="215">
        <v>9</v>
      </c>
      <c r="C349" s="195" t="s">
        <v>260</v>
      </c>
      <c r="D349" s="195">
        <v>1</v>
      </c>
      <c r="E349" s="195" t="s">
        <v>261</v>
      </c>
      <c r="F349" s="196">
        <v>44642</v>
      </c>
      <c r="G349" s="197" t="s">
        <v>5</v>
      </c>
      <c r="H349" s="198">
        <v>2213</v>
      </c>
      <c r="I349" s="196" t="s">
        <v>263</v>
      </c>
      <c r="J349" s="199">
        <v>1155</v>
      </c>
      <c r="K349" s="198">
        <v>1354</v>
      </c>
      <c r="L349" s="200">
        <v>0</v>
      </c>
      <c r="M349" s="201"/>
      <c r="N349" s="199">
        <v>2213</v>
      </c>
      <c r="O349" s="202">
        <v>3.4</v>
      </c>
      <c r="P349" s="203">
        <v>3.4</v>
      </c>
      <c r="Q349" s="203">
        <v>0</v>
      </c>
      <c r="R349" s="204">
        <v>2.8</v>
      </c>
      <c r="S349" s="203">
        <v>2.8</v>
      </c>
      <c r="T349" s="203" t="s">
        <v>84</v>
      </c>
      <c r="V349" s="198">
        <v>2213</v>
      </c>
      <c r="W349" s="202">
        <v>3.4</v>
      </c>
      <c r="X349" s="203">
        <v>3.4</v>
      </c>
      <c r="Y349" s="203">
        <v>0</v>
      </c>
      <c r="Z349" s="204">
        <v>2.8</v>
      </c>
      <c r="AA349" s="203">
        <v>2.8</v>
      </c>
      <c r="AB349" s="203" t="s">
        <v>84</v>
      </c>
      <c r="AD349" s="198">
        <v>2213</v>
      </c>
      <c r="AE349" s="202" t="s">
        <v>82</v>
      </c>
      <c r="AF349" s="203" t="s">
        <v>82</v>
      </c>
      <c r="AG349" s="203" t="s">
        <v>82</v>
      </c>
      <c r="AH349" s="204" t="s">
        <v>82</v>
      </c>
      <c r="AI349" s="203" t="s">
        <v>82</v>
      </c>
      <c r="AJ349" s="203" t="s">
        <v>82</v>
      </c>
    </row>
    <row customFormat="1" r="350" s="205" spans="1:36" x14ac:dyDescent="0.2">
      <c r="A350" s="193">
        <v>346</v>
      </c>
      <c r="B350" s="215">
        <v>9</v>
      </c>
      <c r="C350" s="195" t="s">
        <v>260</v>
      </c>
      <c r="D350" s="195">
        <v>1</v>
      </c>
      <c r="E350" s="195" t="s">
        <v>261</v>
      </c>
      <c r="F350" s="196">
        <v>44649</v>
      </c>
      <c r="G350" s="197" t="s">
        <v>5</v>
      </c>
      <c r="H350" s="198">
        <v>2214</v>
      </c>
      <c r="I350" s="196" t="s">
        <v>263</v>
      </c>
      <c r="J350" s="199">
        <v>1155</v>
      </c>
      <c r="K350" s="198">
        <v>1354</v>
      </c>
      <c r="L350" s="200">
        <v>0</v>
      </c>
      <c r="M350" s="201"/>
      <c r="N350" s="199">
        <v>2214</v>
      </c>
      <c r="O350" s="202">
        <v>3.7</v>
      </c>
      <c r="P350" s="203">
        <v>3.7</v>
      </c>
      <c r="Q350" s="203">
        <v>0</v>
      </c>
      <c r="R350" s="204">
        <v>3.5</v>
      </c>
      <c r="S350" s="203">
        <v>3.5</v>
      </c>
      <c r="T350" s="203" t="s">
        <v>84</v>
      </c>
      <c r="V350" s="198">
        <v>2214</v>
      </c>
      <c r="W350" s="202">
        <v>3.7</v>
      </c>
      <c r="X350" s="203">
        <v>3.7</v>
      </c>
      <c r="Y350" s="203">
        <v>0</v>
      </c>
      <c r="Z350" s="204">
        <v>3.5</v>
      </c>
      <c r="AA350" s="203">
        <v>3.5</v>
      </c>
      <c r="AB350" s="203" t="s">
        <v>84</v>
      </c>
      <c r="AD350" s="198">
        <v>2214</v>
      </c>
      <c r="AE350" s="202" t="s">
        <v>82</v>
      </c>
      <c r="AF350" s="203" t="s">
        <v>82</v>
      </c>
      <c r="AG350" s="203" t="s">
        <v>82</v>
      </c>
      <c r="AH350" s="204" t="s">
        <v>82</v>
      </c>
      <c r="AI350" s="203" t="s">
        <v>82</v>
      </c>
      <c r="AJ350" s="203" t="s">
        <v>82</v>
      </c>
    </row>
    <row customFormat="1" r="351" s="205" spans="1:36" x14ac:dyDescent="0.2">
      <c r="A351" s="193">
        <v>347</v>
      </c>
      <c r="B351" s="215">
        <v>9</v>
      </c>
      <c r="C351" s="195" t="s">
        <v>260</v>
      </c>
      <c r="D351" s="195">
        <v>1</v>
      </c>
      <c r="E351" s="195" t="s">
        <v>261</v>
      </c>
      <c r="F351" s="196">
        <v>44656</v>
      </c>
      <c r="G351" s="197" t="s">
        <v>5</v>
      </c>
      <c r="H351" s="198">
        <v>2215</v>
      </c>
      <c r="I351" s="196" t="s">
        <v>263</v>
      </c>
      <c r="J351" s="199">
        <v>1155</v>
      </c>
      <c r="K351" s="198">
        <v>1354</v>
      </c>
      <c r="L351" s="200">
        <v>0</v>
      </c>
      <c r="M351" s="201"/>
      <c r="N351" s="199">
        <v>2215</v>
      </c>
      <c r="O351" s="202">
        <v>3.4</v>
      </c>
      <c r="P351" s="203">
        <v>3.4</v>
      </c>
      <c r="Q351" s="203">
        <v>0</v>
      </c>
      <c r="R351" s="204">
        <v>3.4</v>
      </c>
      <c r="S351" s="203">
        <v>3.4</v>
      </c>
      <c r="T351" s="203" t="s">
        <v>84</v>
      </c>
      <c r="V351" s="198">
        <v>2215</v>
      </c>
      <c r="W351" s="202">
        <v>3.4</v>
      </c>
      <c r="X351" s="203">
        <v>3.4</v>
      </c>
      <c r="Y351" s="203">
        <v>0</v>
      </c>
      <c r="Z351" s="204">
        <v>3.4</v>
      </c>
      <c r="AA351" s="203">
        <v>3.4</v>
      </c>
      <c r="AB351" s="203" t="s">
        <v>84</v>
      </c>
      <c r="AD351" s="198">
        <v>2215</v>
      </c>
      <c r="AE351" s="202" t="s">
        <v>82</v>
      </c>
      <c r="AF351" s="203" t="s">
        <v>82</v>
      </c>
      <c r="AG351" s="203" t="s">
        <v>82</v>
      </c>
      <c r="AH351" s="204" t="s">
        <v>82</v>
      </c>
      <c r="AI351" s="203" t="s">
        <v>82</v>
      </c>
      <c r="AJ351" s="203" t="s">
        <v>82</v>
      </c>
    </row>
    <row customFormat="1" r="352" s="205" spans="1:36" x14ac:dyDescent="0.2">
      <c r="A352" s="193">
        <v>348</v>
      </c>
      <c r="B352" s="215">
        <v>9</v>
      </c>
      <c r="C352" s="195" t="s">
        <v>260</v>
      </c>
      <c r="D352" s="195">
        <v>1</v>
      </c>
      <c r="E352" s="195" t="s">
        <v>261</v>
      </c>
      <c r="F352" s="196">
        <v>44663</v>
      </c>
      <c r="G352" s="197" t="s">
        <v>5</v>
      </c>
      <c r="H352" s="198">
        <v>2216</v>
      </c>
      <c r="I352" s="196" t="s">
        <v>263</v>
      </c>
      <c r="J352" s="199">
        <v>1155</v>
      </c>
      <c r="K352" s="198">
        <v>1354</v>
      </c>
      <c r="L352" s="200">
        <v>0</v>
      </c>
      <c r="M352" s="201"/>
      <c r="N352" s="199">
        <v>2216</v>
      </c>
      <c r="O352" s="202">
        <v>3.3</v>
      </c>
      <c r="P352" s="203">
        <v>3.3</v>
      </c>
      <c r="Q352" s="203">
        <v>0</v>
      </c>
      <c r="R352" s="204">
        <v>3.5</v>
      </c>
      <c r="S352" s="203">
        <v>3.5</v>
      </c>
      <c r="T352" s="203" t="s">
        <v>84</v>
      </c>
      <c r="V352" s="198">
        <v>2216</v>
      </c>
      <c r="W352" s="202">
        <v>3.3</v>
      </c>
      <c r="X352" s="203">
        <v>3.3</v>
      </c>
      <c r="Y352" s="203">
        <v>0</v>
      </c>
      <c r="Z352" s="204">
        <v>3.5</v>
      </c>
      <c r="AA352" s="203">
        <v>3.5</v>
      </c>
      <c r="AB352" s="203" t="s">
        <v>84</v>
      </c>
      <c r="AD352" s="198">
        <v>2216</v>
      </c>
      <c r="AE352" s="202" t="s">
        <v>82</v>
      </c>
      <c r="AF352" s="203" t="s">
        <v>82</v>
      </c>
      <c r="AG352" s="203" t="s">
        <v>82</v>
      </c>
      <c r="AH352" s="204" t="s">
        <v>82</v>
      </c>
      <c r="AI352" s="203" t="s">
        <v>82</v>
      </c>
      <c r="AJ352" s="203" t="s">
        <v>82</v>
      </c>
    </row>
    <row customFormat="1" r="353" s="205" spans="1:36" x14ac:dyDescent="0.2">
      <c r="A353" s="193">
        <v>349</v>
      </c>
      <c r="B353" s="215">
        <v>9</v>
      </c>
      <c r="C353" s="195" t="s">
        <v>260</v>
      </c>
      <c r="D353" s="195">
        <v>2</v>
      </c>
      <c r="E353" s="195" t="s">
        <v>264</v>
      </c>
      <c r="F353" s="196">
        <v>43955</v>
      </c>
      <c r="G353" s="197" t="s">
        <v>4</v>
      </c>
      <c r="H353" s="198">
        <v>2019</v>
      </c>
      <c r="I353" s="196" t="s">
        <v>265</v>
      </c>
      <c r="J353" s="199">
        <v>1650</v>
      </c>
      <c r="K353" s="198">
        <v>1752</v>
      </c>
      <c r="L353" s="200">
        <v>0</v>
      </c>
      <c r="M353" s="201"/>
      <c r="N353" s="199">
        <v>2019</v>
      </c>
      <c r="O353" s="202">
        <v>2.9</v>
      </c>
      <c r="P353" s="203">
        <v>2.8</v>
      </c>
      <c r="Q353" s="203">
        <v>0.1</v>
      </c>
      <c r="R353" s="204">
        <v>4.2</v>
      </c>
      <c r="S353" s="203">
        <v>4.2</v>
      </c>
      <c r="T353" s="203" t="s">
        <v>84</v>
      </c>
      <c r="V353" s="198">
        <v>2019</v>
      </c>
      <c r="W353" s="202">
        <v>2.8</v>
      </c>
      <c r="X353" s="203">
        <v>2.8</v>
      </c>
      <c r="Y353" s="203">
        <v>0</v>
      </c>
      <c r="Z353" s="204">
        <v>4.2</v>
      </c>
      <c r="AA353" s="203">
        <v>4.2</v>
      </c>
      <c r="AB353" s="203" t="s">
        <v>84</v>
      </c>
      <c r="AD353" s="198">
        <v>2019</v>
      </c>
      <c r="AE353" s="202">
        <v>-0.10000000000000009</v>
      </c>
      <c r="AF353" s="203" t="s">
        <v>82</v>
      </c>
      <c r="AG353" s="203">
        <v>-0.1</v>
      </c>
      <c r="AH353" s="204" t="s">
        <v>82</v>
      </c>
      <c r="AI353" s="203" t="s">
        <v>82</v>
      </c>
      <c r="AJ353" s="203" t="s">
        <v>82</v>
      </c>
    </row>
    <row customFormat="1" r="354" s="205" spans="1:36" x14ac:dyDescent="0.2">
      <c r="A354" s="193">
        <v>350</v>
      </c>
      <c r="B354" s="215">
        <v>9</v>
      </c>
      <c r="C354" s="195" t="s">
        <v>260</v>
      </c>
      <c r="D354" s="195">
        <v>2</v>
      </c>
      <c r="E354" s="195" t="s">
        <v>264</v>
      </c>
      <c r="F354" s="196">
        <v>43962</v>
      </c>
      <c r="G354" s="197" t="s">
        <v>4</v>
      </c>
      <c r="H354" s="198">
        <v>2020</v>
      </c>
      <c r="I354" s="196" t="s">
        <v>265</v>
      </c>
      <c r="J354" s="199">
        <v>1650</v>
      </c>
      <c r="K354" s="198">
        <v>1752</v>
      </c>
      <c r="L354" s="200">
        <v>0</v>
      </c>
      <c r="M354" s="201"/>
      <c r="N354" s="199">
        <v>2020</v>
      </c>
      <c r="O354" s="202">
        <v>2.7</v>
      </c>
      <c r="P354" s="203">
        <v>2.6</v>
      </c>
      <c r="Q354" s="203">
        <v>0.1</v>
      </c>
      <c r="R354" s="204">
        <v>4.0999999999999996</v>
      </c>
      <c r="S354" s="203">
        <v>4.0999999999999996</v>
      </c>
      <c r="T354" s="203" t="s">
        <v>84</v>
      </c>
      <c r="V354" s="198">
        <v>2020</v>
      </c>
      <c r="W354" s="202">
        <v>2.6</v>
      </c>
      <c r="X354" s="203">
        <v>2.6</v>
      </c>
      <c r="Y354" s="203">
        <v>0</v>
      </c>
      <c r="Z354" s="204">
        <v>4.0999999999999996</v>
      </c>
      <c r="AA354" s="203">
        <v>4.0999999999999996</v>
      </c>
      <c r="AB354" s="203" t="s">
        <v>84</v>
      </c>
      <c r="AD354" s="198">
        <v>2020</v>
      </c>
      <c r="AE354" s="202">
        <v>-0.10000000000000009</v>
      </c>
      <c r="AF354" s="203" t="s">
        <v>82</v>
      </c>
      <c r="AG354" s="203">
        <v>-0.1</v>
      </c>
      <c r="AH354" s="204" t="s">
        <v>82</v>
      </c>
      <c r="AI354" s="203" t="s">
        <v>82</v>
      </c>
      <c r="AJ354" s="203" t="s">
        <v>82</v>
      </c>
    </row>
    <row customFormat="1" r="355" s="205" spans="1:36" x14ac:dyDescent="0.2">
      <c r="A355" s="193">
        <v>351</v>
      </c>
      <c r="B355" s="215">
        <v>9</v>
      </c>
      <c r="C355" s="195" t="s">
        <v>260</v>
      </c>
      <c r="D355" s="195">
        <v>2</v>
      </c>
      <c r="E355" s="195" t="s">
        <v>264</v>
      </c>
      <c r="F355" s="196">
        <v>43969</v>
      </c>
      <c r="G355" s="197" t="s">
        <v>4</v>
      </c>
      <c r="H355" s="198">
        <v>2021</v>
      </c>
      <c r="I355" s="196" t="s">
        <v>265</v>
      </c>
      <c r="J355" s="199">
        <v>1650</v>
      </c>
      <c r="K355" s="198">
        <v>1752</v>
      </c>
      <c r="L355" s="200">
        <v>0</v>
      </c>
      <c r="M355" s="201"/>
      <c r="N355" s="199">
        <v>2021</v>
      </c>
      <c r="O355" s="202">
        <v>2.6</v>
      </c>
      <c r="P355" s="203">
        <v>2.5</v>
      </c>
      <c r="Q355" s="203">
        <v>0.1</v>
      </c>
      <c r="R355" s="204">
        <v>4.0999999999999996</v>
      </c>
      <c r="S355" s="203">
        <v>4.0999999999999996</v>
      </c>
      <c r="T355" s="203" t="s">
        <v>84</v>
      </c>
      <c r="V355" s="198">
        <v>2021</v>
      </c>
      <c r="W355" s="202">
        <v>2.5</v>
      </c>
      <c r="X355" s="203">
        <v>2.5</v>
      </c>
      <c r="Y355" s="203">
        <v>0</v>
      </c>
      <c r="Z355" s="204">
        <v>4.0999999999999996</v>
      </c>
      <c r="AA355" s="203">
        <v>4.0999999999999996</v>
      </c>
      <c r="AB355" s="203" t="s">
        <v>84</v>
      </c>
      <c r="AD355" s="198">
        <v>2021</v>
      </c>
      <c r="AE355" s="202">
        <v>-0.10000000000000009</v>
      </c>
      <c r="AF355" s="203" t="s">
        <v>82</v>
      </c>
      <c r="AG355" s="203">
        <v>-0.1</v>
      </c>
      <c r="AH355" s="204" t="s">
        <v>82</v>
      </c>
      <c r="AI355" s="203" t="s">
        <v>82</v>
      </c>
      <c r="AJ355" s="203" t="s">
        <v>82</v>
      </c>
    </row>
    <row customFormat="1" r="356" s="205" spans="1:36" x14ac:dyDescent="0.2">
      <c r="A356" s="193">
        <v>352</v>
      </c>
      <c r="B356" s="215">
        <v>9</v>
      </c>
      <c r="C356" s="195" t="s">
        <v>260</v>
      </c>
      <c r="D356" s="195">
        <v>2</v>
      </c>
      <c r="E356" s="195" t="s">
        <v>264</v>
      </c>
      <c r="F356" s="196">
        <v>43976</v>
      </c>
      <c r="G356" s="197" t="s">
        <v>4</v>
      </c>
      <c r="H356" s="198">
        <v>2022</v>
      </c>
      <c r="I356" s="196" t="s">
        <v>265</v>
      </c>
      <c r="J356" s="199">
        <v>1650</v>
      </c>
      <c r="K356" s="198">
        <v>1752</v>
      </c>
      <c r="L356" s="200">
        <v>0</v>
      </c>
      <c r="M356" s="201"/>
      <c r="N356" s="199">
        <v>2022</v>
      </c>
      <c r="O356" s="202">
        <v>2.4</v>
      </c>
      <c r="P356" s="203">
        <v>2.2999999999999998</v>
      </c>
      <c r="Q356" s="203">
        <v>0.1</v>
      </c>
      <c r="R356" s="204">
        <v>3.8</v>
      </c>
      <c r="S356" s="203">
        <v>3.8</v>
      </c>
      <c r="T356" s="203" t="s">
        <v>84</v>
      </c>
      <c r="V356" s="198">
        <v>2022</v>
      </c>
      <c r="W356" s="202">
        <v>2.2999999999999998</v>
      </c>
      <c r="X356" s="203">
        <v>2.2999999999999998</v>
      </c>
      <c r="Y356" s="203">
        <v>0</v>
      </c>
      <c r="Z356" s="204">
        <v>3.8</v>
      </c>
      <c r="AA356" s="203">
        <v>3.8</v>
      </c>
      <c r="AB356" s="203" t="s">
        <v>84</v>
      </c>
      <c r="AD356" s="198">
        <v>2022</v>
      </c>
      <c r="AE356" s="202">
        <v>-0.10000000000000009</v>
      </c>
      <c r="AF356" s="203" t="s">
        <v>82</v>
      </c>
      <c r="AG356" s="203">
        <v>-0.1</v>
      </c>
      <c r="AH356" s="204" t="s">
        <v>82</v>
      </c>
      <c r="AI356" s="203" t="s">
        <v>82</v>
      </c>
      <c r="AJ356" s="203" t="s">
        <v>82</v>
      </c>
    </row>
    <row customFormat="1" r="357" s="205" spans="1:36" x14ac:dyDescent="0.2">
      <c r="A357" s="193">
        <v>353</v>
      </c>
      <c r="B357" s="215">
        <v>9</v>
      </c>
      <c r="C357" s="195" t="s">
        <v>260</v>
      </c>
      <c r="D357" s="195">
        <v>2</v>
      </c>
      <c r="E357" s="195" t="s">
        <v>264</v>
      </c>
      <c r="F357" s="196">
        <v>44429</v>
      </c>
      <c r="G357" s="197" t="s">
        <v>9</v>
      </c>
      <c r="H357" s="198">
        <v>2134</v>
      </c>
      <c r="I357" s="196" t="s">
        <v>266</v>
      </c>
      <c r="J357" s="199">
        <v>1325</v>
      </c>
      <c r="K357" s="198">
        <v>1424</v>
      </c>
      <c r="L357" s="200">
        <v>0</v>
      </c>
      <c r="M357" s="201"/>
      <c r="N357" s="199">
        <v>2134</v>
      </c>
      <c r="O357" s="202">
        <v>4.5999999999999996</v>
      </c>
      <c r="P357" s="203">
        <v>4.2</v>
      </c>
      <c r="Q357" s="203">
        <v>0.4</v>
      </c>
      <c r="R357" s="204">
        <v>3</v>
      </c>
      <c r="S357" s="203">
        <v>2.9</v>
      </c>
      <c r="T357" s="203">
        <v>0.1</v>
      </c>
      <c r="V357" s="198">
        <v>2134</v>
      </c>
      <c r="W357" s="202">
        <v>4.5</v>
      </c>
      <c r="X357" s="203">
        <v>4.2</v>
      </c>
      <c r="Y357" s="203">
        <v>0.3</v>
      </c>
      <c r="Z357" s="204">
        <v>3</v>
      </c>
      <c r="AA357" s="203">
        <v>2.9</v>
      </c>
      <c r="AB357" s="203">
        <v>0.1</v>
      </c>
      <c r="AD357" s="198">
        <v>2134</v>
      </c>
      <c r="AE357" s="202">
        <v>-9.9999999999999645E-2</v>
      </c>
      <c r="AF357" s="203" t="s">
        <v>82</v>
      </c>
      <c r="AG357" s="203">
        <v>-0.10000000000000003</v>
      </c>
      <c r="AH357" s="204" t="s">
        <v>82</v>
      </c>
      <c r="AI357" s="203" t="s">
        <v>82</v>
      </c>
      <c r="AJ357" s="203" t="s">
        <v>82</v>
      </c>
    </row>
    <row customFormat="1" r="358" s="205" spans="1:36" x14ac:dyDescent="0.2">
      <c r="A358" s="193">
        <v>354</v>
      </c>
      <c r="B358" s="215">
        <v>9</v>
      </c>
      <c r="C358" s="195" t="s">
        <v>260</v>
      </c>
      <c r="D358" s="195">
        <v>2</v>
      </c>
      <c r="E358" s="195" t="s">
        <v>264</v>
      </c>
      <c r="F358" s="196">
        <v>44436</v>
      </c>
      <c r="G358" s="197" t="s">
        <v>9</v>
      </c>
      <c r="H358" s="198">
        <v>2135</v>
      </c>
      <c r="I358" s="196" t="s">
        <v>266</v>
      </c>
      <c r="J358" s="199">
        <v>1325</v>
      </c>
      <c r="K358" s="198">
        <v>1424</v>
      </c>
      <c r="L358" s="200">
        <v>0</v>
      </c>
      <c r="M358" s="201"/>
      <c r="N358" s="199">
        <v>2135</v>
      </c>
      <c r="O358" s="202">
        <v>4.9000000000000004</v>
      </c>
      <c r="P358" s="203">
        <v>4.4000000000000004</v>
      </c>
      <c r="Q358" s="203">
        <v>0.5</v>
      </c>
      <c r="R358" s="204">
        <v>3.1</v>
      </c>
      <c r="S358" s="203">
        <v>3</v>
      </c>
      <c r="T358" s="203">
        <v>0.1</v>
      </c>
      <c r="V358" s="198">
        <v>2135</v>
      </c>
      <c r="W358" s="202">
        <v>4.8</v>
      </c>
      <c r="X358" s="203">
        <v>4.4000000000000004</v>
      </c>
      <c r="Y358" s="203">
        <v>0.4</v>
      </c>
      <c r="Z358" s="204">
        <v>3.1</v>
      </c>
      <c r="AA358" s="203">
        <v>3</v>
      </c>
      <c r="AB358" s="203">
        <v>0.1</v>
      </c>
      <c r="AD358" s="198">
        <v>2135</v>
      </c>
      <c r="AE358" s="202">
        <v>-0.10000000000000053</v>
      </c>
      <c r="AF358" s="203" t="s">
        <v>82</v>
      </c>
      <c r="AG358" s="203">
        <v>-9.9999999999999978E-2</v>
      </c>
      <c r="AH358" s="204" t="s">
        <v>82</v>
      </c>
      <c r="AI358" s="203" t="s">
        <v>82</v>
      </c>
      <c r="AJ358" s="203" t="s">
        <v>82</v>
      </c>
    </row>
    <row customFormat="1" r="359" s="205" spans="1:36" x14ac:dyDescent="0.2">
      <c r="A359" s="193">
        <v>355</v>
      </c>
      <c r="B359" s="215">
        <v>9</v>
      </c>
      <c r="C359" s="195" t="s">
        <v>260</v>
      </c>
      <c r="D359" s="195">
        <v>2</v>
      </c>
      <c r="E359" s="195" t="s">
        <v>264</v>
      </c>
      <c r="F359" s="196">
        <v>44443</v>
      </c>
      <c r="G359" s="197" t="s">
        <v>9</v>
      </c>
      <c r="H359" s="198">
        <v>2136</v>
      </c>
      <c r="I359" s="196" t="s">
        <v>266</v>
      </c>
      <c r="J359" s="199">
        <v>1335</v>
      </c>
      <c r="K359" s="198">
        <v>1434</v>
      </c>
      <c r="L359" s="200">
        <v>0</v>
      </c>
      <c r="M359" s="201"/>
      <c r="N359" s="199">
        <v>2136</v>
      </c>
      <c r="O359" s="202">
        <v>4.5</v>
      </c>
      <c r="P359" s="203">
        <v>4.0999999999999996</v>
      </c>
      <c r="Q359" s="203">
        <v>0.4</v>
      </c>
      <c r="R359" s="204">
        <v>3.1</v>
      </c>
      <c r="S359" s="203">
        <v>3.1</v>
      </c>
      <c r="T359" s="203">
        <v>0</v>
      </c>
      <c r="V359" s="198">
        <v>2136</v>
      </c>
      <c r="W359" s="202">
        <v>4.4000000000000004</v>
      </c>
      <c r="X359" s="203">
        <v>4.0999999999999996</v>
      </c>
      <c r="Y359" s="203">
        <v>0.3</v>
      </c>
      <c r="Z359" s="204">
        <v>3.1</v>
      </c>
      <c r="AA359" s="203">
        <v>3.1</v>
      </c>
      <c r="AB359" s="203">
        <v>0</v>
      </c>
      <c r="AD359" s="198">
        <v>2136</v>
      </c>
      <c r="AE359" s="202">
        <v>-9.9999999999999645E-2</v>
      </c>
      <c r="AF359" s="203" t="s">
        <v>82</v>
      </c>
      <c r="AG359" s="203">
        <v>-0.10000000000000003</v>
      </c>
      <c r="AH359" s="204" t="s">
        <v>82</v>
      </c>
      <c r="AI359" s="203" t="s">
        <v>82</v>
      </c>
      <c r="AJ359" s="203" t="s">
        <v>82</v>
      </c>
    </row>
    <row customFormat="1" r="360" s="205" spans="1:36" x14ac:dyDescent="0.2">
      <c r="A360" s="193">
        <v>356</v>
      </c>
      <c r="B360" s="215">
        <v>9</v>
      </c>
      <c r="C360" s="195" t="s">
        <v>260</v>
      </c>
      <c r="D360" s="195">
        <v>2</v>
      </c>
      <c r="E360" s="195" t="s">
        <v>264</v>
      </c>
      <c r="F360" s="196">
        <v>44450</v>
      </c>
      <c r="G360" s="197" t="s">
        <v>9</v>
      </c>
      <c r="H360" s="198">
        <v>2137</v>
      </c>
      <c r="I360" s="196" t="s">
        <v>266</v>
      </c>
      <c r="J360" s="199">
        <v>1325</v>
      </c>
      <c r="K360" s="198">
        <v>1424</v>
      </c>
      <c r="L360" s="200">
        <v>0</v>
      </c>
      <c r="M360" s="201"/>
      <c r="N360" s="199">
        <v>2137</v>
      </c>
      <c r="O360" s="202">
        <v>4.2</v>
      </c>
      <c r="P360" s="203">
        <v>3.9</v>
      </c>
      <c r="Q360" s="203">
        <v>0.3</v>
      </c>
      <c r="R360" s="204">
        <v>2.7</v>
      </c>
      <c r="S360" s="203">
        <v>2.6</v>
      </c>
      <c r="T360" s="203">
        <v>0.1</v>
      </c>
      <c r="V360" s="198">
        <v>2137</v>
      </c>
      <c r="W360" s="202">
        <v>4.2</v>
      </c>
      <c r="X360" s="203">
        <v>3.9</v>
      </c>
      <c r="Y360" s="203">
        <v>0.3</v>
      </c>
      <c r="Z360" s="204">
        <v>2.7</v>
      </c>
      <c r="AA360" s="203">
        <v>2.6</v>
      </c>
      <c r="AB360" s="203">
        <v>0.1</v>
      </c>
      <c r="AD360" s="198">
        <v>2137</v>
      </c>
      <c r="AE360" s="202" t="s">
        <v>82</v>
      </c>
      <c r="AF360" s="203" t="s">
        <v>82</v>
      </c>
      <c r="AG360" s="203" t="s">
        <v>82</v>
      </c>
      <c r="AH360" s="204" t="s">
        <v>82</v>
      </c>
      <c r="AI360" s="203" t="s">
        <v>82</v>
      </c>
      <c r="AJ360" s="203" t="s">
        <v>82</v>
      </c>
    </row>
    <row customFormat="1" r="361" s="205" spans="1:36" x14ac:dyDescent="0.2">
      <c r="A361" s="193">
        <v>357</v>
      </c>
      <c r="B361" s="215">
        <v>9</v>
      </c>
      <c r="C361" s="195" t="s">
        <v>260</v>
      </c>
      <c r="D361" s="195">
        <v>2</v>
      </c>
      <c r="E361" s="195" t="s">
        <v>264</v>
      </c>
      <c r="F361" s="196">
        <v>44463</v>
      </c>
      <c r="G361" s="197" t="s">
        <v>8</v>
      </c>
      <c r="H361" s="198">
        <v>2139</v>
      </c>
      <c r="I361" s="196" t="s">
        <v>217</v>
      </c>
      <c r="J361" s="199">
        <v>800</v>
      </c>
      <c r="K361" s="198">
        <v>949</v>
      </c>
      <c r="L361" s="200">
        <v>0</v>
      </c>
      <c r="M361" s="201"/>
      <c r="N361" s="199">
        <v>2139</v>
      </c>
      <c r="O361" s="202">
        <v>4.3</v>
      </c>
      <c r="P361" s="203">
        <v>4.2</v>
      </c>
      <c r="Q361" s="203">
        <v>0.1</v>
      </c>
      <c r="R361" s="204">
        <v>1.7</v>
      </c>
      <c r="S361" s="203">
        <v>1.7</v>
      </c>
      <c r="T361" s="203">
        <v>0</v>
      </c>
      <c r="V361" s="198">
        <v>2139</v>
      </c>
      <c r="W361" s="202">
        <v>4.2</v>
      </c>
      <c r="X361" s="203">
        <v>4.2</v>
      </c>
      <c r="Y361" s="203">
        <v>0</v>
      </c>
      <c r="Z361" s="204">
        <v>1.7</v>
      </c>
      <c r="AA361" s="203">
        <v>1.7</v>
      </c>
      <c r="AB361" s="203">
        <v>0</v>
      </c>
      <c r="AD361" s="198">
        <v>2139</v>
      </c>
      <c r="AE361" s="202">
        <v>-9.9999999999999645E-2</v>
      </c>
      <c r="AF361" s="203" t="s">
        <v>82</v>
      </c>
      <c r="AG361" s="203">
        <v>-0.1</v>
      </c>
      <c r="AH361" s="204" t="s">
        <v>82</v>
      </c>
      <c r="AI361" s="203" t="s">
        <v>82</v>
      </c>
      <c r="AJ361" s="203" t="s">
        <v>82</v>
      </c>
    </row>
    <row customFormat="1" r="362" s="205" spans="1:36" x14ac:dyDescent="0.2">
      <c r="A362" s="193">
        <v>358</v>
      </c>
      <c r="B362" s="215">
        <v>9</v>
      </c>
      <c r="C362" s="195" t="s">
        <v>260</v>
      </c>
      <c r="D362" s="195">
        <v>2</v>
      </c>
      <c r="E362" s="195" t="s">
        <v>264</v>
      </c>
      <c r="F362" s="196">
        <v>44470</v>
      </c>
      <c r="G362" s="197" t="s">
        <v>8</v>
      </c>
      <c r="H362" s="198">
        <v>2140</v>
      </c>
      <c r="I362" s="196" t="s">
        <v>217</v>
      </c>
      <c r="J362" s="199">
        <v>800</v>
      </c>
      <c r="K362" s="198">
        <v>949</v>
      </c>
      <c r="L362" s="200">
        <v>0</v>
      </c>
      <c r="M362" s="201"/>
      <c r="N362" s="199">
        <v>2140</v>
      </c>
      <c r="O362" s="202">
        <v>4.4000000000000004</v>
      </c>
      <c r="P362" s="203">
        <v>4.3</v>
      </c>
      <c r="Q362" s="203">
        <v>0.1</v>
      </c>
      <c r="R362" s="204">
        <v>2</v>
      </c>
      <c r="S362" s="203">
        <v>2</v>
      </c>
      <c r="T362" s="203">
        <v>0</v>
      </c>
      <c r="V362" s="198">
        <v>2140</v>
      </c>
      <c r="W362" s="202">
        <v>4.3</v>
      </c>
      <c r="X362" s="203">
        <v>4.3</v>
      </c>
      <c r="Y362" s="203">
        <v>0</v>
      </c>
      <c r="Z362" s="204">
        <v>2</v>
      </c>
      <c r="AA362" s="203">
        <v>2</v>
      </c>
      <c r="AB362" s="203">
        <v>0</v>
      </c>
      <c r="AD362" s="198">
        <v>2140</v>
      </c>
      <c r="AE362" s="202">
        <v>-0.10000000000000053</v>
      </c>
      <c r="AF362" s="203" t="s">
        <v>82</v>
      </c>
      <c r="AG362" s="203">
        <v>-0.1</v>
      </c>
      <c r="AH362" s="204" t="s">
        <v>82</v>
      </c>
      <c r="AI362" s="203" t="s">
        <v>82</v>
      </c>
      <c r="AJ362" s="203" t="s">
        <v>82</v>
      </c>
    </row>
    <row customFormat="1" r="363" s="205" spans="1:36" x14ac:dyDescent="0.2">
      <c r="A363" s="193">
        <v>359</v>
      </c>
      <c r="B363" s="215">
        <v>9</v>
      </c>
      <c r="C363" s="195" t="s">
        <v>260</v>
      </c>
      <c r="D363" s="195">
        <v>2</v>
      </c>
      <c r="E363" s="195" t="s">
        <v>264</v>
      </c>
      <c r="F363" s="196">
        <v>44477</v>
      </c>
      <c r="G363" s="197" t="s">
        <v>8</v>
      </c>
      <c r="H363" s="198">
        <v>2141</v>
      </c>
      <c r="I363" s="196" t="s">
        <v>217</v>
      </c>
      <c r="J363" s="199">
        <v>800</v>
      </c>
      <c r="K363" s="198">
        <v>949</v>
      </c>
      <c r="L363" s="200">
        <v>0</v>
      </c>
      <c r="M363" s="201"/>
      <c r="N363" s="199">
        <v>2141</v>
      </c>
      <c r="O363" s="202">
        <v>4.2</v>
      </c>
      <c r="P363" s="203">
        <v>4.0999999999999996</v>
      </c>
      <c r="Q363" s="203">
        <v>0.1</v>
      </c>
      <c r="R363" s="204">
        <v>1.9</v>
      </c>
      <c r="S363" s="203">
        <v>1.9</v>
      </c>
      <c r="T363" s="203">
        <v>0</v>
      </c>
      <c r="V363" s="198">
        <v>2141</v>
      </c>
      <c r="W363" s="202">
        <v>4.0999999999999996</v>
      </c>
      <c r="X363" s="203">
        <v>4.0999999999999996</v>
      </c>
      <c r="Y363" s="203">
        <v>0</v>
      </c>
      <c r="Z363" s="204">
        <v>1.9</v>
      </c>
      <c r="AA363" s="203">
        <v>1.9</v>
      </c>
      <c r="AB363" s="203">
        <v>0</v>
      </c>
      <c r="AD363" s="198">
        <v>2141</v>
      </c>
      <c r="AE363" s="202">
        <v>-0.10000000000000053</v>
      </c>
      <c r="AF363" s="203" t="s">
        <v>82</v>
      </c>
      <c r="AG363" s="203">
        <v>-0.1</v>
      </c>
      <c r="AH363" s="204" t="s">
        <v>82</v>
      </c>
      <c r="AI363" s="203" t="s">
        <v>82</v>
      </c>
      <c r="AJ363" s="203" t="s">
        <v>82</v>
      </c>
    </row>
    <row customFormat="1" r="364" s="205" spans="1:36" x14ac:dyDescent="0.2">
      <c r="A364" s="193">
        <v>360</v>
      </c>
      <c r="B364" s="215">
        <v>9</v>
      </c>
      <c r="C364" s="195" t="s">
        <v>260</v>
      </c>
      <c r="D364" s="195">
        <v>2</v>
      </c>
      <c r="E364" s="195" t="s">
        <v>264</v>
      </c>
      <c r="F364" s="196">
        <v>44484</v>
      </c>
      <c r="G364" s="197" t="s">
        <v>8</v>
      </c>
      <c r="H364" s="198">
        <v>2142</v>
      </c>
      <c r="I364" s="196" t="s">
        <v>217</v>
      </c>
      <c r="J364" s="199">
        <v>800</v>
      </c>
      <c r="K364" s="198">
        <v>949</v>
      </c>
      <c r="L364" s="200">
        <v>0</v>
      </c>
      <c r="M364" s="201"/>
      <c r="N364" s="199">
        <v>2142</v>
      </c>
      <c r="O364" s="202">
        <v>4.5999999999999996</v>
      </c>
      <c r="P364" s="203">
        <v>4.5</v>
      </c>
      <c r="Q364" s="203">
        <v>0.1</v>
      </c>
      <c r="R364" s="204">
        <v>2.1</v>
      </c>
      <c r="S364" s="203">
        <v>2.1</v>
      </c>
      <c r="T364" s="203">
        <v>0</v>
      </c>
      <c r="V364" s="198">
        <v>2142</v>
      </c>
      <c r="W364" s="202">
        <v>4.5</v>
      </c>
      <c r="X364" s="203">
        <v>4.5</v>
      </c>
      <c r="Y364" s="203">
        <v>0</v>
      </c>
      <c r="Z364" s="204">
        <v>2.1</v>
      </c>
      <c r="AA364" s="203">
        <v>2.1</v>
      </c>
      <c r="AB364" s="203">
        <v>0</v>
      </c>
      <c r="AD364" s="198">
        <v>2142</v>
      </c>
      <c r="AE364" s="202">
        <v>-9.9999999999999645E-2</v>
      </c>
      <c r="AF364" s="203" t="s">
        <v>82</v>
      </c>
      <c r="AG364" s="203">
        <v>-0.1</v>
      </c>
      <c r="AH364" s="204" t="s">
        <v>82</v>
      </c>
      <c r="AI364" s="203" t="s">
        <v>82</v>
      </c>
      <c r="AJ364" s="203" t="s">
        <v>82</v>
      </c>
    </row>
    <row customFormat="1" r="365" s="205" spans="1:36" x14ac:dyDescent="0.2">
      <c r="A365" s="193">
        <v>361</v>
      </c>
      <c r="B365" s="215">
        <v>9</v>
      </c>
      <c r="C365" s="195" t="s">
        <v>260</v>
      </c>
      <c r="D365" s="195">
        <v>3</v>
      </c>
      <c r="E365" s="195" t="s">
        <v>267</v>
      </c>
      <c r="F365" s="196">
        <v>44543</v>
      </c>
      <c r="G365" s="197" t="s">
        <v>4</v>
      </c>
      <c r="H365" s="198">
        <v>2151</v>
      </c>
      <c r="I365" s="196" t="s">
        <v>268</v>
      </c>
      <c r="J365" s="199">
        <v>1550</v>
      </c>
      <c r="K365" s="198">
        <v>1649</v>
      </c>
      <c r="L365" s="200">
        <v>0</v>
      </c>
      <c r="M365" s="201"/>
      <c r="N365" s="199">
        <v>2151</v>
      </c>
      <c r="O365" s="202">
        <v>3.4</v>
      </c>
      <c r="P365" s="203">
        <v>3.4</v>
      </c>
      <c r="Q365" s="203">
        <v>0</v>
      </c>
      <c r="R365" s="204">
        <v>4</v>
      </c>
      <c r="S365" s="203">
        <v>4</v>
      </c>
      <c r="T365" s="203" t="s">
        <v>84</v>
      </c>
      <c r="V365" s="198">
        <v>2151</v>
      </c>
      <c r="W365" s="202">
        <v>3.4</v>
      </c>
      <c r="X365" s="203">
        <v>3.4</v>
      </c>
      <c r="Y365" s="203">
        <v>0</v>
      </c>
      <c r="Z365" s="204">
        <v>4</v>
      </c>
      <c r="AA365" s="203">
        <v>4</v>
      </c>
      <c r="AB365" s="203" t="s">
        <v>84</v>
      </c>
      <c r="AD365" s="198">
        <v>2151</v>
      </c>
      <c r="AE365" s="202" t="s">
        <v>82</v>
      </c>
      <c r="AF365" s="203" t="s">
        <v>82</v>
      </c>
      <c r="AG365" s="203" t="s">
        <v>82</v>
      </c>
      <c r="AH365" s="204" t="s">
        <v>82</v>
      </c>
      <c r="AI365" s="203" t="s">
        <v>82</v>
      </c>
      <c r="AJ365" s="203" t="s">
        <v>82</v>
      </c>
    </row>
    <row customFormat="1" r="366" s="205" spans="1:36" x14ac:dyDescent="0.2">
      <c r="A366" s="193">
        <v>362</v>
      </c>
      <c r="B366" s="215">
        <v>9</v>
      </c>
      <c r="C366" s="195" t="s">
        <v>260</v>
      </c>
      <c r="D366" s="195">
        <v>3</v>
      </c>
      <c r="E366" s="195" t="s">
        <v>267</v>
      </c>
      <c r="F366" s="196">
        <v>44550</v>
      </c>
      <c r="G366" s="197" t="s">
        <v>4</v>
      </c>
      <c r="H366" s="198">
        <v>2152</v>
      </c>
      <c r="I366" s="196" t="s">
        <v>268</v>
      </c>
      <c r="J366" s="199">
        <v>1550</v>
      </c>
      <c r="K366" s="198">
        <v>1649</v>
      </c>
      <c r="L366" s="200">
        <v>0</v>
      </c>
      <c r="M366" s="201"/>
      <c r="N366" s="199">
        <v>2152</v>
      </c>
      <c r="O366" s="202">
        <v>3.5</v>
      </c>
      <c r="P366" s="203">
        <v>3.5</v>
      </c>
      <c r="Q366" s="203">
        <v>0</v>
      </c>
      <c r="R366" s="204">
        <v>4.3</v>
      </c>
      <c r="S366" s="203">
        <v>4.3</v>
      </c>
      <c r="T366" s="203" t="s">
        <v>84</v>
      </c>
      <c r="V366" s="198">
        <v>2152</v>
      </c>
      <c r="W366" s="202">
        <v>3.5</v>
      </c>
      <c r="X366" s="203">
        <v>3.5</v>
      </c>
      <c r="Y366" s="203">
        <v>0</v>
      </c>
      <c r="Z366" s="204">
        <v>4.3</v>
      </c>
      <c r="AA366" s="203">
        <v>4.3</v>
      </c>
      <c r="AB366" s="203" t="s">
        <v>84</v>
      </c>
      <c r="AD366" s="198">
        <v>2152</v>
      </c>
      <c r="AE366" s="202" t="s">
        <v>82</v>
      </c>
      <c r="AF366" s="203" t="s">
        <v>82</v>
      </c>
      <c r="AG366" s="203" t="s">
        <v>82</v>
      </c>
      <c r="AH366" s="204" t="s">
        <v>82</v>
      </c>
      <c r="AI366" s="203" t="s">
        <v>82</v>
      </c>
      <c r="AJ366" s="203" t="s">
        <v>82</v>
      </c>
    </row>
    <row customFormat="1" r="367" s="205" spans="1:36" x14ac:dyDescent="0.2">
      <c r="A367" s="193">
        <v>363</v>
      </c>
      <c r="B367" s="215">
        <v>9</v>
      </c>
      <c r="C367" s="195" t="s">
        <v>260</v>
      </c>
      <c r="D367" s="195">
        <v>3</v>
      </c>
      <c r="E367" s="195" t="s">
        <v>267</v>
      </c>
      <c r="F367" s="196">
        <v>44553</v>
      </c>
      <c r="G367" s="197" t="s">
        <v>7</v>
      </c>
      <c r="H367" s="198">
        <v>2152</v>
      </c>
      <c r="I367" s="196" t="s">
        <v>269</v>
      </c>
      <c r="J367" s="199">
        <v>1753</v>
      </c>
      <c r="K367" s="198">
        <v>1814</v>
      </c>
      <c r="L367" s="200">
        <v>0</v>
      </c>
      <c r="M367" s="201"/>
      <c r="N367" s="199">
        <v>2152</v>
      </c>
      <c r="O367" s="202">
        <v>4.2</v>
      </c>
      <c r="P367" s="203">
        <v>4.0999999999999996</v>
      </c>
      <c r="Q367" s="203">
        <v>0.1</v>
      </c>
      <c r="R367" s="204">
        <v>4.4000000000000004</v>
      </c>
      <c r="S367" s="203">
        <v>4.4000000000000004</v>
      </c>
      <c r="T367" s="203" t="s">
        <v>84</v>
      </c>
      <c r="V367" s="198">
        <v>2152</v>
      </c>
      <c r="W367" s="202">
        <v>4.0999999999999996</v>
      </c>
      <c r="X367" s="203">
        <v>4.0999999999999996</v>
      </c>
      <c r="Y367" s="203">
        <v>0</v>
      </c>
      <c r="Z367" s="204">
        <v>4.4000000000000004</v>
      </c>
      <c r="AA367" s="203">
        <v>4.4000000000000004</v>
      </c>
      <c r="AB367" s="203" t="s">
        <v>84</v>
      </c>
      <c r="AD367" s="198">
        <v>2152</v>
      </c>
      <c r="AE367" s="202">
        <v>-0.10000000000000053</v>
      </c>
      <c r="AF367" s="203" t="s">
        <v>82</v>
      </c>
      <c r="AG367" s="203">
        <v>-0.1</v>
      </c>
      <c r="AH367" s="204" t="s">
        <v>82</v>
      </c>
      <c r="AI367" s="203" t="s">
        <v>82</v>
      </c>
      <c r="AJ367" s="203" t="s">
        <v>82</v>
      </c>
    </row>
    <row customFormat="1" r="368" s="205" spans="1:36" x14ac:dyDescent="0.2">
      <c r="A368" s="193">
        <v>364</v>
      </c>
      <c r="B368" s="215">
        <v>9</v>
      </c>
      <c r="C368" s="195" t="s">
        <v>260</v>
      </c>
      <c r="D368" s="195">
        <v>3</v>
      </c>
      <c r="E368" s="195" t="s">
        <v>267</v>
      </c>
      <c r="F368" s="196">
        <v>44557</v>
      </c>
      <c r="G368" s="197" t="s">
        <v>4</v>
      </c>
      <c r="H368" s="198">
        <v>2201</v>
      </c>
      <c r="I368" s="196" t="s">
        <v>270</v>
      </c>
      <c r="J368" s="199">
        <v>1550</v>
      </c>
      <c r="K368" s="198">
        <v>1644</v>
      </c>
      <c r="L368" s="200">
        <v>0</v>
      </c>
      <c r="M368" s="201"/>
      <c r="N368" s="199">
        <v>2201</v>
      </c>
      <c r="O368" s="202">
        <v>3.5</v>
      </c>
      <c r="P368" s="203">
        <v>3.4</v>
      </c>
      <c r="Q368" s="203">
        <v>0.1</v>
      </c>
      <c r="R368" s="204">
        <v>4.0999999999999996</v>
      </c>
      <c r="S368" s="203">
        <v>4.0999999999999996</v>
      </c>
      <c r="T368" s="203" t="s">
        <v>84</v>
      </c>
      <c r="V368" s="198">
        <v>2201</v>
      </c>
      <c r="W368" s="202">
        <v>3.4</v>
      </c>
      <c r="X368" s="203">
        <v>3.4</v>
      </c>
      <c r="Y368" s="203">
        <v>0</v>
      </c>
      <c r="Z368" s="204">
        <v>4.0999999999999996</v>
      </c>
      <c r="AA368" s="203">
        <v>4.0999999999999996</v>
      </c>
      <c r="AB368" s="203" t="s">
        <v>84</v>
      </c>
      <c r="AD368" s="198">
        <v>2201</v>
      </c>
      <c r="AE368" s="202">
        <v>-0.10000000000000009</v>
      </c>
      <c r="AF368" s="203" t="s">
        <v>82</v>
      </c>
      <c r="AG368" s="203">
        <v>-0.1</v>
      </c>
      <c r="AH368" s="204" t="s">
        <v>82</v>
      </c>
      <c r="AI368" s="203" t="s">
        <v>82</v>
      </c>
      <c r="AJ368" s="203" t="s">
        <v>82</v>
      </c>
    </row>
    <row customFormat="1" r="369" s="205" spans="1:36" x14ac:dyDescent="0.2">
      <c r="A369" s="193">
        <v>365</v>
      </c>
      <c r="B369" s="215">
        <v>9</v>
      </c>
      <c r="C369" s="195" t="s">
        <v>260</v>
      </c>
      <c r="D369" s="195">
        <v>3</v>
      </c>
      <c r="E369" s="195" t="s">
        <v>267</v>
      </c>
      <c r="F369" s="196">
        <v>44560</v>
      </c>
      <c r="G369" s="197" t="s">
        <v>7</v>
      </c>
      <c r="H369" s="198">
        <v>2201</v>
      </c>
      <c r="I369" s="196" t="s">
        <v>95</v>
      </c>
      <c r="J369" s="199">
        <v>1800</v>
      </c>
      <c r="K369" s="198">
        <v>1959</v>
      </c>
      <c r="L369" s="200">
        <v>0</v>
      </c>
      <c r="M369" s="201"/>
      <c r="N369" s="199">
        <v>2201</v>
      </c>
      <c r="O369" s="202">
        <v>5.3</v>
      </c>
      <c r="P369" s="203">
        <v>5.2</v>
      </c>
      <c r="Q369" s="203">
        <v>0.1</v>
      </c>
      <c r="R369" s="204">
        <v>5</v>
      </c>
      <c r="S369" s="203">
        <v>5</v>
      </c>
      <c r="T369" s="203" t="s">
        <v>84</v>
      </c>
      <c r="V369" s="198">
        <v>2201</v>
      </c>
      <c r="W369" s="202">
        <v>5.3</v>
      </c>
      <c r="X369" s="203">
        <v>5.2</v>
      </c>
      <c r="Y369" s="203">
        <v>0.1</v>
      </c>
      <c r="Z369" s="204">
        <v>5</v>
      </c>
      <c r="AA369" s="203">
        <v>5</v>
      </c>
      <c r="AB369" s="203" t="s">
        <v>84</v>
      </c>
      <c r="AD369" s="198">
        <v>2201</v>
      </c>
      <c r="AE369" s="202" t="s">
        <v>82</v>
      </c>
      <c r="AF369" s="203" t="s">
        <v>82</v>
      </c>
      <c r="AG369" s="203" t="s">
        <v>82</v>
      </c>
      <c r="AH369" s="204" t="s">
        <v>82</v>
      </c>
      <c r="AI369" s="203" t="s">
        <v>82</v>
      </c>
      <c r="AJ369" s="203" t="s">
        <v>82</v>
      </c>
    </row>
    <row customFormat="1" r="370" s="205" spans="1:36" x14ac:dyDescent="0.2">
      <c r="A370" s="193">
        <v>366</v>
      </c>
      <c r="B370" s="215">
        <v>9</v>
      </c>
      <c r="C370" s="195" t="s">
        <v>260</v>
      </c>
      <c r="D370" s="195">
        <v>3</v>
      </c>
      <c r="E370" s="195" t="s">
        <v>267</v>
      </c>
      <c r="F370" s="196">
        <v>44564</v>
      </c>
      <c r="G370" s="197" t="s">
        <v>4</v>
      </c>
      <c r="H370" s="198">
        <v>2202</v>
      </c>
      <c r="I370" s="196" t="s">
        <v>271</v>
      </c>
      <c r="J370" s="199">
        <v>1630</v>
      </c>
      <c r="K370" s="198">
        <v>1729</v>
      </c>
      <c r="L370" s="200">
        <v>0</v>
      </c>
      <c r="M370" s="201"/>
      <c r="N370" s="199">
        <v>2202</v>
      </c>
      <c r="O370" s="202">
        <v>3.4</v>
      </c>
      <c r="P370" s="203">
        <v>3.4</v>
      </c>
      <c r="Q370" s="203">
        <v>0</v>
      </c>
      <c r="R370" s="204">
        <v>3.2</v>
      </c>
      <c r="S370" s="203">
        <v>3.2</v>
      </c>
      <c r="T370" s="203" t="s">
        <v>84</v>
      </c>
      <c r="V370" s="198">
        <v>2202</v>
      </c>
      <c r="W370" s="202">
        <v>3.4</v>
      </c>
      <c r="X370" s="203">
        <v>3.4</v>
      </c>
      <c r="Y370" s="203">
        <v>0</v>
      </c>
      <c r="Z370" s="204">
        <v>3.2</v>
      </c>
      <c r="AA370" s="203">
        <v>3.2</v>
      </c>
      <c r="AB370" s="203" t="s">
        <v>84</v>
      </c>
      <c r="AD370" s="198">
        <v>2202</v>
      </c>
      <c r="AE370" s="202" t="s">
        <v>82</v>
      </c>
      <c r="AF370" s="203" t="s">
        <v>82</v>
      </c>
      <c r="AG370" s="203" t="s">
        <v>82</v>
      </c>
      <c r="AH370" s="204" t="s">
        <v>82</v>
      </c>
      <c r="AI370" s="203" t="s">
        <v>82</v>
      </c>
      <c r="AJ370" s="203" t="s">
        <v>82</v>
      </c>
    </row>
    <row customFormat="1" r="371" s="205" spans="1:36" x14ac:dyDescent="0.2">
      <c r="A371" s="193">
        <v>367</v>
      </c>
      <c r="B371" s="215">
        <v>9</v>
      </c>
      <c r="C371" s="195" t="s">
        <v>260</v>
      </c>
      <c r="D371" s="195">
        <v>3</v>
      </c>
      <c r="E371" s="195" t="s">
        <v>267</v>
      </c>
      <c r="F371" s="196">
        <v>44567</v>
      </c>
      <c r="G371" s="197" t="s">
        <v>7</v>
      </c>
      <c r="H371" s="198">
        <v>2202</v>
      </c>
      <c r="I371" s="196" t="s">
        <v>269</v>
      </c>
      <c r="J371" s="199">
        <v>1753</v>
      </c>
      <c r="K371" s="198">
        <v>1814</v>
      </c>
      <c r="L371" s="200">
        <v>0</v>
      </c>
      <c r="M371" s="201"/>
      <c r="N371" s="199">
        <v>2202</v>
      </c>
      <c r="O371" s="202">
        <v>4.2</v>
      </c>
      <c r="P371" s="203">
        <v>4.0999999999999996</v>
      </c>
      <c r="Q371" s="203">
        <v>0.1</v>
      </c>
      <c r="R371" s="204">
        <v>5</v>
      </c>
      <c r="S371" s="203">
        <v>5</v>
      </c>
      <c r="T371" s="203" t="s">
        <v>84</v>
      </c>
      <c r="V371" s="198">
        <v>2202</v>
      </c>
      <c r="W371" s="202">
        <v>4.0999999999999996</v>
      </c>
      <c r="X371" s="203">
        <v>4.0999999999999996</v>
      </c>
      <c r="Y371" s="203">
        <v>0</v>
      </c>
      <c r="Z371" s="204">
        <v>5</v>
      </c>
      <c r="AA371" s="203">
        <v>5</v>
      </c>
      <c r="AB371" s="203" t="s">
        <v>84</v>
      </c>
      <c r="AD371" s="198">
        <v>2202</v>
      </c>
      <c r="AE371" s="202">
        <v>-0.10000000000000053</v>
      </c>
      <c r="AF371" s="203" t="s">
        <v>82</v>
      </c>
      <c r="AG371" s="203">
        <v>-0.1</v>
      </c>
      <c r="AH371" s="204" t="s">
        <v>82</v>
      </c>
      <c r="AI371" s="203" t="s">
        <v>82</v>
      </c>
      <c r="AJ371" s="203" t="s">
        <v>82</v>
      </c>
    </row>
    <row customFormat="1" r="372" s="205" spans="1:36" x14ac:dyDescent="0.2">
      <c r="A372" s="193">
        <v>368</v>
      </c>
      <c r="B372" s="215">
        <v>9</v>
      </c>
      <c r="C372" s="195" t="s">
        <v>260</v>
      </c>
      <c r="D372" s="195">
        <v>3</v>
      </c>
      <c r="E372" s="195" t="s">
        <v>267</v>
      </c>
      <c r="F372" s="196">
        <v>44574</v>
      </c>
      <c r="G372" s="197" t="s">
        <v>7</v>
      </c>
      <c r="H372" s="198">
        <v>2203</v>
      </c>
      <c r="I372" s="196" t="s">
        <v>269</v>
      </c>
      <c r="J372" s="199">
        <v>1753</v>
      </c>
      <c r="K372" s="198">
        <v>1814</v>
      </c>
      <c r="L372" s="200">
        <v>0</v>
      </c>
      <c r="M372" s="201"/>
      <c r="N372" s="199">
        <v>2203</v>
      </c>
      <c r="O372" s="202">
        <v>4.5</v>
      </c>
      <c r="P372" s="203">
        <v>4.4000000000000004</v>
      </c>
      <c r="Q372" s="203">
        <v>0.1</v>
      </c>
      <c r="R372" s="204">
        <v>5.4</v>
      </c>
      <c r="S372" s="203">
        <v>5.4</v>
      </c>
      <c r="T372" s="203" t="s">
        <v>84</v>
      </c>
      <c r="V372" s="198">
        <v>2203</v>
      </c>
      <c r="W372" s="202">
        <v>4.4000000000000004</v>
      </c>
      <c r="X372" s="203">
        <v>4.4000000000000004</v>
      </c>
      <c r="Y372" s="203">
        <v>0</v>
      </c>
      <c r="Z372" s="204">
        <v>5.4</v>
      </c>
      <c r="AA372" s="203">
        <v>5.4</v>
      </c>
      <c r="AB372" s="203" t="s">
        <v>84</v>
      </c>
      <c r="AD372" s="198">
        <v>2203</v>
      </c>
      <c r="AE372" s="202">
        <v>-9.9999999999999645E-2</v>
      </c>
      <c r="AF372" s="203" t="s">
        <v>82</v>
      </c>
      <c r="AG372" s="203">
        <v>-0.1</v>
      </c>
      <c r="AH372" s="204" t="s">
        <v>82</v>
      </c>
      <c r="AI372" s="203" t="s">
        <v>82</v>
      </c>
      <c r="AJ372" s="203" t="s">
        <v>82</v>
      </c>
    </row>
    <row customFormat="1" r="373" s="205" spans="1:36" x14ac:dyDescent="0.2">
      <c r="A373" s="193">
        <v>369</v>
      </c>
      <c r="B373" s="215">
        <v>9</v>
      </c>
      <c r="C373" s="195" t="s">
        <v>260</v>
      </c>
      <c r="D373" s="195">
        <v>6</v>
      </c>
      <c r="E373" s="195" t="s">
        <v>272</v>
      </c>
      <c r="F373" s="196">
        <v>44395</v>
      </c>
      <c r="G373" s="197" t="s">
        <v>10</v>
      </c>
      <c r="H373" s="198">
        <v>2129</v>
      </c>
      <c r="I373" s="196" t="s">
        <v>145</v>
      </c>
      <c r="J373" s="199">
        <v>1900</v>
      </c>
      <c r="K373" s="198">
        <v>1957</v>
      </c>
      <c r="L373" s="200">
        <v>0</v>
      </c>
      <c r="M373" s="201"/>
      <c r="N373" s="199">
        <v>2129</v>
      </c>
      <c r="O373" s="202">
        <v>8.1999999999999993</v>
      </c>
      <c r="P373" s="203">
        <v>8.1</v>
      </c>
      <c r="Q373" s="203">
        <v>0.1</v>
      </c>
      <c r="R373" s="204">
        <v>10</v>
      </c>
      <c r="S373" s="203">
        <v>10</v>
      </c>
      <c r="T373" s="203" t="s">
        <v>84</v>
      </c>
      <c r="V373" s="198">
        <v>2129</v>
      </c>
      <c r="W373" s="202">
        <v>8.1</v>
      </c>
      <c r="X373" s="203">
        <v>8.1</v>
      </c>
      <c r="Y373" s="203">
        <v>0</v>
      </c>
      <c r="Z373" s="204">
        <v>10</v>
      </c>
      <c r="AA373" s="203">
        <v>10</v>
      </c>
      <c r="AB373" s="203" t="s">
        <v>84</v>
      </c>
      <c r="AD373" s="198">
        <v>2129</v>
      </c>
      <c r="AE373" s="202">
        <v>-9.9999999999999645E-2</v>
      </c>
      <c r="AF373" s="203" t="s">
        <v>82</v>
      </c>
      <c r="AG373" s="203">
        <v>-0.1</v>
      </c>
      <c r="AH373" s="204" t="s">
        <v>82</v>
      </c>
      <c r="AI373" s="203" t="s">
        <v>82</v>
      </c>
      <c r="AJ373" s="203" t="s">
        <v>82</v>
      </c>
    </row>
    <row customFormat="1" r="374" s="205" spans="1:36" x14ac:dyDescent="0.2">
      <c r="A374" s="193">
        <v>370</v>
      </c>
      <c r="B374" s="215">
        <v>9</v>
      </c>
      <c r="C374" s="195" t="s">
        <v>260</v>
      </c>
      <c r="D374" s="195">
        <v>6</v>
      </c>
      <c r="E374" s="195" t="s">
        <v>272</v>
      </c>
      <c r="F374" s="196">
        <v>44402</v>
      </c>
      <c r="G374" s="197" t="s">
        <v>10</v>
      </c>
      <c r="H374" s="198">
        <v>2130</v>
      </c>
      <c r="I374" s="196" t="s">
        <v>185</v>
      </c>
      <c r="J374" s="199">
        <v>1700</v>
      </c>
      <c r="K374" s="198">
        <v>1955</v>
      </c>
      <c r="L374" s="200">
        <v>0</v>
      </c>
      <c r="M374" s="201"/>
      <c r="N374" s="199">
        <v>2130</v>
      </c>
      <c r="O374" s="202">
        <v>4.9000000000000004</v>
      </c>
      <c r="P374" s="203">
        <v>4.9000000000000004</v>
      </c>
      <c r="Q374" s="203">
        <v>0</v>
      </c>
      <c r="R374" s="204">
        <v>7.5</v>
      </c>
      <c r="S374" s="203">
        <v>7.5</v>
      </c>
      <c r="T374" s="203" t="s">
        <v>84</v>
      </c>
      <c r="V374" s="198">
        <v>2130</v>
      </c>
      <c r="W374" s="202">
        <v>4.9000000000000004</v>
      </c>
      <c r="X374" s="203">
        <v>4.9000000000000004</v>
      </c>
      <c r="Y374" s="203">
        <v>0</v>
      </c>
      <c r="Z374" s="204">
        <v>7.5</v>
      </c>
      <c r="AA374" s="203">
        <v>7.5</v>
      </c>
      <c r="AB374" s="203" t="s">
        <v>84</v>
      </c>
      <c r="AD374" s="198">
        <v>2130</v>
      </c>
      <c r="AE374" s="202" t="s">
        <v>82</v>
      </c>
      <c r="AF374" s="203" t="s">
        <v>82</v>
      </c>
      <c r="AG374" s="203" t="s">
        <v>82</v>
      </c>
      <c r="AH374" s="204" t="s">
        <v>82</v>
      </c>
      <c r="AI374" s="203" t="s">
        <v>82</v>
      </c>
      <c r="AJ374" s="203" t="s">
        <v>82</v>
      </c>
    </row>
    <row customFormat="1" r="375" s="205" spans="1:36" x14ac:dyDescent="0.2">
      <c r="A375" s="193">
        <v>371</v>
      </c>
      <c r="B375" s="215">
        <v>9</v>
      </c>
      <c r="C375" s="195" t="s">
        <v>260</v>
      </c>
      <c r="D375" s="195">
        <v>6</v>
      </c>
      <c r="E375" s="195" t="s">
        <v>272</v>
      </c>
      <c r="F375" s="196">
        <v>44409</v>
      </c>
      <c r="G375" s="197" t="s">
        <v>10</v>
      </c>
      <c r="H375" s="198">
        <v>2131</v>
      </c>
      <c r="I375" s="196" t="s">
        <v>145</v>
      </c>
      <c r="J375" s="199">
        <v>1900</v>
      </c>
      <c r="K375" s="198">
        <v>1957</v>
      </c>
      <c r="L375" s="200">
        <v>0</v>
      </c>
      <c r="M375" s="201"/>
      <c r="N375" s="199">
        <v>2131</v>
      </c>
      <c r="O375" s="202">
        <v>9.1999999999999993</v>
      </c>
      <c r="P375" s="203">
        <v>9.1</v>
      </c>
      <c r="Q375" s="203">
        <v>0.1</v>
      </c>
      <c r="R375" s="204">
        <v>9.6999999999999993</v>
      </c>
      <c r="S375" s="203">
        <v>9.6999999999999993</v>
      </c>
      <c r="T375" s="203" t="s">
        <v>84</v>
      </c>
      <c r="V375" s="198">
        <v>2131</v>
      </c>
      <c r="W375" s="202">
        <v>9.1999999999999993</v>
      </c>
      <c r="X375" s="203">
        <v>9.1</v>
      </c>
      <c r="Y375" s="203">
        <v>0.1</v>
      </c>
      <c r="Z375" s="204">
        <v>9.6999999999999993</v>
      </c>
      <c r="AA375" s="203">
        <v>9.6999999999999993</v>
      </c>
      <c r="AB375" s="203" t="s">
        <v>84</v>
      </c>
      <c r="AD375" s="198">
        <v>2131</v>
      </c>
      <c r="AE375" s="202" t="s">
        <v>82</v>
      </c>
      <c r="AF375" s="203" t="s">
        <v>82</v>
      </c>
      <c r="AG375" s="203" t="s">
        <v>82</v>
      </c>
      <c r="AH375" s="204" t="s">
        <v>82</v>
      </c>
      <c r="AI375" s="203" t="s">
        <v>82</v>
      </c>
      <c r="AJ375" s="203" t="s">
        <v>82</v>
      </c>
    </row>
    <row customFormat="1" r="376" s="205" spans="1:36" x14ac:dyDescent="0.2">
      <c r="A376" s="193">
        <v>372</v>
      </c>
      <c r="B376" s="215">
        <v>9</v>
      </c>
      <c r="C376" s="195" t="s">
        <v>260</v>
      </c>
      <c r="D376" s="195">
        <v>6</v>
      </c>
      <c r="E376" s="195" t="s">
        <v>272</v>
      </c>
      <c r="F376" s="196">
        <v>44416</v>
      </c>
      <c r="G376" s="197" t="s">
        <v>10</v>
      </c>
      <c r="H376" s="198">
        <v>2132</v>
      </c>
      <c r="I376" s="196" t="s">
        <v>273</v>
      </c>
      <c r="J376" s="199">
        <v>1900</v>
      </c>
      <c r="K376" s="198">
        <v>2155</v>
      </c>
      <c r="L376" s="200">
        <v>0</v>
      </c>
      <c r="M376" s="201"/>
      <c r="N376" s="199">
        <v>2132</v>
      </c>
      <c r="O376" s="202">
        <v>9.3000000000000007</v>
      </c>
      <c r="P376" s="203">
        <v>9.1999999999999993</v>
      </c>
      <c r="Q376" s="203">
        <v>0.1</v>
      </c>
      <c r="R376" s="204">
        <v>4.7</v>
      </c>
      <c r="S376" s="203">
        <v>4.7</v>
      </c>
      <c r="T376" s="203" t="s">
        <v>84</v>
      </c>
      <c r="V376" s="198">
        <v>2132</v>
      </c>
      <c r="W376" s="202">
        <v>9.3000000000000007</v>
      </c>
      <c r="X376" s="203">
        <v>9.1999999999999993</v>
      </c>
      <c r="Y376" s="203">
        <v>0.1</v>
      </c>
      <c r="Z376" s="204">
        <v>4.7</v>
      </c>
      <c r="AA376" s="203">
        <v>4.7</v>
      </c>
      <c r="AB376" s="203" t="s">
        <v>84</v>
      </c>
      <c r="AD376" s="198">
        <v>2132</v>
      </c>
      <c r="AE376" s="202"/>
      <c r="AF376" s="203" t="s">
        <v>82</v>
      </c>
      <c r="AG376" s="203" t="s">
        <v>82</v>
      </c>
      <c r="AH376" s="204" t="s">
        <v>82</v>
      </c>
      <c r="AI376" s="203" t="s">
        <v>82</v>
      </c>
      <c r="AJ376" s="203" t="s">
        <v>82</v>
      </c>
    </row>
    <row customFormat="1" r="377" s="205" spans="1:36" x14ac:dyDescent="0.2">
      <c r="A377" s="193">
        <v>373</v>
      </c>
      <c r="B377" s="215">
        <v>9</v>
      </c>
      <c r="C377" s="195" t="s">
        <v>260</v>
      </c>
      <c r="D377" s="195">
        <v>6</v>
      </c>
      <c r="E377" s="195" t="s">
        <v>272</v>
      </c>
      <c r="F377" s="196">
        <v>44520</v>
      </c>
      <c r="G377" s="197" t="s">
        <v>9</v>
      </c>
      <c r="H377" s="198">
        <v>2147</v>
      </c>
      <c r="I377" s="196" t="s">
        <v>273</v>
      </c>
      <c r="J377" s="199">
        <v>1856</v>
      </c>
      <c r="K377" s="198">
        <v>2053</v>
      </c>
      <c r="L377" s="200">
        <v>0</v>
      </c>
      <c r="M377" s="201"/>
      <c r="N377" s="199">
        <v>2147</v>
      </c>
      <c r="O377" s="202">
        <v>6.3</v>
      </c>
      <c r="P377" s="203">
        <v>6.1</v>
      </c>
      <c r="Q377" s="203">
        <v>0.2</v>
      </c>
      <c r="R377" s="204">
        <v>5.0999999999999996</v>
      </c>
      <c r="S377" s="203">
        <v>5.0999999999999996</v>
      </c>
      <c r="T377" s="203">
        <v>0</v>
      </c>
      <c r="V377" s="198">
        <v>2147</v>
      </c>
      <c r="W377" s="202">
        <v>6.3</v>
      </c>
      <c r="X377" s="203">
        <v>6.1</v>
      </c>
      <c r="Y377" s="203">
        <v>0.2</v>
      </c>
      <c r="Z377" s="204">
        <v>5.0999999999999996</v>
      </c>
      <c r="AA377" s="203">
        <v>5.0999999999999996</v>
      </c>
      <c r="AB377" s="203">
        <v>0</v>
      </c>
      <c r="AD377" s="198">
        <v>2147</v>
      </c>
      <c r="AE377" s="202" t="s">
        <v>82</v>
      </c>
      <c r="AF377" s="203" t="s">
        <v>82</v>
      </c>
      <c r="AG377" s="203" t="s">
        <v>82</v>
      </c>
      <c r="AH377" s="204" t="s">
        <v>82</v>
      </c>
      <c r="AI377" s="203" t="s">
        <v>82</v>
      </c>
      <c r="AJ377" s="203" t="s">
        <v>82</v>
      </c>
    </row>
    <row customFormat="1" r="378" s="205" spans="1:36" x14ac:dyDescent="0.2">
      <c r="A378" s="193">
        <v>374</v>
      </c>
      <c r="B378" s="215">
        <v>9</v>
      </c>
      <c r="C378" s="195" t="s">
        <v>260</v>
      </c>
      <c r="D378" s="195">
        <v>6</v>
      </c>
      <c r="E378" s="195" t="s">
        <v>272</v>
      </c>
      <c r="F378" s="196">
        <v>44527</v>
      </c>
      <c r="G378" s="197" t="s">
        <v>9</v>
      </c>
      <c r="H378" s="198">
        <v>2148</v>
      </c>
      <c r="I378" s="196" t="s">
        <v>274</v>
      </c>
      <c r="J378" s="199">
        <v>1856</v>
      </c>
      <c r="K378" s="198">
        <v>2053</v>
      </c>
      <c r="L378" s="200">
        <v>0</v>
      </c>
      <c r="M378" s="201"/>
      <c r="N378" s="199">
        <v>2148</v>
      </c>
      <c r="O378" s="202">
        <v>6.9</v>
      </c>
      <c r="P378" s="203">
        <v>6.7</v>
      </c>
      <c r="Q378" s="203">
        <v>0.2</v>
      </c>
      <c r="R378" s="204">
        <v>5.2</v>
      </c>
      <c r="S378" s="203">
        <v>5.2</v>
      </c>
      <c r="T378" s="203">
        <v>0</v>
      </c>
      <c r="V378" s="198">
        <v>2148</v>
      </c>
      <c r="W378" s="202">
        <v>6.9</v>
      </c>
      <c r="X378" s="203">
        <v>6.7</v>
      </c>
      <c r="Y378" s="203">
        <v>0.2</v>
      </c>
      <c r="Z378" s="204">
        <v>5.2</v>
      </c>
      <c r="AA378" s="203">
        <v>5.2</v>
      </c>
      <c r="AB378" s="203">
        <v>0</v>
      </c>
      <c r="AD378" s="198">
        <v>2148</v>
      </c>
      <c r="AE378" s="202" t="s">
        <v>82</v>
      </c>
      <c r="AF378" s="203" t="s">
        <v>82</v>
      </c>
      <c r="AG378" s="203" t="s">
        <v>82</v>
      </c>
      <c r="AH378" s="204" t="s">
        <v>82</v>
      </c>
      <c r="AI378" s="203" t="s">
        <v>82</v>
      </c>
      <c r="AJ378" s="203" t="s">
        <v>82</v>
      </c>
    </row>
    <row customFormat="1" r="379" s="205" spans="1:36" x14ac:dyDescent="0.2">
      <c r="A379" s="193">
        <v>375</v>
      </c>
      <c r="B379" s="215">
        <v>9</v>
      </c>
      <c r="C379" s="195" t="s">
        <v>260</v>
      </c>
      <c r="D379" s="195">
        <v>6</v>
      </c>
      <c r="E379" s="195" t="s">
        <v>272</v>
      </c>
      <c r="F379" s="196">
        <v>44534</v>
      </c>
      <c r="G379" s="197" t="s">
        <v>9</v>
      </c>
      <c r="H379" s="198">
        <v>2149</v>
      </c>
      <c r="I379" s="196" t="s">
        <v>275</v>
      </c>
      <c r="J379" s="199">
        <v>2000</v>
      </c>
      <c r="K379" s="198">
        <v>2053</v>
      </c>
      <c r="L379" s="200">
        <v>0</v>
      </c>
      <c r="M379" s="201"/>
      <c r="N379" s="199">
        <v>2149</v>
      </c>
      <c r="O379" s="202">
        <v>6.7</v>
      </c>
      <c r="P379" s="203">
        <v>6.5</v>
      </c>
      <c r="Q379" s="203">
        <v>0.2</v>
      </c>
      <c r="R379" s="204">
        <v>4.8</v>
      </c>
      <c r="S379" s="203">
        <v>4.7</v>
      </c>
      <c r="T379" s="203">
        <v>0.1</v>
      </c>
      <c r="V379" s="198">
        <v>2149</v>
      </c>
      <c r="W379" s="202">
        <v>6.6</v>
      </c>
      <c r="X379" s="203">
        <v>6.5</v>
      </c>
      <c r="Y379" s="203">
        <v>0.1</v>
      </c>
      <c r="Z379" s="204">
        <v>4.8</v>
      </c>
      <c r="AA379" s="203">
        <v>4.7</v>
      </c>
      <c r="AB379" s="203">
        <v>0.1</v>
      </c>
      <c r="AD379" s="198">
        <v>2149</v>
      </c>
      <c r="AE379" s="202">
        <v>-0.10000000000000053</v>
      </c>
      <c r="AF379" s="203" t="s">
        <v>82</v>
      </c>
      <c r="AG379" s="203">
        <v>-0.1</v>
      </c>
      <c r="AH379" s="204" t="s">
        <v>82</v>
      </c>
      <c r="AI379" s="203" t="s">
        <v>82</v>
      </c>
      <c r="AJ379" s="203" t="s">
        <v>82</v>
      </c>
    </row>
    <row customFormat="1" r="380" s="205" spans="1:36" x14ac:dyDescent="0.2">
      <c r="A380" s="193">
        <v>376</v>
      </c>
      <c r="B380" s="215">
        <v>9</v>
      </c>
      <c r="C380" s="195" t="s">
        <v>260</v>
      </c>
      <c r="D380" s="195">
        <v>6</v>
      </c>
      <c r="E380" s="195" t="s">
        <v>272</v>
      </c>
      <c r="F380" s="196">
        <v>44541</v>
      </c>
      <c r="G380" s="197" t="s">
        <v>9</v>
      </c>
      <c r="H380" s="198">
        <v>2150</v>
      </c>
      <c r="I380" s="196" t="s">
        <v>275</v>
      </c>
      <c r="J380" s="199">
        <v>2000</v>
      </c>
      <c r="K380" s="198">
        <v>2053</v>
      </c>
      <c r="L380" s="200">
        <v>0</v>
      </c>
      <c r="M380" s="201"/>
      <c r="N380" s="199">
        <v>2150</v>
      </c>
      <c r="O380" s="202">
        <v>7.5</v>
      </c>
      <c r="P380" s="203">
        <v>7.3</v>
      </c>
      <c r="Q380" s="203">
        <v>0.2</v>
      </c>
      <c r="R380" s="204">
        <v>5.5</v>
      </c>
      <c r="S380" s="203">
        <v>5.4</v>
      </c>
      <c r="T380" s="203">
        <v>0.1</v>
      </c>
      <c r="V380" s="198">
        <v>2150</v>
      </c>
      <c r="W380" s="202">
        <v>7.4</v>
      </c>
      <c r="X380" s="203">
        <v>7.3</v>
      </c>
      <c r="Y380" s="203">
        <v>0.1</v>
      </c>
      <c r="Z380" s="204">
        <v>5.5</v>
      </c>
      <c r="AA380" s="203">
        <v>5.4</v>
      </c>
      <c r="AB380" s="203">
        <v>0.1</v>
      </c>
      <c r="AD380" s="198">
        <v>2150</v>
      </c>
      <c r="AE380" s="202">
        <v>-9.9999999999999645E-2</v>
      </c>
      <c r="AF380" s="203" t="s">
        <v>82</v>
      </c>
      <c r="AG380" s="203">
        <v>-0.1</v>
      </c>
      <c r="AH380" s="204" t="s">
        <v>82</v>
      </c>
      <c r="AI380" s="203" t="s">
        <v>82</v>
      </c>
      <c r="AJ380" s="203" t="s">
        <v>82</v>
      </c>
    </row>
    <row customFormat="1" r="381" s="205" spans="1:36" x14ac:dyDescent="0.2">
      <c r="A381" s="193">
        <v>377</v>
      </c>
      <c r="B381" s="215">
        <v>10</v>
      </c>
      <c r="C381" s="195" t="s">
        <v>276</v>
      </c>
      <c r="D381" s="195">
        <v>1</v>
      </c>
      <c r="E381" s="195" t="s">
        <v>277</v>
      </c>
      <c r="F381" s="196">
        <v>44326</v>
      </c>
      <c r="G381" s="197" t="s">
        <v>4</v>
      </c>
      <c r="H381" s="198">
        <v>2120</v>
      </c>
      <c r="I381" s="196" t="s">
        <v>278</v>
      </c>
      <c r="J381" s="199">
        <v>700</v>
      </c>
      <c r="K381" s="198">
        <v>759</v>
      </c>
      <c r="L381" s="200">
        <v>0</v>
      </c>
      <c r="M381" s="201"/>
      <c r="N381" s="199">
        <v>2120</v>
      </c>
      <c r="O381" s="202">
        <v>7.9</v>
      </c>
      <c r="P381" s="203">
        <v>6.9</v>
      </c>
      <c r="Q381" s="203">
        <v>1</v>
      </c>
      <c r="R381" s="204">
        <v>4.8</v>
      </c>
      <c r="S381" s="203">
        <v>4.8</v>
      </c>
      <c r="T381" s="203" t="s">
        <v>84</v>
      </c>
      <c r="V381" s="198">
        <v>2120</v>
      </c>
      <c r="W381" s="202">
        <v>7</v>
      </c>
      <c r="X381" s="203">
        <v>6.9</v>
      </c>
      <c r="Y381" s="203">
        <v>0.1</v>
      </c>
      <c r="Z381" s="204">
        <v>4.8</v>
      </c>
      <c r="AA381" s="203">
        <v>4.8</v>
      </c>
      <c r="AB381" s="203" t="s">
        <v>84</v>
      </c>
      <c r="AD381" s="198">
        <v>2120</v>
      </c>
      <c r="AE381" s="202">
        <v>-0.90000000000000036</v>
      </c>
      <c r="AF381" s="203" t="s">
        <v>82</v>
      </c>
      <c r="AG381" s="203">
        <v>-0.9</v>
      </c>
      <c r="AH381" s="204" t="s">
        <v>82</v>
      </c>
      <c r="AI381" s="203" t="s">
        <v>82</v>
      </c>
      <c r="AJ381" s="203" t="s">
        <v>82</v>
      </c>
    </row>
    <row customFormat="1" r="382" s="205" spans="1:36" x14ac:dyDescent="0.2">
      <c r="A382" s="193">
        <v>378</v>
      </c>
      <c r="B382" s="215">
        <v>10</v>
      </c>
      <c r="C382" s="195" t="s">
        <v>276</v>
      </c>
      <c r="D382" s="195">
        <v>1</v>
      </c>
      <c r="E382" s="195" t="s">
        <v>277</v>
      </c>
      <c r="F382" s="196">
        <v>44333</v>
      </c>
      <c r="G382" s="197" t="s">
        <v>4</v>
      </c>
      <c r="H382" s="198">
        <v>2121</v>
      </c>
      <c r="I382" s="196" t="s">
        <v>278</v>
      </c>
      <c r="J382" s="199">
        <v>700</v>
      </c>
      <c r="K382" s="198">
        <v>759</v>
      </c>
      <c r="L382" s="200">
        <v>0</v>
      </c>
      <c r="M382" s="201"/>
      <c r="N382" s="199">
        <v>2121</v>
      </c>
      <c r="O382" s="202">
        <v>8.3000000000000007</v>
      </c>
      <c r="P382" s="203">
        <v>7.3</v>
      </c>
      <c r="Q382" s="203">
        <v>1</v>
      </c>
      <c r="R382" s="204">
        <v>4.8</v>
      </c>
      <c r="S382" s="203">
        <v>4.8</v>
      </c>
      <c r="T382" s="203" t="s">
        <v>84</v>
      </c>
      <c r="V382" s="198">
        <v>2121</v>
      </c>
      <c r="W382" s="202">
        <v>7.4</v>
      </c>
      <c r="X382" s="203">
        <v>7.3</v>
      </c>
      <c r="Y382" s="203">
        <v>0.1</v>
      </c>
      <c r="Z382" s="204">
        <v>4.8</v>
      </c>
      <c r="AA382" s="203">
        <v>4.8</v>
      </c>
      <c r="AB382" s="203" t="s">
        <v>84</v>
      </c>
      <c r="AD382" s="198">
        <v>2121</v>
      </c>
      <c r="AE382" s="202">
        <v>-0.90000000000000036</v>
      </c>
      <c r="AF382" s="203" t="s">
        <v>82</v>
      </c>
      <c r="AG382" s="203">
        <v>-0.9</v>
      </c>
      <c r="AH382" s="204" t="s">
        <v>82</v>
      </c>
      <c r="AI382" s="203" t="s">
        <v>82</v>
      </c>
      <c r="AJ382" s="203" t="s">
        <v>82</v>
      </c>
    </row>
    <row customFormat="1" r="383" s="205" spans="1:36" x14ac:dyDescent="0.2">
      <c r="A383" s="193">
        <v>379</v>
      </c>
      <c r="B383" s="215">
        <v>10</v>
      </c>
      <c r="C383" s="195" t="s">
        <v>276</v>
      </c>
      <c r="D383" s="195">
        <v>1</v>
      </c>
      <c r="E383" s="195" t="s">
        <v>277</v>
      </c>
      <c r="F383" s="196">
        <v>44340</v>
      </c>
      <c r="G383" s="197" t="s">
        <v>4</v>
      </c>
      <c r="H383" s="198">
        <v>2122</v>
      </c>
      <c r="I383" s="196" t="s">
        <v>278</v>
      </c>
      <c r="J383" s="199">
        <v>700</v>
      </c>
      <c r="K383" s="198">
        <v>759</v>
      </c>
      <c r="L383" s="200">
        <v>0</v>
      </c>
      <c r="M383" s="201"/>
      <c r="N383" s="199">
        <v>2122</v>
      </c>
      <c r="O383" s="202">
        <v>8.8000000000000007</v>
      </c>
      <c r="P383" s="203">
        <v>7.8</v>
      </c>
      <c r="Q383" s="203">
        <v>1</v>
      </c>
      <c r="R383" s="204">
        <v>4.9000000000000004</v>
      </c>
      <c r="S383" s="203">
        <v>4.9000000000000004</v>
      </c>
      <c r="T383" s="203" t="s">
        <v>84</v>
      </c>
      <c r="V383" s="198">
        <v>2122</v>
      </c>
      <c r="W383" s="202">
        <v>7.9</v>
      </c>
      <c r="X383" s="203">
        <v>7.8</v>
      </c>
      <c r="Y383" s="203">
        <v>0.1</v>
      </c>
      <c r="Z383" s="204">
        <v>4.9000000000000004</v>
      </c>
      <c r="AA383" s="203">
        <v>4.9000000000000004</v>
      </c>
      <c r="AB383" s="203" t="s">
        <v>84</v>
      </c>
      <c r="AD383" s="198">
        <v>2122</v>
      </c>
      <c r="AE383" s="202">
        <v>-0.90000000000000036</v>
      </c>
      <c r="AF383" s="203" t="s">
        <v>82</v>
      </c>
      <c r="AG383" s="203">
        <v>-0.9</v>
      </c>
      <c r="AH383" s="204" t="s">
        <v>82</v>
      </c>
      <c r="AI383" s="203" t="s">
        <v>82</v>
      </c>
      <c r="AJ383" s="203" t="s">
        <v>82</v>
      </c>
    </row>
    <row customFormat="1" r="384" s="205" spans="1:36" x14ac:dyDescent="0.2">
      <c r="A384" s="193">
        <v>380</v>
      </c>
      <c r="B384" s="215">
        <v>10</v>
      </c>
      <c r="C384" s="195" t="s">
        <v>276</v>
      </c>
      <c r="D384" s="195">
        <v>1</v>
      </c>
      <c r="E384" s="195" t="s">
        <v>277</v>
      </c>
      <c r="F384" s="196">
        <v>44347</v>
      </c>
      <c r="G384" s="197" t="s">
        <v>4</v>
      </c>
      <c r="H384" s="198">
        <v>2123</v>
      </c>
      <c r="I384" s="196" t="s">
        <v>278</v>
      </c>
      <c r="J384" s="199">
        <v>700</v>
      </c>
      <c r="K384" s="198">
        <v>759</v>
      </c>
      <c r="L384" s="200">
        <v>0</v>
      </c>
      <c r="M384" s="201"/>
      <c r="N384" s="199">
        <v>2123</v>
      </c>
      <c r="O384" s="202">
        <v>8.8000000000000007</v>
      </c>
      <c r="P384" s="203">
        <v>7.8</v>
      </c>
      <c r="Q384" s="203">
        <v>1</v>
      </c>
      <c r="R384" s="204">
        <v>5.3</v>
      </c>
      <c r="S384" s="203">
        <v>5.3</v>
      </c>
      <c r="T384" s="203" t="s">
        <v>84</v>
      </c>
      <c r="V384" s="198">
        <v>2123</v>
      </c>
      <c r="W384" s="202">
        <v>7.9</v>
      </c>
      <c r="X384" s="203">
        <v>7.8</v>
      </c>
      <c r="Y384" s="203">
        <v>0.1</v>
      </c>
      <c r="Z384" s="204">
        <v>5.3</v>
      </c>
      <c r="AA384" s="203">
        <v>5.3</v>
      </c>
      <c r="AB384" s="203" t="s">
        <v>84</v>
      </c>
      <c r="AD384" s="198">
        <v>2123</v>
      </c>
      <c r="AE384" s="202">
        <v>-0.90000000000000036</v>
      </c>
      <c r="AF384" s="203" t="s">
        <v>82</v>
      </c>
      <c r="AG384" s="203">
        <v>-0.9</v>
      </c>
      <c r="AH384" s="204" t="s">
        <v>82</v>
      </c>
      <c r="AI384" s="203" t="s">
        <v>82</v>
      </c>
      <c r="AJ384" s="203" t="s">
        <v>82</v>
      </c>
    </row>
    <row customFormat="1" r="385" s="205" spans="1:36" x14ac:dyDescent="0.2">
      <c r="A385" s="193">
        <v>381</v>
      </c>
      <c r="B385" s="215">
        <v>10</v>
      </c>
      <c r="C385" s="195" t="s">
        <v>276</v>
      </c>
      <c r="D385" s="195">
        <v>1</v>
      </c>
      <c r="E385" s="195" t="s">
        <v>277</v>
      </c>
      <c r="F385" s="196">
        <v>44576</v>
      </c>
      <c r="G385" s="197" t="s">
        <v>9</v>
      </c>
      <c r="H385" s="198">
        <v>2203</v>
      </c>
      <c r="I385" s="196" t="s">
        <v>279</v>
      </c>
      <c r="J385" s="199">
        <v>1900</v>
      </c>
      <c r="K385" s="198">
        <v>2053</v>
      </c>
      <c r="L385" s="200">
        <v>0</v>
      </c>
      <c r="M385" s="201"/>
      <c r="N385" s="199">
        <v>2203</v>
      </c>
      <c r="O385" s="202">
        <v>7.1</v>
      </c>
      <c r="P385" s="203">
        <v>6.3</v>
      </c>
      <c r="Q385" s="203">
        <v>0.8</v>
      </c>
      <c r="R385" s="204">
        <v>9.1</v>
      </c>
      <c r="S385" s="203">
        <v>8.5</v>
      </c>
      <c r="T385" s="203">
        <v>0.6</v>
      </c>
      <c r="V385" s="198">
        <v>2203</v>
      </c>
      <c r="W385" s="202">
        <v>6.7</v>
      </c>
      <c r="X385" s="203">
        <v>6.3</v>
      </c>
      <c r="Y385" s="203">
        <v>0.4</v>
      </c>
      <c r="Z385" s="204">
        <v>9.1</v>
      </c>
      <c r="AA385" s="203">
        <v>8.5</v>
      </c>
      <c r="AB385" s="203">
        <v>0.6</v>
      </c>
      <c r="AD385" s="198">
        <v>2203</v>
      </c>
      <c r="AE385" s="202">
        <v>-0.39999999999999947</v>
      </c>
      <c r="AF385" s="203" t="s">
        <v>82</v>
      </c>
      <c r="AG385" s="203">
        <v>-0.4</v>
      </c>
      <c r="AH385" s="204" t="s">
        <v>82</v>
      </c>
      <c r="AI385" s="203" t="s">
        <v>82</v>
      </c>
      <c r="AJ385" s="203" t="s">
        <v>82</v>
      </c>
    </row>
    <row customFormat="1" r="386" s="205" spans="1:36" x14ac:dyDescent="0.2">
      <c r="A386" s="193">
        <v>382</v>
      </c>
      <c r="B386" s="215">
        <v>10</v>
      </c>
      <c r="C386" s="195" t="s">
        <v>276</v>
      </c>
      <c r="D386" s="195">
        <v>1</v>
      </c>
      <c r="E386" s="195" t="s">
        <v>277</v>
      </c>
      <c r="F386" s="196">
        <v>44583</v>
      </c>
      <c r="G386" s="197" t="s">
        <v>9</v>
      </c>
      <c r="H386" s="198">
        <v>2204</v>
      </c>
      <c r="I386" s="196" t="s">
        <v>280</v>
      </c>
      <c r="J386" s="199">
        <v>1900</v>
      </c>
      <c r="K386" s="198">
        <v>2053</v>
      </c>
      <c r="L386" s="200">
        <v>0</v>
      </c>
      <c r="M386" s="201"/>
      <c r="N386" s="199">
        <v>2204</v>
      </c>
      <c r="O386" s="202">
        <v>6.8</v>
      </c>
      <c r="P386" s="203">
        <v>6</v>
      </c>
      <c r="Q386" s="203">
        <v>0.8</v>
      </c>
      <c r="R386" s="204">
        <v>8.6</v>
      </c>
      <c r="S386" s="203">
        <v>8</v>
      </c>
      <c r="T386" s="203">
        <v>0.6</v>
      </c>
      <c r="V386" s="198">
        <v>2204</v>
      </c>
      <c r="W386" s="202">
        <v>6.4</v>
      </c>
      <c r="X386" s="203">
        <v>6</v>
      </c>
      <c r="Y386" s="203">
        <v>0.4</v>
      </c>
      <c r="Z386" s="204">
        <v>8.6</v>
      </c>
      <c r="AA386" s="203">
        <v>8</v>
      </c>
      <c r="AB386" s="203">
        <v>0.6</v>
      </c>
      <c r="AD386" s="198">
        <v>2204</v>
      </c>
      <c r="AE386" s="202">
        <v>-0.39999999999999947</v>
      </c>
      <c r="AF386" s="203" t="s">
        <v>82</v>
      </c>
      <c r="AG386" s="203">
        <v>-0.4</v>
      </c>
      <c r="AH386" s="204" t="s">
        <v>82</v>
      </c>
      <c r="AI386" s="203" t="s">
        <v>82</v>
      </c>
      <c r="AJ386" s="203" t="s">
        <v>82</v>
      </c>
    </row>
    <row customFormat="1" r="387" s="205" spans="1:36" x14ac:dyDescent="0.2">
      <c r="A387" s="193">
        <v>383</v>
      </c>
      <c r="B387" s="215">
        <v>10</v>
      </c>
      <c r="C387" s="195" t="s">
        <v>276</v>
      </c>
      <c r="D387" s="195">
        <v>1</v>
      </c>
      <c r="E387" s="195" t="s">
        <v>277</v>
      </c>
      <c r="F387" s="196">
        <v>44590</v>
      </c>
      <c r="G387" s="197" t="s">
        <v>9</v>
      </c>
      <c r="H387" s="198">
        <v>2205</v>
      </c>
      <c r="I387" s="196" t="s">
        <v>281</v>
      </c>
      <c r="J387" s="199">
        <v>1900</v>
      </c>
      <c r="K387" s="198">
        <v>1959</v>
      </c>
      <c r="L387" s="200">
        <v>0</v>
      </c>
      <c r="M387" s="201"/>
      <c r="N387" s="199">
        <v>2205</v>
      </c>
      <c r="O387" s="202">
        <v>7.2</v>
      </c>
      <c r="P387" s="203">
        <v>5.8</v>
      </c>
      <c r="Q387" s="203">
        <v>1.4</v>
      </c>
      <c r="R387" s="204">
        <v>8.4</v>
      </c>
      <c r="S387" s="203">
        <v>8.4</v>
      </c>
      <c r="T387" s="203" t="s">
        <v>84</v>
      </c>
      <c r="V387" s="198">
        <v>2205</v>
      </c>
      <c r="W387" s="202">
        <v>6.3</v>
      </c>
      <c r="X387" s="203">
        <v>5.8</v>
      </c>
      <c r="Y387" s="203">
        <v>0.5</v>
      </c>
      <c r="Z387" s="204">
        <v>8.4</v>
      </c>
      <c r="AA387" s="203">
        <v>8.4</v>
      </c>
      <c r="AB387" s="203" t="s">
        <v>84</v>
      </c>
      <c r="AD387" s="198">
        <v>2205</v>
      </c>
      <c r="AE387" s="202">
        <v>-0.90000000000000036</v>
      </c>
      <c r="AF387" s="203" t="s">
        <v>82</v>
      </c>
      <c r="AG387" s="203">
        <v>-0.89999999999999991</v>
      </c>
      <c r="AH387" s="204" t="s">
        <v>82</v>
      </c>
      <c r="AI387" s="203" t="s">
        <v>82</v>
      </c>
      <c r="AJ387" s="203" t="s">
        <v>82</v>
      </c>
    </row>
    <row customFormat="1" r="388" s="205" spans="1:36" x14ac:dyDescent="0.2">
      <c r="A388" s="193">
        <v>384</v>
      </c>
      <c r="B388" s="215">
        <v>10</v>
      </c>
      <c r="C388" s="195" t="s">
        <v>276</v>
      </c>
      <c r="D388" s="195">
        <v>1</v>
      </c>
      <c r="E388" s="195" t="s">
        <v>277</v>
      </c>
      <c r="F388" s="196">
        <v>44597</v>
      </c>
      <c r="G388" s="197" t="s">
        <v>9</v>
      </c>
      <c r="H388" s="198">
        <v>2206</v>
      </c>
      <c r="I388" s="196" t="s">
        <v>281</v>
      </c>
      <c r="J388" s="199">
        <v>1900</v>
      </c>
      <c r="K388" s="198">
        <v>1959</v>
      </c>
      <c r="L388" s="200">
        <v>0</v>
      </c>
      <c r="M388" s="201"/>
      <c r="N388" s="199">
        <v>2206</v>
      </c>
      <c r="O388" s="202">
        <v>6.5</v>
      </c>
      <c r="P388" s="203">
        <v>5.3</v>
      </c>
      <c r="Q388" s="203">
        <v>1.2</v>
      </c>
      <c r="R388" s="204">
        <v>7.8</v>
      </c>
      <c r="S388" s="203">
        <v>7.8</v>
      </c>
      <c r="T388" s="203" t="s">
        <v>84</v>
      </c>
      <c r="V388" s="198">
        <v>2206</v>
      </c>
      <c r="W388" s="202">
        <v>5.5</v>
      </c>
      <c r="X388" s="203">
        <v>5.3</v>
      </c>
      <c r="Y388" s="203">
        <v>0.2</v>
      </c>
      <c r="Z388" s="204">
        <v>7.8</v>
      </c>
      <c r="AA388" s="203">
        <v>7.8</v>
      </c>
      <c r="AB388" s="203" t="s">
        <v>84</v>
      </c>
      <c r="AD388" s="198">
        <v>2206</v>
      </c>
      <c r="AE388" s="202">
        <v>-1</v>
      </c>
      <c r="AF388" s="203" t="s">
        <v>82</v>
      </c>
      <c r="AG388" s="203">
        <v>-1</v>
      </c>
      <c r="AH388" s="204" t="s">
        <v>82</v>
      </c>
      <c r="AI388" s="203" t="s">
        <v>82</v>
      </c>
      <c r="AJ388" s="203" t="s">
        <v>82</v>
      </c>
    </row>
    <row customFormat="1" r="389" s="205" spans="1:36" x14ac:dyDescent="0.2">
      <c r="A389" s="193">
        <v>385</v>
      </c>
      <c r="B389" s="215">
        <v>10</v>
      </c>
      <c r="C389" s="195" t="s">
        <v>276</v>
      </c>
      <c r="D389" s="195">
        <v>2</v>
      </c>
      <c r="E389" s="195" t="s">
        <v>282</v>
      </c>
      <c r="F389" s="196">
        <v>44097</v>
      </c>
      <c r="G389" s="197" t="s">
        <v>6</v>
      </c>
      <c r="H389" s="198">
        <v>2039</v>
      </c>
      <c r="I389" s="196" t="s">
        <v>176</v>
      </c>
      <c r="J389" s="199">
        <v>800</v>
      </c>
      <c r="K389" s="198">
        <v>929</v>
      </c>
      <c r="L389" s="200">
        <v>0</v>
      </c>
      <c r="M389" s="201"/>
      <c r="N389" s="199">
        <v>2039</v>
      </c>
      <c r="O389" s="202">
        <v>3.2</v>
      </c>
      <c r="P389" s="203">
        <v>3.1</v>
      </c>
      <c r="Q389" s="203">
        <v>0.1</v>
      </c>
      <c r="R389" s="204">
        <v>2.5</v>
      </c>
      <c r="S389" s="203">
        <v>2.5</v>
      </c>
      <c r="T389" s="203">
        <v>0</v>
      </c>
      <c r="V389" s="198">
        <v>2039</v>
      </c>
      <c r="W389" s="202">
        <v>3.1</v>
      </c>
      <c r="X389" s="203">
        <v>3.1</v>
      </c>
      <c r="Y389" s="203">
        <v>0</v>
      </c>
      <c r="Z389" s="204">
        <v>2.5</v>
      </c>
      <c r="AA389" s="203">
        <v>2.5</v>
      </c>
      <c r="AB389" s="203">
        <v>0</v>
      </c>
      <c r="AD389" s="198">
        <v>2039</v>
      </c>
      <c r="AE389" s="202">
        <v>-0.10000000000000009</v>
      </c>
      <c r="AF389" s="203" t="s">
        <v>82</v>
      </c>
      <c r="AG389" s="203">
        <v>-0.1</v>
      </c>
      <c r="AH389" s="204" t="s">
        <v>82</v>
      </c>
      <c r="AI389" s="203" t="s">
        <v>82</v>
      </c>
      <c r="AJ389" s="203" t="s">
        <v>82</v>
      </c>
    </row>
    <row customFormat="1" r="390" s="205" spans="1:36" x14ac:dyDescent="0.2">
      <c r="A390" s="193">
        <v>386</v>
      </c>
      <c r="B390" s="215">
        <v>10</v>
      </c>
      <c r="C390" s="195" t="s">
        <v>276</v>
      </c>
      <c r="D390" s="195">
        <v>2</v>
      </c>
      <c r="E390" s="195" t="s">
        <v>282</v>
      </c>
      <c r="F390" s="196">
        <v>44104</v>
      </c>
      <c r="G390" s="197" t="s">
        <v>6</v>
      </c>
      <c r="H390" s="198">
        <v>2040</v>
      </c>
      <c r="I390" s="196" t="s">
        <v>176</v>
      </c>
      <c r="J390" s="199">
        <v>800</v>
      </c>
      <c r="K390" s="198">
        <v>929</v>
      </c>
      <c r="L390" s="200">
        <v>0</v>
      </c>
      <c r="M390" s="201"/>
      <c r="N390" s="199">
        <v>2040</v>
      </c>
      <c r="O390" s="202">
        <v>3.3</v>
      </c>
      <c r="P390" s="203">
        <v>3.2</v>
      </c>
      <c r="Q390" s="203">
        <v>0.1</v>
      </c>
      <c r="R390" s="204">
        <v>2.8</v>
      </c>
      <c r="S390" s="203">
        <v>2.8</v>
      </c>
      <c r="T390" s="203">
        <v>0</v>
      </c>
      <c r="V390" s="198">
        <v>2040</v>
      </c>
      <c r="W390" s="202">
        <v>3.2</v>
      </c>
      <c r="X390" s="203">
        <v>3.2</v>
      </c>
      <c r="Y390" s="203">
        <v>0</v>
      </c>
      <c r="Z390" s="204">
        <v>2.8</v>
      </c>
      <c r="AA390" s="203">
        <v>2.8</v>
      </c>
      <c r="AB390" s="203">
        <v>0</v>
      </c>
      <c r="AD390" s="198">
        <v>2040</v>
      </c>
      <c r="AE390" s="202">
        <v>-9.9999999999999645E-2</v>
      </c>
      <c r="AF390" s="203" t="s">
        <v>82</v>
      </c>
      <c r="AG390" s="203">
        <v>-0.1</v>
      </c>
      <c r="AH390" s="204" t="s">
        <v>82</v>
      </c>
      <c r="AI390" s="203" t="s">
        <v>82</v>
      </c>
      <c r="AJ390" s="203" t="s">
        <v>82</v>
      </c>
    </row>
    <row customFormat="1" r="391" s="205" spans="1:36" x14ac:dyDescent="0.2">
      <c r="A391" s="193">
        <v>387</v>
      </c>
      <c r="B391" s="215">
        <v>10</v>
      </c>
      <c r="C391" s="195" t="s">
        <v>276</v>
      </c>
      <c r="D391" s="195">
        <v>2</v>
      </c>
      <c r="E391" s="195" t="s">
        <v>282</v>
      </c>
      <c r="F391" s="196">
        <v>44111</v>
      </c>
      <c r="G391" s="197" t="s">
        <v>6</v>
      </c>
      <c r="H391" s="198">
        <v>2041</v>
      </c>
      <c r="I391" s="196" t="s">
        <v>176</v>
      </c>
      <c r="J391" s="199">
        <v>800</v>
      </c>
      <c r="K391" s="198">
        <v>929</v>
      </c>
      <c r="L391" s="200">
        <v>0</v>
      </c>
      <c r="M391" s="201"/>
      <c r="N391" s="199">
        <v>2041</v>
      </c>
      <c r="O391" s="202">
        <v>3.2</v>
      </c>
      <c r="P391" s="203">
        <v>3.1</v>
      </c>
      <c r="Q391" s="203">
        <v>0.1</v>
      </c>
      <c r="R391" s="204">
        <v>2.9</v>
      </c>
      <c r="S391" s="203">
        <v>2.9</v>
      </c>
      <c r="T391" s="203">
        <v>0</v>
      </c>
      <c r="V391" s="198">
        <v>2041</v>
      </c>
      <c r="W391" s="202">
        <v>3.1</v>
      </c>
      <c r="X391" s="203">
        <v>3.1</v>
      </c>
      <c r="Y391" s="203">
        <v>0</v>
      </c>
      <c r="Z391" s="204">
        <v>2.9</v>
      </c>
      <c r="AA391" s="203">
        <v>2.9</v>
      </c>
      <c r="AB391" s="203">
        <v>0</v>
      </c>
      <c r="AD391" s="198">
        <v>2041</v>
      </c>
      <c r="AE391" s="202">
        <v>-0.10000000000000009</v>
      </c>
      <c r="AF391" s="203" t="s">
        <v>82</v>
      </c>
      <c r="AG391" s="203">
        <v>-0.1</v>
      </c>
      <c r="AH391" s="204" t="s">
        <v>82</v>
      </c>
      <c r="AI391" s="203" t="s">
        <v>82</v>
      </c>
      <c r="AJ391" s="203" t="s">
        <v>82</v>
      </c>
    </row>
    <row customFormat="1" r="392" s="205" spans="1:36" x14ac:dyDescent="0.2">
      <c r="A392" s="193">
        <v>388</v>
      </c>
      <c r="B392" s="215">
        <v>10</v>
      </c>
      <c r="C392" s="195" t="s">
        <v>276</v>
      </c>
      <c r="D392" s="195">
        <v>2</v>
      </c>
      <c r="E392" s="195" t="s">
        <v>282</v>
      </c>
      <c r="F392" s="196">
        <v>44118</v>
      </c>
      <c r="G392" s="197" t="s">
        <v>6</v>
      </c>
      <c r="H392" s="198">
        <v>2042</v>
      </c>
      <c r="I392" s="196" t="s">
        <v>176</v>
      </c>
      <c r="J392" s="199">
        <v>800</v>
      </c>
      <c r="K392" s="198">
        <v>929</v>
      </c>
      <c r="L392" s="200">
        <v>0</v>
      </c>
      <c r="M392" s="201"/>
      <c r="N392" s="199">
        <v>2042</v>
      </c>
      <c r="O392" s="202">
        <v>3.4</v>
      </c>
      <c r="P392" s="203">
        <v>3.3</v>
      </c>
      <c r="Q392" s="203">
        <v>0.1</v>
      </c>
      <c r="R392" s="204">
        <v>3</v>
      </c>
      <c r="S392" s="203">
        <v>3</v>
      </c>
      <c r="T392" s="203">
        <v>0</v>
      </c>
      <c r="V392" s="198">
        <v>2042</v>
      </c>
      <c r="W392" s="202">
        <v>3.3</v>
      </c>
      <c r="X392" s="203">
        <v>3.3</v>
      </c>
      <c r="Y392" s="203">
        <v>0</v>
      </c>
      <c r="Z392" s="204">
        <v>3</v>
      </c>
      <c r="AA392" s="203">
        <v>3</v>
      </c>
      <c r="AB392" s="203">
        <v>0</v>
      </c>
      <c r="AD392" s="198">
        <v>2042</v>
      </c>
      <c r="AE392" s="202">
        <v>-0.10000000000000009</v>
      </c>
      <c r="AF392" s="203" t="s">
        <v>82</v>
      </c>
      <c r="AG392" s="203">
        <v>-0.1</v>
      </c>
      <c r="AH392" s="204" t="s">
        <v>82</v>
      </c>
      <c r="AI392" s="203" t="s">
        <v>82</v>
      </c>
      <c r="AJ392" s="203" t="s">
        <v>82</v>
      </c>
    </row>
    <row customFormat="1" r="393" s="205" spans="1:36" x14ac:dyDescent="0.2">
      <c r="A393" s="193">
        <v>389</v>
      </c>
      <c r="B393" s="215">
        <v>10</v>
      </c>
      <c r="C393" s="195" t="s">
        <v>276</v>
      </c>
      <c r="D393" s="195">
        <v>2</v>
      </c>
      <c r="E393" s="195" t="s">
        <v>282</v>
      </c>
      <c r="F393" s="196">
        <v>44145</v>
      </c>
      <c r="G393" s="197" t="s">
        <v>5</v>
      </c>
      <c r="H393" s="198">
        <v>2046</v>
      </c>
      <c r="I393" s="196" t="s">
        <v>283</v>
      </c>
      <c r="J393" s="199">
        <v>1155</v>
      </c>
      <c r="K393" s="198">
        <v>1354</v>
      </c>
      <c r="L393" s="200">
        <v>0</v>
      </c>
      <c r="M393" s="201"/>
      <c r="N393" s="199">
        <v>2046</v>
      </c>
      <c r="O393" s="202">
        <v>2.9</v>
      </c>
      <c r="P393" s="203">
        <v>2.9</v>
      </c>
      <c r="Q393" s="203">
        <v>0</v>
      </c>
      <c r="R393" s="204">
        <v>2</v>
      </c>
      <c r="S393" s="203">
        <v>2</v>
      </c>
      <c r="T393" s="203">
        <v>0</v>
      </c>
      <c r="V393" s="198">
        <v>2046</v>
      </c>
      <c r="W393" s="202">
        <v>2.9</v>
      </c>
      <c r="X393" s="203">
        <v>2.9</v>
      </c>
      <c r="Y393" s="203">
        <v>0</v>
      </c>
      <c r="Z393" s="204">
        <v>2</v>
      </c>
      <c r="AA393" s="203">
        <v>2</v>
      </c>
      <c r="AB393" s="203">
        <v>0</v>
      </c>
      <c r="AD393" s="198">
        <v>2046</v>
      </c>
      <c r="AE393" s="202" t="s">
        <v>82</v>
      </c>
      <c r="AF393" s="203" t="s">
        <v>82</v>
      </c>
      <c r="AG393" s="203" t="s">
        <v>82</v>
      </c>
      <c r="AH393" s="204" t="s">
        <v>82</v>
      </c>
      <c r="AI393" s="203" t="s">
        <v>82</v>
      </c>
      <c r="AJ393" s="203" t="s">
        <v>82</v>
      </c>
    </row>
    <row customFormat="1" r="394" s="205" spans="1:36" x14ac:dyDescent="0.2">
      <c r="A394" s="193">
        <v>390</v>
      </c>
      <c r="B394" s="215">
        <v>10</v>
      </c>
      <c r="C394" s="195" t="s">
        <v>276</v>
      </c>
      <c r="D394" s="195">
        <v>2</v>
      </c>
      <c r="E394" s="195" t="s">
        <v>282</v>
      </c>
      <c r="F394" s="196">
        <v>44152</v>
      </c>
      <c r="G394" s="197" t="s">
        <v>5</v>
      </c>
      <c r="H394" s="198">
        <v>2047</v>
      </c>
      <c r="I394" s="196" t="s">
        <v>283</v>
      </c>
      <c r="J394" s="199">
        <v>1155</v>
      </c>
      <c r="K394" s="198">
        <v>1354</v>
      </c>
      <c r="L394" s="200">
        <v>0</v>
      </c>
      <c r="M394" s="201"/>
      <c r="N394" s="199">
        <v>2047</v>
      </c>
      <c r="O394" s="202">
        <v>2.9</v>
      </c>
      <c r="P394" s="203">
        <v>2.9</v>
      </c>
      <c r="Q394" s="203">
        <v>0</v>
      </c>
      <c r="R394" s="204">
        <v>2.2999999999999998</v>
      </c>
      <c r="S394" s="203">
        <v>2.2999999999999998</v>
      </c>
      <c r="T394" s="203">
        <v>0</v>
      </c>
      <c r="V394" s="198">
        <v>2047</v>
      </c>
      <c r="W394" s="202">
        <v>2.9</v>
      </c>
      <c r="X394" s="203">
        <v>2.9</v>
      </c>
      <c r="Y394" s="203">
        <v>0</v>
      </c>
      <c r="Z394" s="204">
        <v>2.2999999999999998</v>
      </c>
      <c r="AA394" s="203">
        <v>2.2999999999999998</v>
      </c>
      <c r="AB394" s="203">
        <v>0</v>
      </c>
      <c r="AD394" s="198">
        <v>2047</v>
      </c>
      <c r="AE394" s="202" t="s">
        <v>82</v>
      </c>
      <c r="AF394" s="203" t="s">
        <v>82</v>
      </c>
      <c r="AG394" s="203" t="s">
        <v>82</v>
      </c>
      <c r="AH394" s="204" t="s">
        <v>82</v>
      </c>
      <c r="AI394" s="203" t="s">
        <v>82</v>
      </c>
      <c r="AJ394" s="203" t="s">
        <v>82</v>
      </c>
    </row>
    <row customFormat="1" r="395" s="205" spans="1:36" x14ac:dyDescent="0.2">
      <c r="A395" s="193">
        <v>391</v>
      </c>
      <c r="B395" s="215">
        <v>10</v>
      </c>
      <c r="C395" s="195" t="s">
        <v>276</v>
      </c>
      <c r="D395" s="195">
        <v>2</v>
      </c>
      <c r="E395" s="195" t="s">
        <v>282</v>
      </c>
      <c r="F395" s="196">
        <v>44159</v>
      </c>
      <c r="G395" s="197" t="s">
        <v>5</v>
      </c>
      <c r="H395" s="198">
        <v>2048</v>
      </c>
      <c r="I395" s="196" t="s">
        <v>283</v>
      </c>
      <c r="J395" s="199">
        <v>1155</v>
      </c>
      <c r="K395" s="198">
        <v>1354</v>
      </c>
      <c r="L395" s="200">
        <v>0</v>
      </c>
      <c r="M395" s="201"/>
      <c r="N395" s="199">
        <v>2048</v>
      </c>
      <c r="O395" s="202">
        <v>2.9</v>
      </c>
      <c r="P395" s="203">
        <v>2.9</v>
      </c>
      <c r="Q395" s="203">
        <v>0</v>
      </c>
      <c r="R395" s="204">
        <v>2.5</v>
      </c>
      <c r="S395" s="203">
        <v>2.5</v>
      </c>
      <c r="T395" s="203">
        <v>0</v>
      </c>
      <c r="V395" s="198">
        <v>2048</v>
      </c>
      <c r="W395" s="202">
        <v>2.9</v>
      </c>
      <c r="X395" s="203">
        <v>2.9</v>
      </c>
      <c r="Y395" s="203">
        <v>0</v>
      </c>
      <c r="Z395" s="204">
        <v>2.5</v>
      </c>
      <c r="AA395" s="203">
        <v>2.5</v>
      </c>
      <c r="AB395" s="203">
        <v>0</v>
      </c>
      <c r="AD395" s="198">
        <v>2048</v>
      </c>
      <c r="AE395" s="202" t="s">
        <v>82</v>
      </c>
      <c r="AF395" s="203" t="s">
        <v>82</v>
      </c>
      <c r="AG395" s="203" t="s">
        <v>82</v>
      </c>
      <c r="AH395" s="204" t="s">
        <v>82</v>
      </c>
      <c r="AI395" s="203" t="s">
        <v>82</v>
      </c>
      <c r="AJ395" s="203" t="s">
        <v>82</v>
      </c>
    </row>
    <row customFormat="1" r="396" s="205" spans="1:36" x14ac:dyDescent="0.2">
      <c r="A396" s="193">
        <v>392</v>
      </c>
      <c r="B396" s="215">
        <v>10</v>
      </c>
      <c r="C396" s="195" t="s">
        <v>276</v>
      </c>
      <c r="D396" s="195">
        <v>2</v>
      </c>
      <c r="E396" s="195" t="s">
        <v>282</v>
      </c>
      <c r="F396" s="196">
        <v>44166</v>
      </c>
      <c r="G396" s="197" t="s">
        <v>5</v>
      </c>
      <c r="H396" s="198">
        <v>2049</v>
      </c>
      <c r="I396" s="196" t="s">
        <v>283</v>
      </c>
      <c r="J396" s="199">
        <v>1155</v>
      </c>
      <c r="K396" s="198">
        <v>1354</v>
      </c>
      <c r="L396" s="200">
        <v>0</v>
      </c>
      <c r="M396" s="201"/>
      <c r="N396" s="199">
        <v>2049</v>
      </c>
      <c r="O396" s="202">
        <v>2.9</v>
      </c>
      <c r="P396" s="203">
        <v>2.8</v>
      </c>
      <c r="Q396" s="203">
        <v>0.1</v>
      </c>
      <c r="R396" s="204">
        <v>2.8</v>
      </c>
      <c r="S396" s="203">
        <v>2.8</v>
      </c>
      <c r="T396" s="203">
        <v>0</v>
      </c>
      <c r="V396" s="198">
        <v>2049</v>
      </c>
      <c r="W396" s="202">
        <v>2.8</v>
      </c>
      <c r="X396" s="203">
        <v>2.8</v>
      </c>
      <c r="Y396" s="203">
        <v>0</v>
      </c>
      <c r="Z396" s="204">
        <v>2.8</v>
      </c>
      <c r="AA396" s="203">
        <v>2.8</v>
      </c>
      <c r="AB396" s="203">
        <v>0</v>
      </c>
      <c r="AD396" s="198">
        <v>2049</v>
      </c>
      <c r="AE396" s="202">
        <v>-0.10000000000000009</v>
      </c>
      <c r="AF396" s="203" t="s">
        <v>82</v>
      </c>
      <c r="AG396" s="203">
        <v>-0.1</v>
      </c>
      <c r="AH396" s="204" t="s">
        <v>82</v>
      </c>
      <c r="AI396" s="203" t="s">
        <v>82</v>
      </c>
      <c r="AJ396" s="203" t="s">
        <v>82</v>
      </c>
    </row>
    <row customFormat="1" r="397" s="205" spans="1:36" x14ac:dyDescent="0.2">
      <c r="A397" s="193">
        <v>393</v>
      </c>
      <c r="B397" s="215">
        <v>10</v>
      </c>
      <c r="C397" s="195" t="s">
        <v>276</v>
      </c>
      <c r="D397" s="195">
        <v>3</v>
      </c>
      <c r="E397" s="195" t="s">
        <v>284</v>
      </c>
      <c r="F397" s="196">
        <v>44626</v>
      </c>
      <c r="G397" s="197" t="s">
        <v>10</v>
      </c>
      <c r="H397" s="198">
        <v>2210</v>
      </c>
      <c r="I397" s="196" t="s">
        <v>285</v>
      </c>
      <c r="J397" s="199">
        <v>620</v>
      </c>
      <c r="K397" s="198">
        <v>659</v>
      </c>
      <c r="L397" s="200">
        <v>0</v>
      </c>
      <c r="M397" s="201"/>
      <c r="N397" s="199">
        <v>2210</v>
      </c>
      <c r="O397" s="202">
        <v>4.2</v>
      </c>
      <c r="P397" s="203">
        <v>4.0999999999999996</v>
      </c>
      <c r="Q397" s="203">
        <v>0.1</v>
      </c>
      <c r="R397" s="204">
        <v>4.9000000000000004</v>
      </c>
      <c r="S397" s="203">
        <v>4.9000000000000004</v>
      </c>
      <c r="T397" s="203" t="s">
        <v>84</v>
      </c>
      <c r="V397" s="198">
        <v>2210</v>
      </c>
      <c r="W397" s="202">
        <v>4.0999999999999996</v>
      </c>
      <c r="X397" s="203">
        <v>4.0999999999999996</v>
      </c>
      <c r="Y397" s="203">
        <v>0</v>
      </c>
      <c r="Z397" s="204">
        <v>4.9000000000000004</v>
      </c>
      <c r="AA397" s="203">
        <v>4.9000000000000004</v>
      </c>
      <c r="AB397" s="203" t="s">
        <v>84</v>
      </c>
      <c r="AD397" s="198">
        <v>2210</v>
      </c>
      <c r="AE397" s="202">
        <v>-0.10000000000000053</v>
      </c>
      <c r="AF397" s="203" t="s">
        <v>82</v>
      </c>
      <c r="AG397" s="203">
        <v>-0.1</v>
      </c>
      <c r="AH397" s="204" t="s">
        <v>82</v>
      </c>
      <c r="AI397" s="203" t="s">
        <v>82</v>
      </c>
      <c r="AJ397" s="203" t="s">
        <v>82</v>
      </c>
    </row>
    <row customFormat="1" r="398" s="205" spans="1:36" x14ac:dyDescent="0.2">
      <c r="A398" s="193">
        <v>394</v>
      </c>
      <c r="B398" s="215">
        <v>10</v>
      </c>
      <c r="C398" s="195" t="s">
        <v>276</v>
      </c>
      <c r="D398" s="195">
        <v>3</v>
      </c>
      <c r="E398" s="195" t="s">
        <v>284</v>
      </c>
      <c r="F398" s="196">
        <v>44633</v>
      </c>
      <c r="G398" s="197" t="s">
        <v>10</v>
      </c>
      <c r="H398" s="198">
        <v>2211</v>
      </c>
      <c r="I398" s="196" t="s">
        <v>285</v>
      </c>
      <c r="J398" s="199">
        <v>620</v>
      </c>
      <c r="K398" s="198">
        <v>659</v>
      </c>
      <c r="L398" s="200">
        <v>0</v>
      </c>
      <c r="M398" s="201"/>
      <c r="N398" s="199">
        <v>2211</v>
      </c>
      <c r="O398" s="202">
        <v>4.4000000000000004</v>
      </c>
      <c r="P398" s="203">
        <v>4.3</v>
      </c>
      <c r="Q398" s="203">
        <v>0.1</v>
      </c>
      <c r="R398" s="204">
        <v>4.9000000000000004</v>
      </c>
      <c r="S398" s="203">
        <v>4.9000000000000004</v>
      </c>
      <c r="T398" s="203" t="s">
        <v>84</v>
      </c>
      <c r="V398" s="198">
        <v>2211</v>
      </c>
      <c r="W398" s="202">
        <v>4.3</v>
      </c>
      <c r="X398" s="203">
        <v>4.3</v>
      </c>
      <c r="Y398" s="203">
        <v>0</v>
      </c>
      <c r="Z398" s="204">
        <v>4.9000000000000004</v>
      </c>
      <c r="AA398" s="203">
        <v>4.9000000000000004</v>
      </c>
      <c r="AB398" s="203" t="s">
        <v>84</v>
      </c>
      <c r="AD398" s="198">
        <v>2211</v>
      </c>
      <c r="AE398" s="202">
        <v>-0.10000000000000053</v>
      </c>
      <c r="AF398" s="203" t="s">
        <v>82</v>
      </c>
      <c r="AG398" s="203">
        <v>-0.1</v>
      </c>
      <c r="AH398" s="204" t="s">
        <v>82</v>
      </c>
      <c r="AI398" s="203" t="s">
        <v>82</v>
      </c>
      <c r="AJ398" s="203" t="s">
        <v>82</v>
      </c>
    </row>
    <row customFormat="1" r="399" s="205" spans="1:36" x14ac:dyDescent="0.2">
      <c r="A399" s="193">
        <v>395</v>
      </c>
      <c r="B399" s="215">
        <v>10</v>
      </c>
      <c r="C399" s="195" t="s">
        <v>276</v>
      </c>
      <c r="D399" s="195">
        <v>3</v>
      </c>
      <c r="E399" s="195" t="s">
        <v>284</v>
      </c>
      <c r="F399" s="196">
        <v>44640</v>
      </c>
      <c r="G399" s="197" t="s">
        <v>10</v>
      </c>
      <c r="H399" s="198">
        <v>2212</v>
      </c>
      <c r="I399" s="196" t="s">
        <v>285</v>
      </c>
      <c r="J399" s="199">
        <v>620</v>
      </c>
      <c r="K399" s="198">
        <v>659</v>
      </c>
      <c r="L399" s="200">
        <v>0</v>
      </c>
      <c r="M399" s="201"/>
      <c r="N399" s="199">
        <v>2212</v>
      </c>
      <c r="O399" s="202">
        <v>4.5</v>
      </c>
      <c r="P399" s="203">
        <v>4.4000000000000004</v>
      </c>
      <c r="Q399" s="203">
        <v>0.1</v>
      </c>
      <c r="R399" s="204">
        <v>5</v>
      </c>
      <c r="S399" s="203">
        <v>5</v>
      </c>
      <c r="T399" s="203" t="s">
        <v>84</v>
      </c>
      <c r="V399" s="198">
        <v>2212</v>
      </c>
      <c r="W399" s="202">
        <v>4.4000000000000004</v>
      </c>
      <c r="X399" s="203">
        <v>4.4000000000000004</v>
      </c>
      <c r="Y399" s="203">
        <v>0</v>
      </c>
      <c r="Z399" s="204">
        <v>5</v>
      </c>
      <c r="AA399" s="203">
        <v>5</v>
      </c>
      <c r="AB399" s="203" t="s">
        <v>84</v>
      </c>
      <c r="AD399" s="198">
        <v>2212</v>
      </c>
      <c r="AE399" s="202">
        <v>-9.9999999999999645E-2</v>
      </c>
      <c r="AF399" s="203" t="s">
        <v>82</v>
      </c>
      <c r="AG399" s="203">
        <v>-0.1</v>
      </c>
      <c r="AH399" s="204" t="s">
        <v>82</v>
      </c>
      <c r="AI399" s="203" t="s">
        <v>82</v>
      </c>
      <c r="AJ399" s="203" t="s">
        <v>82</v>
      </c>
    </row>
    <row customFormat="1" r="400" s="205" spans="1:36" x14ac:dyDescent="0.2">
      <c r="A400" s="193">
        <v>396</v>
      </c>
      <c r="B400" s="215">
        <v>10</v>
      </c>
      <c r="C400" s="195" t="s">
        <v>276</v>
      </c>
      <c r="D400" s="195">
        <v>3</v>
      </c>
      <c r="E400" s="195" t="s">
        <v>284</v>
      </c>
      <c r="F400" s="196">
        <v>44647</v>
      </c>
      <c r="G400" s="197" t="s">
        <v>10</v>
      </c>
      <c r="H400" s="198">
        <v>2213</v>
      </c>
      <c r="I400" s="196" t="s">
        <v>285</v>
      </c>
      <c r="J400" s="199">
        <v>620</v>
      </c>
      <c r="K400" s="198">
        <v>659</v>
      </c>
      <c r="L400" s="200">
        <v>0</v>
      </c>
      <c r="M400" s="201"/>
      <c r="N400" s="199">
        <v>2213</v>
      </c>
      <c r="O400" s="202">
        <v>4.8</v>
      </c>
      <c r="P400" s="203">
        <v>4.7</v>
      </c>
      <c r="Q400" s="203">
        <v>0.1</v>
      </c>
      <c r="R400" s="204">
        <v>5.2</v>
      </c>
      <c r="S400" s="203">
        <v>5.2</v>
      </c>
      <c r="T400" s="203" t="s">
        <v>84</v>
      </c>
      <c r="V400" s="198">
        <v>2213</v>
      </c>
      <c r="W400" s="202">
        <v>4.7</v>
      </c>
      <c r="X400" s="203">
        <v>4.7</v>
      </c>
      <c r="Y400" s="203">
        <v>0</v>
      </c>
      <c r="Z400" s="204">
        <v>5.2</v>
      </c>
      <c r="AA400" s="203">
        <v>5.2</v>
      </c>
      <c r="AB400" s="203" t="s">
        <v>84</v>
      </c>
      <c r="AD400" s="198">
        <v>2213</v>
      </c>
      <c r="AE400" s="202">
        <v>-9.9999999999999645E-2</v>
      </c>
      <c r="AF400" s="203" t="s">
        <v>82</v>
      </c>
      <c r="AG400" s="203">
        <v>-0.1</v>
      </c>
      <c r="AH400" s="204" t="s">
        <v>82</v>
      </c>
      <c r="AI400" s="203" t="s">
        <v>82</v>
      </c>
      <c r="AJ400" s="203" t="s">
        <v>82</v>
      </c>
    </row>
    <row customFormat="1" r="401" s="205" spans="1:36" x14ac:dyDescent="0.2">
      <c r="A401" s="193">
        <v>397</v>
      </c>
      <c r="B401" s="215">
        <v>10</v>
      </c>
      <c r="C401" s="195" t="s">
        <v>276</v>
      </c>
      <c r="D401" s="195">
        <v>4</v>
      </c>
      <c r="E401" s="195" t="s">
        <v>286</v>
      </c>
      <c r="F401" s="196">
        <v>44115</v>
      </c>
      <c r="G401" s="197" t="s">
        <v>10</v>
      </c>
      <c r="H401" s="198">
        <v>2041</v>
      </c>
      <c r="I401" s="196" t="s">
        <v>287</v>
      </c>
      <c r="J401" s="199">
        <v>1730</v>
      </c>
      <c r="K401" s="198">
        <v>1759</v>
      </c>
      <c r="L401" s="200">
        <v>0</v>
      </c>
      <c r="M401" s="201"/>
      <c r="N401" s="199">
        <v>2041</v>
      </c>
      <c r="O401" s="202">
        <v>3.9</v>
      </c>
      <c r="P401" s="203">
        <v>3.6</v>
      </c>
      <c r="Q401" s="203">
        <v>0.3</v>
      </c>
      <c r="R401" s="204">
        <v>4.3</v>
      </c>
      <c r="S401" s="203">
        <v>4.3</v>
      </c>
      <c r="T401" s="203" t="s">
        <v>84</v>
      </c>
      <c r="V401" s="198">
        <v>2041</v>
      </c>
      <c r="W401" s="202">
        <v>3.6</v>
      </c>
      <c r="X401" s="203">
        <v>3.6</v>
      </c>
      <c r="Y401" s="203">
        <v>0</v>
      </c>
      <c r="Z401" s="204">
        <v>4.3</v>
      </c>
      <c r="AA401" s="203">
        <v>4.3</v>
      </c>
      <c r="AB401" s="203" t="s">
        <v>84</v>
      </c>
      <c r="AD401" s="198">
        <v>2041</v>
      </c>
      <c r="AE401" s="202">
        <v>-0.29999999999999982</v>
      </c>
      <c r="AF401" s="203" t="s">
        <v>82</v>
      </c>
      <c r="AG401" s="203">
        <v>-0.3</v>
      </c>
      <c r="AH401" s="204" t="s">
        <v>82</v>
      </c>
      <c r="AI401" s="203" t="s">
        <v>82</v>
      </c>
      <c r="AJ401" s="203" t="s">
        <v>82</v>
      </c>
    </row>
    <row customFormat="1" r="402" s="205" spans="1:36" x14ac:dyDescent="0.2">
      <c r="A402" s="193">
        <v>398</v>
      </c>
      <c r="B402" s="215">
        <v>10</v>
      </c>
      <c r="C402" s="195" t="s">
        <v>276</v>
      </c>
      <c r="D402" s="195">
        <v>4</v>
      </c>
      <c r="E402" s="195" t="s">
        <v>286</v>
      </c>
      <c r="F402" s="196">
        <v>44122</v>
      </c>
      <c r="G402" s="197" t="s">
        <v>10</v>
      </c>
      <c r="H402" s="198">
        <v>2042</v>
      </c>
      <c r="I402" s="196" t="s">
        <v>288</v>
      </c>
      <c r="J402" s="199">
        <v>1700</v>
      </c>
      <c r="K402" s="198">
        <v>1759</v>
      </c>
      <c r="L402" s="200">
        <v>0</v>
      </c>
      <c r="M402" s="201"/>
      <c r="N402" s="199">
        <v>2042</v>
      </c>
      <c r="O402" s="202">
        <v>3.7</v>
      </c>
      <c r="P402" s="203">
        <v>3.4</v>
      </c>
      <c r="Q402" s="203">
        <v>0.3</v>
      </c>
      <c r="R402" s="204">
        <v>4.5</v>
      </c>
      <c r="S402" s="203">
        <v>4.5</v>
      </c>
      <c r="T402" s="203" t="s">
        <v>84</v>
      </c>
      <c r="V402" s="198">
        <v>2042</v>
      </c>
      <c r="W402" s="202">
        <v>3.5</v>
      </c>
      <c r="X402" s="203">
        <v>3.4</v>
      </c>
      <c r="Y402" s="203">
        <v>0.1</v>
      </c>
      <c r="Z402" s="204">
        <v>4.5</v>
      </c>
      <c r="AA402" s="203">
        <v>4.5</v>
      </c>
      <c r="AB402" s="203" t="s">
        <v>84</v>
      </c>
      <c r="AD402" s="198">
        <v>2042</v>
      </c>
      <c r="AE402" s="202">
        <v>-0.20000000000000018</v>
      </c>
      <c r="AF402" s="203" t="s">
        <v>82</v>
      </c>
      <c r="AG402" s="203">
        <v>-0.19999999999999998</v>
      </c>
      <c r="AH402" s="204" t="s">
        <v>82</v>
      </c>
      <c r="AI402" s="203" t="s">
        <v>82</v>
      </c>
      <c r="AJ402" s="203" t="s">
        <v>82</v>
      </c>
    </row>
    <row customFormat="1" r="403" s="205" spans="1:36" x14ac:dyDescent="0.2">
      <c r="A403" s="193">
        <v>399</v>
      </c>
      <c r="B403" s="215">
        <v>10</v>
      </c>
      <c r="C403" s="195" t="s">
        <v>276</v>
      </c>
      <c r="D403" s="195">
        <v>4</v>
      </c>
      <c r="E403" s="195" t="s">
        <v>286</v>
      </c>
      <c r="F403" s="196">
        <v>44129</v>
      </c>
      <c r="G403" s="197" t="s">
        <v>10</v>
      </c>
      <c r="H403" s="198">
        <v>2043</v>
      </c>
      <c r="I403" s="196" t="s">
        <v>287</v>
      </c>
      <c r="J403" s="199">
        <v>1730</v>
      </c>
      <c r="K403" s="198">
        <v>1759</v>
      </c>
      <c r="L403" s="200">
        <v>0</v>
      </c>
      <c r="M403" s="201"/>
      <c r="N403" s="199">
        <v>2043</v>
      </c>
      <c r="O403" s="202">
        <v>4.0999999999999996</v>
      </c>
      <c r="P403" s="203">
        <v>3.8</v>
      </c>
      <c r="Q403" s="203">
        <v>0.3</v>
      </c>
      <c r="R403" s="204">
        <v>4.3</v>
      </c>
      <c r="S403" s="203">
        <v>4.3</v>
      </c>
      <c r="T403" s="203">
        <v>0</v>
      </c>
      <c r="V403" s="198">
        <v>2043</v>
      </c>
      <c r="W403" s="202">
        <v>3.8</v>
      </c>
      <c r="X403" s="203">
        <v>3.8</v>
      </c>
      <c r="Y403" s="203">
        <v>0</v>
      </c>
      <c r="Z403" s="204">
        <v>4.3</v>
      </c>
      <c r="AA403" s="203">
        <v>4.3</v>
      </c>
      <c r="AB403" s="203">
        <v>0</v>
      </c>
      <c r="AD403" s="198">
        <v>2043</v>
      </c>
      <c r="AE403" s="202">
        <v>-0.29999999999999982</v>
      </c>
      <c r="AF403" s="203" t="s">
        <v>82</v>
      </c>
      <c r="AG403" s="203">
        <v>-0.3</v>
      </c>
      <c r="AH403" s="204" t="s">
        <v>82</v>
      </c>
      <c r="AI403" s="203" t="s">
        <v>82</v>
      </c>
      <c r="AJ403" s="203" t="s">
        <v>82</v>
      </c>
    </row>
    <row customFormat="1" r="404" s="205" spans="1:36" x14ac:dyDescent="0.2">
      <c r="A404" s="193">
        <v>400</v>
      </c>
      <c r="B404" s="215">
        <v>10</v>
      </c>
      <c r="C404" s="195" t="s">
        <v>276</v>
      </c>
      <c r="D404" s="195">
        <v>4</v>
      </c>
      <c r="E404" s="195" t="s">
        <v>286</v>
      </c>
      <c r="F404" s="196">
        <v>44136</v>
      </c>
      <c r="G404" s="197" t="s">
        <v>10</v>
      </c>
      <c r="H404" s="198">
        <v>2044</v>
      </c>
      <c r="I404" s="196" t="s">
        <v>287</v>
      </c>
      <c r="J404" s="199">
        <v>1730</v>
      </c>
      <c r="K404" s="198">
        <v>1759</v>
      </c>
      <c r="L404" s="200">
        <v>0</v>
      </c>
      <c r="M404" s="201"/>
      <c r="N404" s="199">
        <v>2044</v>
      </c>
      <c r="O404" s="202">
        <v>4.3</v>
      </c>
      <c r="P404" s="203">
        <v>4</v>
      </c>
      <c r="Q404" s="203">
        <v>0.3</v>
      </c>
      <c r="R404" s="204">
        <v>4.5999999999999996</v>
      </c>
      <c r="S404" s="203">
        <v>4.5999999999999996</v>
      </c>
      <c r="T404" s="203">
        <v>0</v>
      </c>
      <c r="V404" s="198">
        <v>2044</v>
      </c>
      <c r="W404" s="202">
        <v>4</v>
      </c>
      <c r="X404" s="203">
        <v>4</v>
      </c>
      <c r="Y404" s="203">
        <v>0</v>
      </c>
      <c r="Z404" s="204">
        <v>4.5999999999999996</v>
      </c>
      <c r="AA404" s="203">
        <v>4.5999999999999996</v>
      </c>
      <c r="AB404" s="203">
        <v>0</v>
      </c>
      <c r="AD404" s="198">
        <v>2044</v>
      </c>
      <c r="AE404" s="202">
        <v>-0.29999999999999982</v>
      </c>
      <c r="AF404" s="203" t="s">
        <v>82</v>
      </c>
      <c r="AG404" s="203">
        <v>-0.3</v>
      </c>
      <c r="AH404" s="204" t="s">
        <v>82</v>
      </c>
      <c r="AI404" s="203" t="s">
        <v>82</v>
      </c>
      <c r="AJ404" s="203" t="s">
        <v>82</v>
      </c>
    </row>
    <row customFormat="1" r="405" s="205" spans="1:36" x14ac:dyDescent="0.2">
      <c r="A405" s="193">
        <v>401</v>
      </c>
      <c r="B405" s="215">
        <v>10</v>
      </c>
      <c r="C405" s="195" t="s">
        <v>276</v>
      </c>
      <c r="D405" s="195">
        <v>4</v>
      </c>
      <c r="E405" s="195" t="s">
        <v>286</v>
      </c>
      <c r="F405" s="196">
        <v>44279</v>
      </c>
      <c r="G405" s="197" t="s">
        <v>6</v>
      </c>
      <c r="H405" s="198">
        <v>2113</v>
      </c>
      <c r="I405" s="196" t="s">
        <v>289</v>
      </c>
      <c r="J405" s="199">
        <v>955</v>
      </c>
      <c r="K405" s="198">
        <v>1024</v>
      </c>
      <c r="L405" s="200">
        <v>0</v>
      </c>
      <c r="M405" s="201"/>
      <c r="N405" s="199">
        <v>2113</v>
      </c>
      <c r="O405" s="202">
        <v>2</v>
      </c>
      <c r="P405" s="203">
        <v>1.7</v>
      </c>
      <c r="Q405" s="203">
        <v>0.3</v>
      </c>
      <c r="R405" s="204">
        <v>1.5</v>
      </c>
      <c r="S405" s="203">
        <v>1.5</v>
      </c>
      <c r="T405" s="203" t="s">
        <v>84</v>
      </c>
      <c r="V405" s="198">
        <v>2113</v>
      </c>
      <c r="W405" s="202">
        <v>1.7</v>
      </c>
      <c r="X405" s="203">
        <v>1.7</v>
      </c>
      <c r="Y405" s="203">
        <v>0</v>
      </c>
      <c r="Z405" s="204">
        <v>1.5</v>
      </c>
      <c r="AA405" s="203">
        <v>1.5</v>
      </c>
      <c r="AB405" s="203" t="s">
        <v>84</v>
      </c>
      <c r="AD405" s="198">
        <v>2113</v>
      </c>
      <c r="AE405" s="202">
        <v>-0.30000000000000004</v>
      </c>
      <c r="AF405" s="203" t="s">
        <v>82</v>
      </c>
      <c r="AG405" s="203">
        <v>-0.3</v>
      </c>
      <c r="AH405" s="204" t="s">
        <v>82</v>
      </c>
      <c r="AI405" s="203" t="s">
        <v>82</v>
      </c>
      <c r="AJ405" s="203" t="s">
        <v>82</v>
      </c>
    </row>
    <row customFormat="1" r="406" s="205" spans="1:36" x14ac:dyDescent="0.2">
      <c r="A406" s="193">
        <v>402</v>
      </c>
      <c r="B406" s="215">
        <v>10</v>
      </c>
      <c r="C406" s="195" t="s">
        <v>276</v>
      </c>
      <c r="D406" s="195">
        <v>4</v>
      </c>
      <c r="E406" s="195" t="s">
        <v>286</v>
      </c>
      <c r="F406" s="196">
        <v>44286</v>
      </c>
      <c r="G406" s="197" t="s">
        <v>6</v>
      </c>
      <c r="H406" s="198">
        <v>2114</v>
      </c>
      <c r="I406" s="196" t="s">
        <v>290</v>
      </c>
      <c r="J406" s="199">
        <v>955</v>
      </c>
      <c r="K406" s="198">
        <v>1024</v>
      </c>
      <c r="L406" s="200">
        <v>0</v>
      </c>
      <c r="M406" s="201"/>
      <c r="N406" s="199">
        <v>2114</v>
      </c>
      <c r="O406" s="202">
        <v>1.9</v>
      </c>
      <c r="P406" s="203">
        <v>1.7</v>
      </c>
      <c r="Q406" s="203">
        <v>0.2</v>
      </c>
      <c r="R406" s="204">
        <v>1.5</v>
      </c>
      <c r="S406" s="203">
        <v>1.5</v>
      </c>
      <c r="T406" s="203" t="s">
        <v>84</v>
      </c>
      <c r="V406" s="198">
        <v>2114</v>
      </c>
      <c r="W406" s="202">
        <v>1.7</v>
      </c>
      <c r="X406" s="203">
        <v>1.7</v>
      </c>
      <c r="Y406" s="203">
        <v>0</v>
      </c>
      <c r="Z406" s="204">
        <v>1.5</v>
      </c>
      <c r="AA406" s="203">
        <v>1.5</v>
      </c>
      <c r="AB406" s="203" t="s">
        <v>84</v>
      </c>
      <c r="AD406" s="198">
        <v>2114</v>
      </c>
      <c r="AE406" s="202">
        <v>-0.19999999999999996</v>
      </c>
      <c r="AF406" s="203" t="s">
        <v>82</v>
      </c>
      <c r="AG406" s="203">
        <v>-0.2</v>
      </c>
      <c r="AH406" s="204" t="s">
        <v>82</v>
      </c>
      <c r="AI406" s="203" t="s">
        <v>82</v>
      </c>
      <c r="AJ406" s="203" t="s">
        <v>82</v>
      </c>
    </row>
    <row customFormat="1" r="407" s="205" spans="1:36" x14ac:dyDescent="0.2">
      <c r="A407" s="193">
        <v>403</v>
      </c>
      <c r="B407" s="215">
        <v>10</v>
      </c>
      <c r="C407" s="195" t="s">
        <v>276</v>
      </c>
      <c r="D407" s="195">
        <v>4</v>
      </c>
      <c r="E407" s="195" t="s">
        <v>286</v>
      </c>
      <c r="F407" s="196">
        <v>44293</v>
      </c>
      <c r="G407" s="197" t="s">
        <v>6</v>
      </c>
      <c r="H407" s="198">
        <v>2115</v>
      </c>
      <c r="I407" s="196" t="s">
        <v>290</v>
      </c>
      <c r="J407" s="199">
        <v>955</v>
      </c>
      <c r="K407" s="198">
        <v>1024</v>
      </c>
      <c r="L407" s="200">
        <v>0</v>
      </c>
      <c r="M407" s="201"/>
      <c r="N407" s="199">
        <v>2115</v>
      </c>
      <c r="O407" s="202">
        <v>1.7</v>
      </c>
      <c r="P407" s="203">
        <v>1.4</v>
      </c>
      <c r="Q407" s="203">
        <v>0.3</v>
      </c>
      <c r="R407" s="204">
        <v>1.2</v>
      </c>
      <c r="S407" s="203">
        <v>1.2</v>
      </c>
      <c r="T407" s="203">
        <v>0</v>
      </c>
      <c r="V407" s="198">
        <v>2115</v>
      </c>
      <c r="W407" s="202">
        <v>1.4</v>
      </c>
      <c r="X407" s="203">
        <v>1.4</v>
      </c>
      <c r="Y407" s="203">
        <v>0</v>
      </c>
      <c r="Z407" s="204">
        <v>1.2</v>
      </c>
      <c r="AA407" s="203">
        <v>1.2</v>
      </c>
      <c r="AB407" s="203">
        <v>0</v>
      </c>
      <c r="AD407" s="198">
        <v>2115</v>
      </c>
      <c r="AE407" s="202">
        <v>-0.30000000000000004</v>
      </c>
      <c r="AF407" s="203" t="s">
        <v>82</v>
      </c>
      <c r="AG407" s="203">
        <v>-0.3</v>
      </c>
      <c r="AH407" s="204" t="s">
        <v>82</v>
      </c>
      <c r="AI407" s="203" t="s">
        <v>82</v>
      </c>
      <c r="AJ407" s="203" t="s">
        <v>82</v>
      </c>
    </row>
    <row customFormat="1" r="408" s="205" spans="1:36" x14ac:dyDescent="0.2">
      <c r="A408" s="193">
        <v>404</v>
      </c>
      <c r="B408" s="215">
        <v>10</v>
      </c>
      <c r="C408" s="195" t="s">
        <v>276</v>
      </c>
      <c r="D408" s="195">
        <v>4</v>
      </c>
      <c r="E408" s="195" t="s">
        <v>286</v>
      </c>
      <c r="F408" s="196">
        <v>44300</v>
      </c>
      <c r="G408" s="197" t="s">
        <v>6</v>
      </c>
      <c r="H408" s="198">
        <v>2116</v>
      </c>
      <c r="I408" s="196" t="s">
        <v>290</v>
      </c>
      <c r="J408" s="199">
        <v>955</v>
      </c>
      <c r="K408" s="198">
        <v>1024</v>
      </c>
      <c r="L408" s="200">
        <v>0</v>
      </c>
      <c r="M408" s="201"/>
      <c r="N408" s="199">
        <v>2116</v>
      </c>
      <c r="O408" s="202">
        <v>1.6</v>
      </c>
      <c r="P408" s="203">
        <v>1.2</v>
      </c>
      <c r="Q408" s="203">
        <v>0.4</v>
      </c>
      <c r="R408" s="204">
        <v>1</v>
      </c>
      <c r="S408" s="203">
        <v>1</v>
      </c>
      <c r="T408" s="203">
        <v>0</v>
      </c>
      <c r="V408" s="198">
        <v>2116</v>
      </c>
      <c r="W408" s="202">
        <v>1.2</v>
      </c>
      <c r="X408" s="203">
        <v>1.2</v>
      </c>
      <c r="Y408" s="203">
        <v>0</v>
      </c>
      <c r="Z408" s="204">
        <v>1</v>
      </c>
      <c r="AA408" s="203">
        <v>1</v>
      </c>
      <c r="AB408" s="203">
        <v>0</v>
      </c>
      <c r="AD408" s="198">
        <v>2116</v>
      </c>
      <c r="AE408" s="202">
        <v>-0.40000000000000013</v>
      </c>
      <c r="AF408" s="203" t="s">
        <v>82</v>
      </c>
      <c r="AG408" s="203">
        <v>-0.4</v>
      </c>
      <c r="AH408" s="204" t="s">
        <v>82</v>
      </c>
      <c r="AI408" s="203" t="s">
        <v>82</v>
      </c>
      <c r="AJ408" s="203" t="s">
        <v>82</v>
      </c>
    </row>
    <row customFormat="1" r="409" s="205" spans="1:36" x14ac:dyDescent="0.2">
      <c r="A409" s="193">
        <v>405</v>
      </c>
      <c r="B409" s="215">
        <v>10</v>
      </c>
      <c r="C409" s="195" t="s">
        <v>276</v>
      </c>
      <c r="D409" s="195">
        <v>4</v>
      </c>
      <c r="E409" s="195" t="s">
        <v>286</v>
      </c>
      <c r="F409" s="196">
        <v>44331</v>
      </c>
      <c r="G409" s="197" t="s">
        <v>9</v>
      </c>
      <c r="H409" s="198">
        <v>2120</v>
      </c>
      <c r="I409" s="196" t="s">
        <v>291</v>
      </c>
      <c r="J409" s="199">
        <v>730</v>
      </c>
      <c r="K409" s="198">
        <v>924</v>
      </c>
      <c r="L409" s="200">
        <v>0</v>
      </c>
      <c r="M409" s="201"/>
      <c r="N409" s="199">
        <v>2120</v>
      </c>
      <c r="O409" s="202">
        <v>2.7</v>
      </c>
      <c r="P409" s="203">
        <v>2.6</v>
      </c>
      <c r="Q409" s="203">
        <v>0.1</v>
      </c>
      <c r="R409" s="204">
        <v>2.2999999999999998</v>
      </c>
      <c r="S409" s="203">
        <v>2.2999999999999998</v>
      </c>
      <c r="T409" s="203">
        <v>0</v>
      </c>
      <c r="V409" s="198">
        <v>2120</v>
      </c>
      <c r="W409" s="202">
        <v>2.7</v>
      </c>
      <c r="X409" s="203">
        <v>2.6</v>
      </c>
      <c r="Y409" s="203">
        <v>0.1</v>
      </c>
      <c r="Z409" s="204">
        <v>2.2999999999999998</v>
      </c>
      <c r="AA409" s="203">
        <v>2.2999999999999998</v>
      </c>
      <c r="AB409" s="203">
        <v>0</v>
      </c>
      <c r="AD409" s="198">
        <v>2120</v>
      </c>
      <c r="AE409" s="202" t="s">
        <v>82</v>
      </c>
      <c r="AF409" s="203" t="s">
        <v>82</v>
      </c>
      <c r="AG409" s="203" t="s">
        <v>82</v>
      </c>
      <c r="AH409" s="204" t="s">
        <v>82</v>
      </c>
      <c r="AI409" s="203" t="s">
        <v>82</v>
      </c>
      <c r="AJ409" s="203" t="s">
        <v>82</v>
      </c>
    </row>
    <row customFormat="1" r="410" s="205" spans="1:36" x14ac:dyDescent="0.2">
      <c r="A410" s="193">
        <v>406</v>
      </c>
      <c r="B410" s="215">
        <v>10</v>
      </c>
      <c r="C410" s="195" t="s">
        <v>276</v>
      </c>
      <c r="D410" s="195">
        <v>4</v>
      </c>
      <c r="E410" s="195" t="s">
        <v>286</v>
      </c>
      <c r="F410" s="196">
        <v>44338</v>
      </c>
      <c r="G410" s="197" t="s">
        <v>9</v>
      </c>
      <c r="H410" s="198">
        <v>2121</v>
      </c>
      <c r="I410" s="196" t="s">
        <v>291</v>
      </c>
      <c r="J410" s="199">
        <v>730</v>
      </c>
      <c r="K410" s="198">
        <v>924</v>
      </c>
      <c r="L410" s="200">
        <v>0</v>
      </c>
      <c r="M410" s="201"/>
      <c r="N410" s="199">
        <v>2121</v>
      </c>
      <c r="O410" s="202">
        <v>2.7</v>
      </c>
      <c r="P410" s="203">
        <v>2.6</v>
      </c>
      <c r="Q410" s="203">
        <v>0.1</v>
      </c>
      <c r="R410" s="204">
        <v>2.1</v>
      </c>
      <c r="S410" s="203">
        <v>2.1</v>
      </c>
      <c r="T410" s="203">
        <v>0</v>
      </c>
      <c r="V410" s="198">
        <v>2121</v>
      </c>
      <c r="W410" s="202">
        <v>2.7</v>
      </c>
      <c r="X410" s="203">
        <v>2.6</v>
      </c>
      <c r="Y410" s="203">
        <v>0.1</v>
      </c>
      <c r="Z410" s="204">
        <v>2.1</v>
      </c>
      <c r="AA410" s="203">
        <v>2.1</v>
      </c>
      <c r="AB410" s="203">
        <v>0</v>
      </c>
      <c r="AD410" s="198">
        <v>2121</v>
      </c>
      <c r="AE410" s="202" t="s">
        <v>82</v>
      </c>
      <c r="AF410" s="203" t="s">
        <v>82</v>
      </c>
      <c r="AG410" s="203" t="s">
        <v>82</v>
      </c>
      <c r="AH410" s="204" t="s">
        <v>82</v>
      </c>
      <c r="AI410" s="203" t="s">
        <v>82</v>
      </c>
      <c r="AJ410" s="203" t="s">
        <v>82</v>
      </c>
    </row>
    <row customFormat="1" r="411" s="205" spans="1:36" x14ac:dyDescent="0.2">
      <c r="A411" s="193">
        <v>407</v>
      </c>
      <c r="B411" s="215">
        <v>10</v>
      </c>
      <c r="C411" s="195" t="s">
        <v>276</v>
      </c>
      <c r="D411" s="195">
        <v>4</v>
      </c>
      <c r="E411" s="195" t="s">
        <v>286</v>
      </c>
      <c r="F411" s="196">
        <v>44345</v>
      </c>
      <c r="G411" s="197" t="s">
        <v>9</v>
      </c>
      <c r="H411" s="198">
        <v>2122</v>
      </c>
      <c r="I411" s="196" t="s">
        <v>291</v>
      </c>
      <c r="J411" s="199">
        <v>730</v>
      </c>
      <c r="K411" s="198">
        <v>924</v>
      </c>
      <c r="L411" s="200">
        <v>0</v>
      </c>
      <c r="M411" s="201"/>
      <c r="N411" s="199">
        <v>2122</v>
      </c>
      <c r="O411" s="202">
        <v>3</v>
      </c>
      <c r="P411" s="203">
        <v>2.9</v>
      </c>
      <c r="Q411" s="203">
        <v>0.1</v>
      </c>
      <c r="R411" s="204">
        <v>2.7</v>
      </c>
      <c r="S411" s="203">
        <v>2.7</v>
      </c>
      <c r="T411" s="203">
        <v>0</v>
      </c>
      <c r="V411" s="198">
        <v>2122</v>
      </c>
      <c r="W411" s="202">
        <v>3</v>
      </c>
      <c r="X411" s="203">
        <v>2.9</v>
      </c>
      <c r="Y411" s="203">
        <v>0.1</v>
      </c>
      <c r="Z411" s="204">
        <v>2.7</v>
      </c>
      <c r="AA411" s="203">
        <v>2.7</v>
      </c>
      <c r="AB411" s="203">
        <v>0</v>
      </c>
      <c r="AD411" s="198">
        <v>2122</v>
      </c>
      <c r="AE411" s="202" t="s">
        <v>82</v>
      </c>
      <c r="AF411" s="203" t="s">
        <v>82</v>
      </c>
      <c r="AG411" s="203" t="s">
        <v>82</v>
      </c>
      <c r="AH411" s="204" t="s">
        <v>82</v>
      </c>
      <c r="AI411" s="203" t="s">
        <v>82</v>
      </c>
      <c r="AJ411" s="203" t="s">
        <v>82</v>
      </c>
    </row>
    <row customFormat="1" r="412" s="205" spans="1:36" x14ac:dyDescent="0.2">
      <c r="A412" s="193">
        <v>408</v>
      </c>
      <c r="B412" s="215">
        <v>10</v>
      </c>
      <c r="C412" s="195" t="s">
        <v>276</v>
      </c>
      <c r="D412" s="195">
        <v>4</v>
      </c>
      <c r="E412" s="195" t="s">
        <v>286</v>
      </c>
      <c r="F412" s="196">
        <v>44352</v>
      </c>
      <c r="G412" s="197" t="s">
        <v>9</v>
      </c>
      <c r="H412" s="198">
        <v>2123</v>
      </c>
      <c r="I412" s="196" t="s">
        <v>291</v>
      </c>
      <c r="J412" s="199">
        <v>730</v>
      </c>
      <c r="K412" s="198">
        <v>924</v>
      </c>
      <c r="L412" s="200">
        <v>0</v>
      </c>
      <c r="M412" s="201"/>
      <c r="N412" s="199">
        <v>2123</v>
      </c>
      <c r="O412" s="202">
        <v>3.1</v>
      </c>
      <c r="P412" s="203">
        <v>3.1</v>
      </c>
      <c r="Q412" s="203">
        <v>0</v>
      </c>
      <c r="R412" s="204">
        <v>2.7</v>
      </c>
      <c r="S412" s="203">
        <v>2.7</v>
      </c>
      <c r="T412" s="203">
        <v>0</v>
      </c>
      <c r="V412" s="198">
        <v>2123</v>
      </c>
      <c r="W412" s="202">
        <v>3.1</v>
      </c>
      <c r="X412" s="203">
        <v>3.1</v>
      </c>
      <c r="Y412" s="203">
        <v>0</v>
      </c>
      <c r="Z412" s="204">
        <v>2.7</v>
      </c>
      <c r="AA412" s="203">
        <v>2.7</v>
      </c>
      <c r="AB412" s="203">
        <v>0</v>
      </c>
      <c r="AD412" s="198">
        <v>2123</v>
      </c>
      <c r="AE412" s="202" t="s">
        <v>82</v>
      </c>
      <c r="AF412" s="203" t="s">
        <v>82</v>
      </c>
      <c r="AG412" s="203" t="s">
        <v>82</v>
      </c>
      <c r="AH412" s="204" t="s">
        <v>82</v>
      </c>
      <c r="AI412" s="203" t="s">
        <v>82</v>
      </c>
      <c r="AJ412" s="203" t="s">
        <v>82</v>
      </c>
    </row>
    <row customFormat="1" r="413" s="205" spans="1:36" x14ac:dyDescent="0.2">
      <c r="A413" s="193">
        <v>409</v>
      </c>
      <c r="B413" s="215">
        <v>10</v>
      </c>
      <c r="C413" s="195" t="s">
        <v>276</v>
      </c>
      <c r="D413" s="195">
        <v>4</v>
      </c>
      <c r="E413" s="195" t="s">
        <v>286</v>
      </c>
      <c r="F413" s="196">
        <v>44441</v>
      </c>
      <c r="G413" s="197" t="s">
        <v>7</v>
      </c>
      <c r="H413" s="198">
        <v>2136</v>
      </c>
      <c r="I413" s="196" t="s">
        <v>292</v>
      </c>
      <c r="J413" s="199">
        <v>1815</v>
      </c>
      <c r="K413" s="198">
        <v>1859</v>
      </c>
      <c r="L413" s="200">
        <v>0</v>
      </c>
      <c r="M413" s="201"/>
      <c r="N413" s="199">
        <v>2136</v>
      </c>
      <c r="O413" s="202">
        <v>2.8</v>
      </c>
      <c r="P413" s="203">
        <v>2.7</v>
      </c>
      <c r="Q413" s="203">
        <v>0.1</v>
      </c>
      <c r="R413" s="204">
        <v>3.4</v>
      </c>
      <c r="S413" s="203">
        <v>3.4</v>
      </c>
      <c r="T413" s="203">
        <v>0</v>
      </c>
      <c r="V413" s="198">
        <v>2136</v>
      </c>
      <c r="W413" s="202">
        <v>2.7</v>
      </c>
      <c r="X413" s="203">
        <v>2.7</v>
      </c>
      <c r="Y413" s="203">
        <v>0</v>
      </c>
      <c r="Z413" s="204">
        <v>3.4</v>
      </c>
      <c r="AA413" s="203">
        <v>3.4</v>
      </c>
      <c r="AB413" s="203">
        <v>0</v>
      </c>
      <c r="AD413" s="198">
        <v>2136</v>
      </c>
      <c r="AE413" s="202">
        <v>-9.9999999999999645E-2</v>
      </c>
      <c r="AF413" s="203" t="s">
        <v>82</v>
      </c>
      <c r="AG413" s="203">
        <v>-0.1</v>
      </c>
      <c r="AH413" s="204" t="s">
        <v>82</v>
      </c>
      <c r="AI413" s="203" t="s">
        <v>82</v>
      </c>
      <c r="AJ413" s="203" t="s">
        <v>82</v>
      </c>
    </row>
    <row customFormat="1" r="414" s="205" spans="1:36" x14ac:dyDescent="0.2">
      <c r="A414" s="193">
        <v>410</v>
      </c>
      <c r="B414" s="215">
        <v>10</v>
      </c>
      <c r="C414" s="195" t="s">
        <v>276</v>
      </c>
      <c r="D414" s="195">
        <v>4</v>
      </c>
      <c r="E414" s="195" t="s">
        <v>286</v>
      </c>
      <c r="F414" s="196">
        <v>44448</v>
      </c>
      <c r="G414" s="197" t="s">
        <v>7</v>
      </c>
      <c r="H414" s="198">
        <v>2137</v>
      </c>
      <c r="I414" s="196" t="s">
        <v>292</v>
      </c>
      <c r="J414" s="199">
        <v>1815</v>
      </c>
      <c r="K414" s="198">
        <v>1859</v>
      </c>
      <c r="L414" s="200">
        <v>0</v>
      </c>
      <c r="M414" s="201"/>
      <c r="N414" s="199">
        <v>2137</v>
      </c>
      <c r="O414" s="202">
        <v>2.4</v>
      </c>
      <c r="P414" s="203">
        <v>2.2999999999999998</v>
      </c>
      <c r="Q414" s="203">
        <v>0.1</v>
      </c>
      <c r="R414" s="204">
        <v>3</v>
      </c>
      <c r="S414" s="203">
        <v>3</v>
      </c>
      <c r="T414" s="203">
        <v>0</v>
      </c>
      <c r="V414" s="198">
        <v>2137</v>
      </c>
      <c r="W414" s="202">
        <v>2.2999999999999998</v>
      </c>
      <c r="X414" s="203">
        <v>2.2999999999999998</v>
      </c>
      <c r="Y414" s="203">
        <v>0</v>
      </c>
      <c r="Z414" s="204">
        <v>3</v>
      </c>
      <c r="AA414" s="203">
        <v>3</v>
      </c>
      <c r="AB414" s="203">
        <v>0</v>
      </c>
      <c r="AD414" s="198">
        <v>2137</v>
      </c>
      <c r="AE414" s="202">
        <v>-0.10000000000000009</v>
      </c>
      <c r="AF414" s="203" t="s">
        <v>82</v>
      </c>
      <c r="AG414" s="203">
        <v>-0.1</v>
      </c>
      <c r="AH414" s="204" t="s">
        <v>82</v>
      </c>
      <c r="AI414" s="203" t="s">
        <v>82</v>
      </c>
      <c r="AJ414" s="203" t="s">
        <v>82</v>
      </c>
    </row>
    <row customFormat="1" r="415" s="205" spans="1:36" x14ac:dyDescent="0.2">
      <c r="A415" s="193">
        <v>411</v>
      </c>
      <c r="B415" s="215">
        <v>10</v>
      </c>
      <c r="C415" s="195" t="s">
        <v>276</v>
      </c>
      <c r="D415" s="195">
        <v>4</v>
      </c>
      <c r="E415" s="195" t="s">
        <v>286</v>
      </c>
      <c r="F415" s="196">
        <v>44455</v>
      </c>
      <c r="G415" s="197" t="s">
        <v>7</v>
      </c>
      <c r="H415" s="198">
        <v>2138</v>
      </c>
      <c r="I415" s="196" t="s">
        <v>292</v>
      </c>
      <c r="J415" s="199">
        <v>1815</v>
      </c>
      <c r="K415" s="198">
        <v>1859</v>
      </c>
      <c r="L415" s="200">
        <v>0</v>
      </c>
      <c r="M415" s="201"/>
      <c r="N415" s="199">
        <v>2138</v>
      </c>
      <c r="O415" s="202">
        <v>2.5</v>
      </c>
      <c r="P415" s="203">
        <v>2.4</v>
      </c>
      <c r="Q415" s="203">
        <v>0.1</v>
      </c>
      <c r="R415" s="204">
        <v>3</v>
      </c>
      <c r="S415" s="203">
        <v>3</v>
      </c>
      <c r="T415" s="203">
        <v>0</v>
      </c>
      <c r="V415" s="198">
        <v>2138</v>
      </c>
      <c r="W415" s="202">
        <v>2.4</v>
      </c>
      <c r="X415" s="203">
        <v>2.4</v>
      </c>
      <c r="Y415" s="203">
        <v>0</v>
      </c>
      <c r="Z415" s="204">
        <v>3</v>
      </c>
      <c r="AA415" s="203">
        <v>3</v>
      </c>
      <c r="AB415" s="203">
        <v>0</v>
      </c>
      <c r="AD415" s="198">
        <v>2138</v>
      </c>
      <c r="AE415" s="202">
        <v>-0.10000000000000009</v>
      </c>
      <c r="AF415" s="203" t="s">
        <v>82</v>
      </c>
      <c r="AG415" s="203">
        <v>-0.1</v>
      </c>
      <c r="AH415" s="204" t="s">
        <v>82</v>
      </c>
      <c r="AI415" s="203" t="s">
        <v>82</v>
      </c>
      <c r="AJ415" s="203" t="s">
        <v>82</v>
      </c>
    </row>
    <row customFormat="1" r="416" s="205" spans="1:36" x14ac:dyDescent="0.2">
      <c r="A416" s="193">
        <v>412</v>
      </c>
      <c r="B416" s="215">
        <v>10</v>
      </c>
      <c r="C416" s="195" t="s">
        <v>276</v>
      </c>
      <c r="D416" s="195">
        <v>4</v>
      </c>
      <c r="E416" s="195" t="s">
        <v>286</v>
      </c>
      <c r="F416" s="196">
        <v>44462</v>
      </c>
      <c r="G416" s="197" t="s">
        <v>7</v>
      </c>
      <c r="H416" s="198">
        <v>2139</v>
      </c>
      <c r="I416" s="196" t="s">
        <v>292</v>
      </c>
      <c r="J416" s="199">
        <v>1815</v>
      </c>
      <c r="K416" s="198">
        <v>1859</v>
      </c>
      <c r="L416" s="200">
        <v>0</v>
      </c>
      <c r="M416" s="201"/>
      <c r="N416" s="199">
        <v>2139</v>
      </c>
      <c r="O416" s="202">
        <v>2.4</v>
      </c>
      <c r="P416" s="203">
        <v>2.2999999999999998</v>
      </c>
      <c r="Q416" s="203">
        <v>0.1</v>
      </c>
      <c r="R416" s="204">
        <v>3.4</v>
      </c>
      <c r="S416" s="203">
        <v>3.4</v>
      </c>
      <c r="T416" s="203">
        <v>0</v>
      </c>
      <c r="V416" s="198">
        <v>2139</v>
      </c>
      <c r="W416" s="202">
        <v>2.2999999999999998</v>
      </c>
      <c r="X416" s="203">
        <v>2.2999999999999998</v>
      </c>
      <c r="Y416" s="203">
        <v>0</v>
      </c>
      <c r="Z416" s="204">
        <v>3.4</v>
      </c>
      <c r="AA416" s="203">
        <v>3.4</v>
      </c>
      <c r="AB416" s="203">
        <v>0</v>
      </c>
      <c r="AD416" s="198">
        <v>2139</v>
      </c>
      <c r="AE416" s="202">
        <v>-0.10000000000000009</v>
      </c>
      <c r="AF416" s="203" t="s">
        <v>82</v>
      </c>
      <c r="AG416" s="203">
        <v>-0.1</v>
      </c>
      <c r="AH416" s="204" t="s">
        <v>82</v>
      </c>
      <c r="AI416" s="203" t="s">
        <v>82</v>
      </c>
      <c r="AJ416" s="203" t="s">
        <v>82</v>
      </c>
    </row>
    <row customFormat="1" r="417" s="205" spans="1:36" x14ac:dyDescent="0.2">
      <c r="A417" s="193">
        <v>413</v>
      </c>
      <c r="B417" s="215">
        <v>11</v>
      </c>
      <c r="C417" s="195" t="s">
        <v>293</v>
      </c>
      <c r="D417" s="195">
        <v>3</v>
      </c>
      <c r="E417" s="195" t="s">
        <v>294</v>
      </c>
      <c r="F417" s="196">
        <v>44050</v>
      </c>
      <c r="G417" s="197" t="s">
        <v>8</v>
      </c>
      <c r="H417" s="198">
        <v>2032</v>
      </c>
      <c r="I417" s="196" t="s">
        <v>99</v>
      </c>
      <c r="J417" s="199">
        <v>550</v>
      </c>
      <c r="K417" s="198">
        <v>759</v>
      </c>
      <c r="L417" s="200">
        <v>0</v>
      </c>
      <c r="M417" s="201"/>
      <c r="N417" s="199">
        <v>2032</v>
      </c>
      <c r="O417" s="202">
        <v>4.5</v>
      </c>
      <c r="P417" s="203">
        <v>4.5</v>
      </c>
      <c r="Q417" s="203">
        <v>0</v>
      </c>
      <c r="R417" s="204">
        <v>3.8</v>
      </c>
      <c r="S417" s="203">
        <v>3.8</v>
      </c>
      <c r="T417" s="203" t="s">
        <v>84</v>
      </c>
      <c r="V417" s="198">
        <v>2032</v>
      </c>
      <c r="W417" s="202">
        <v>4.5</v>
      </c>
      <c r="X417" s="203">
        <v>4.5</v>
      </c>
      <c r="Y417" s="203">
        <v>0</v>
      </c>
      <c r="Z417" s="204">
        <v>3.8</v>
      </c>
      <c r="AA417" s="203">
        <v>3.8</v>
      </c>
      <c r="AB417" s="203" t="s">
        <v>84</v>
      </c>
      <c r="AD417" s="198">
        <v>2032</v>
      </c>
      <c r="AE417" s="202" t="s">
        <v>82</v>
      </c>
      <c r="AF417" s="203" t="s">
        <v>82</v>
      </c>
      <c r="AG417" s="203" t="s">
        <v>82</v>
      </c>
      <c r="AH417" s="204" t="s">
        <v>82</v>
      </c>
      <c r="AI417" s="203" t="s">
        <v>82</v>
      </c>
      <c r="AJ417" s="203" t="s">
        <v>82</v>
      </c>
    </row>
    <row customFormat="1" r="418" s="205" spans="1:36" x14ac:dyDescent="0.2">
      <c r="A418" s="193">
        <v>414</v>
      </c>
      <c r="B418" s="215">
        <v>11</v>
      </c>
      <c r="C418" s="195" t="s">
        <v>293</v>
      </c>
      <c r="D418" s="195">
        <v>3</v>
      </c>
      <c r="E418" s="195" t="s">
        <v>294</v>
      </c>
      <c r="F418" s="196">
        <v>44057</v>
      </c>
      <c r="G418" s="197" t="s">
        <v>8</v>
      </c>
      <c r="H418" s="198">
        <v>2033</v>
      </c>
      <c r="I418" s="196" t="s">
        <v>99</v>
      </c>
      <c r="J418" s="199">
        <v>550</v>
      </c>
      <c r="K418" s="198">
        <v>759</v>
      </c>
      <c r="L418" s="200">
        <v>0</v>
      </c>
      <c r="M418" s="201"/>
      <c r="N418" s="199">
        <v>2033</v>
      </c>
      <c r="O418" s="202">
        <v>4.5</v>
      </c>
      <c r="P418" s="203">
        <v>4.5</v>
      </c>
      <c r="Q418" s="203">
        <v>0</v>
      </c>
      <c r="R418" s="204">
        <v>3.7</v>
      </c>
      <c r="S418" s="203">
        <v>3.7</v>
      </c>
      <c r="T418" s="203" t="s">
        <v>84</v>
      </c>
      <c r="V418" s="198">
        <v>2033</v>
      </c>
      <c r="W418" s="202">
        <v>4.5</v>
      </c>
      <c r="X418" s="203">
        <v>4.5</v>
      </c>
      <c r="Y418" s="203">
        <v>0</v>
      </c>
      <c r="Z418" s="204">
        <v>3.7</v>
      </c>
      <c r="AA418" s="203">
        <v>3.7</v>
      </c>
      <c r="AB418" s="203" t="s">
        <v>84</v>
      </c>
      <c r="AD418" s="198">
        <v>2033</v>
      </c>
      <c r="AE418" s="202" t="s">
        <v>82</v>
      </c>
      <c r="AF418" s="203" t="s">
        <v>82</v>
      </c>
      <c r="AG418" s="203" t="s">
        <v>82</v>
      </c>
      <c r="AH418" s="204" t="s">
        <v>82</v>
      </c>
      <c r="AI418" s="203" t="s">
        <v>82</v>
      </c>
      <c r="AJ418" s="203" t="s">
        <v>82</v>
      </c>
    </row>
    <row customFormat="1" r="419" s="205" spans="1:36" x14ac:dyDescent="0.2">
      <c r="A419" s="193">
        <v>415</v>
      </c>
      <c r="B419" s="215">
        <v>11</v>
      </c>
      <c r="C419" s="195" t="s">
        <v>293</v>
      </c>
      <c r="D419" s="195">
        <v>3</v>
      </c>
      <c r="E419" s="195" t="s">
        <v>294</v>
      </c>
      <c r="F419" s="196">
        <v>44064</v>
      </c>
      <c r="G419" s="197" t="s">
        <v>8</v>
      </c>
      <c r="H419" s="198">
        <v>2034</v>
      </c>
      <c r="I419" s="196" t="s">
        <v>99</v>
      </c>
      <c r="J419" s="199">
        <v>550</v>
      </c>
      <c r="K419" s="198">
        <v>759</v>
      </c>
      <c r="L419" s="200">
        <v>0</v>
      </c>
      <c r="M419" s="201"/>
      <c r="N419" s="199">
        <v>2034</v>
      </c>
      <c r="O419" s="202">
        <v>3.9</v>
      </c>
      <c r="P419" s="203">
        <v>3.9</v>
      </c>
      <c r="Q419" s="203">
        <v>0</v>
      </c>
      <c r="R419" s="204">
        <v>4.0999999999999996</v>
      </c>
      <c r="S419" s="203">
        <v>4.0999999999999996</v>
      </c>
      <c r="T419" s="203" t="s">
        <v>84</v>
      </c>
      <c r="V419" s="198">
        <v>2034</v>
      </c>
      <c r="W419" s="202">
        <v>3.9</v>
      </c>
      <c r="X419" s="203">
        <v>3.9</v>
      </c>
      <c r="Y419" s="203">
        <v>0</v>
      </c>
      <c r="Z419" s="204">
        <v>4.0999999999999996</v>
      </c>
      <c r="AA419" s="203">
        <v>4.0999999999999996</v>
      </c>
      <c r="AB419" s="203" t="s">
        <v>84</v>
      </c>
      <c r="AD419" s="198">
        <v>2034</v>
      </c>
      <c r="AE419" s="202" t="s">
        <v>82</v>
      </c>
      <c r="AF419" s="203" t="s">
        <v>82</v>
      </c>
      <c r="AG419" s="203" t="s">
        <v>82</v>
      </c>
      <c r="AH419" s="204" t="s">
        <v>82</v>
      </c>
      <c r="AI419" s="203" t="s">
        <v>82</v>
      </c>
      <c r="AJ419" s="203" t="s">
        <v>82</v>
      </c>
    </row>
    <row customFormat="1" r="420" s="205" spans="1:36" x14ac:dyDescent="0.2">
      <c r="A420" s="193">
        <v>416</v>
      </c>
      <c r="B420" s="215">
        <v>11</v>
      </c>
      <c r="C420" s="195" t="s">
        <v>293</v>
      </c>
      <c r="D420" s="195">
        <v>3</v>
      </c>
      <c r="E420" s="195" t="s">
        <v>294</v>
      </c>
      <c r="F420" s="196">
        <v>44071</v>
      </c>
      <c r="G420" s="197" t="s">
        <v>8</v>
      </c>
      <c r="H420" s="198">
        <v>2035</v>
      </c>
      <c r="I420" s="196" t="s">
        <v>99</v>
      </c>
      <c r="J420" s="199">
        <v>550</v>
      </c>
      <c r="K420" s="198">
        <v>759</v>
      </c>
      <c r="L420" s="200">
        <v>0</v>
      </c>
      <c r="M420" s="201"/>
      <c r="N420" s="199">
        <v>2035</v>
      </c>
      <c r="O420" s="202">
        <v>3.9</v>
      </c>
      <c r="P420" s="203">
        <v>3.9</v>
      </c>
      <c r="Q420" s="203">
        <v>0</v>
      </c>
      <c r="R420" s="204">
        <v>4.4000000000000004</v>
      </c>
      <c r="S420" s="203">
        <v>4.4000000000000004</v>
      </c>
      <c r="T420" s="203" t="s">
        <v>84</v>
      </c>
      <c r="V420" s="198">
        <v>2035</v>
      </c>
      <c r="W420" s="202">
        <v>3.9</v>
      </c>
      <c r="X420" s="203">
        <v>3.9</v>
      </c>
      <c r="Y420" s="203">
        <v>0</v>
      </c>
      <c r="Z420" s="204">
        <v>4.4000000000000004</v>
      </c>
      <c r="AA420" s="203">
        <v>4.4000000000000004</v>
      </c>
      <c r="AB420" s="203" t="s">
        <v>84</v>
      </c>
      <c r="AD420" s="198">
        <v>2035</v>
      </c>
      <c r="AE420" s="202" t="s">
        <v>82</v>
      </c>
      <c r="AF420" s="203" t="s">
        <v>82</v>
      </c>
      <c r="AG420" s="203" t="s">
        <v>82</v>
      </c>
      <c r="AH420" s="204" t="s">
        <v>82</v>
      </c>
      <c r="AI420" s="203" t="s">
        <v>82</v>
      </c>
      <c r="AJ420" s="203" t="s">
        <v>82</v>
      </c>
    </row>
    <row customFormat="1" r="421" s="205" spans="1:36" x14ac:dyDescent="0.2">
      <c r="A421" s="193">
        <v>417</v>
      </c>
      <c r="B421" s="215">
        <v>11</v>
      </c>
      <c r="C421" s="195" t="s">
        <v>293</v>
      </c>
      <c r="D421" s="195">
        <v>4</v>
      </c>
      <c r="E421" s="195" t="s">
        <v>295</v>
      </c>
      <c r="F421" s="196">
        <v>44388</v>
      </c>
      <c r="G421" s="197" t="s">
        <v>10</v>
      </c>
      <c r="H421" s="198">
        <v>2128</v>
      </c>
      <c r="I421" s="196" t="s">
        <v>290</v>
      </c>
      <c r="J421" s="199">
        <v>550</v>
      </c>
      <c r="K421" s="198">
        <v>619</v>
      </c>
      <c r="L421" s="200">
        <v>1</v>
      </c>
      <c r="M421" s="201"/>
      <c r="N421" s="199">
        <v>2128</v>
      </c>
      <c r="O421" s="202">
        <v>0.8</v>
      </c>
      <c r="P421" s="203">
        <v>0.2</v>
      </c>
      <c r="Q421" s="203">
        <v>0.6</v>
      </c>
      <c r="R421" s="204">
        <v>1.1000000000000001</v>
      </c>
      <c r="S421" s="203">
        <v>0.5</v>
      </c>
      <c r="T421" s="203">
        <v>0.6</v>
      </c>
      <c r="V421" s="198">
        <v>2128</v>
      </c>
      <c r="W421" s="202">
        <v>0.2</v>
      </c>
      <c r="X421" s="203">
        <v>0.2</v>
      </c>
      <c r="Y421" s="203">
        <v>0</v>
      </c>
      <c r="Z421" s="204">
        <v>0.5</v>
      </c>
      <c r="AA421" s="203">
        <v>0.5</v>
      </c>
      <c r="AB421" s="203">
        <v>0</v>
      </c>
      <c r="AD421" s="198">
        <v>2128</v>
      </c>
      <c r="AE421" s="202">
        <v>-0.60000000000000009</v>
      </c>
      <c r="AF421" s="203" t="s">
        <v>82</v>
      </c>
      <c r="AG421" s="203">
        <v>-0.6</v>
      </c>
      <c r="AH421" s="204">
        <v>-0.60000000000000009</v>
      </c>
      <c r="AI421" s="203" t="s">
        <v>82</v>
      </c>
      <c r="AJ421" s="203">
        <v>-0.6</v>
      </c>
    </row>
    <row customFormat="1" r="422" s="205" spans="1:36" x14ac:dyDescent="0.2">
      <c r="A422" s="193">
        <v>418</v>
      </c>
      <c r="B422" s="215">
        <v>11</v>
      </c>
      <c r="C422" s="195" t="s">
        <v>293</v>
      </c>
      <c r="D422" s="195">
        <v>4</v>
      </c>
      <c r="E422" s="195" t="s">
        <v>295</v>
      </c>
      <c r="F422" s="196">
        <v>44395</v>
      </c>
      <c r="G422" s="197" t="s">
        <v>10</v>
      </c>
      <c r="H422" s="198">
        <v>2129</v>
      </c>
      <c r="I422" s="196" t="s">
        <v>290</v>
      </c>
      <c r="J422" s="199">
        <v>550</v>
      </c>
      <c r="K422" s="198">
        <v>619</v>
      </c>
      <c r="L422" s="200">
        <v>1</v>
      </c>
      <c r="M422" s="201"/>
      <c r="N422" s="199">
        <v>2129</v>
      </c>
      <c r="O422" s="202">
        <v>0.9</v>
      </c>
      <c r="P422" s="203">
        <v>0.3</v>
      </c>
      <c r="Q422" s="203">
        <v>0.6</v>
      </c>
      <c r="R422" s="204">
        <v>1.3</v>
      </c>
      <c r="S422" s="203">
        <v>0.7</v>
      </c>
      <c r="T422" s="203">
        <v>0.6</v>
      </c>
      <c r="V422" s="198">
        <v>2129</v>
      </c>
      <c r="W422" s="202">
        <v>0.3</v>
      </c>
      <c r="X422" s="203">
        <v>0.3</v>
      </c>
      <c r="Y422" s="203">
        <v>0</v>
      </c>
      <c r="Z422" s="204">
        <v>0.7</v>
      </c>
      <c r="AA422" s="203">
        <v>0.7</v>
      </c>
      <c r="AB422" s="203">
        <v>0</v>
      </c>
      <c r="AD422" s="198">
        <v>2129</v>
      </c>
      <c r="AE422" s="202">
        <v>-0.60000000000000009</v>
      </c>
      <c r="AF422" s="203" t="s">
        <v>82</v>
      </c>
      <c r="AG422" s="203">
        <v>-0.6</v>
      </c>
      <c r="AH422" s="204">
        <v>-0.60000000000000009</v>
      </c>
      <c r="AI422" s="203" t="s">
        <v>82</v>
      </c>
      <c r="AJ422" s="203">
        <v>-0.6</v>
      </c>
    </row>
    <row customFormat="1" r="423" s="205" spans="1:36" x14ac:dyDescent="0.2">
      <c r="A423" s="193">
        <v>419</v>
      </c>
      <c r="B423" s="215">
        <v>11</v>
      </c>
      <c r="C423" s="195" t="s">
        <v>293</v>
      </c>
      <c r="D423" s="195">
        <v>4</v>
      </c>
      <c r="E423" s="195" t="s">
        <v>295</v>
      </c>
      <c r="F423" s="196">
        <v>44402</v>
      </c>
      <c r="G423" s="197" t="s">
        <v>10</v>
      </c>
      <c r="H423" s="198">
        <v>2130</v>
      </c>
      <c r="I423" s="196" t="s">
        <v>290</v>
      </c>
      <c r="J423" s="199">
        <v>550</v>
      </c>
      <c r="K423" s="198">
        <v>619</v>
      </c>
      <c r="L423" s="200">
        <v>1</v>
      </c>
      <c r="M423" s="201"/>
      <c r="N423" s="199">
        <v>2130</v>
      </c>
      <c r="O423" s="202">
        <v>0.9</v>
      </c>
      <c r="P423" s="203">
        <v>0.3</v>
      </c>
      <c r="Q423" s="203">
        <v>0.6</v>
      </c>
      <c r="R423" s="204">
        <v>1.3</v>
      </c>
      <c r="S423" s="203">
        <v>0.7</v>
      </c>
      <c r="T423" s="203">
        <v>0.6</v>
      </c>
      <c r="V423" s="198">
        <v>2130</v>
      </c>
      <c r="W423" s="202">
        <v>0.3</v>
      </c>
      <c r="X423" s="203">
        <v>0.3</v>
      </c>
      <c r="Y423" s="203">
        <v>0</v>
      </c>
      <c r="Z423" s="204">
        <v>0.7</v>
      </c>
      <c r="AA423" s="203">
        <v>0.7</v>
      </c>
      <c r="AB423" s="203">
        <v>0</v>
      </c>
      <c r="AD423" s="198">
        <v>2130</v>
      </c>
      <c r="AE423" s="202">
        <v>-0.60000000000000009</v>
      </c>
      <c r="AF423" s="203" t="s">
        <v>82</v>
      </c>
      <c r="AG423" s="203">
        <v>-0.6</v>
      </c>
      <c r="AH423" s="204">
        <v>-0.60000000000000009</v>
      </c>
      <c r="AI423" s="203" t="s">
        <v>82</v>
      </c>
      <c r="AJ423" s="203">
        <v>-0.6</v>
      </c>
    </row>
    <row customFormat="1" r="424" s="205" spans="1:36" x14ac:dyDescent="0.2">
      <c r="A424" s="193">
        <v>420</v>
      </c>
      <c r="B424" s="215">
        <v>11</v>
      </c>
      <c r="C424" s="195" t="s">
        <v>293</v>
      </c>
      <c r="D424" s="195">
        <v>4</v>
      </c>
      <c r="E424" s="195" t="s">
        <v>295</v>
      </c>
      <c r="F424" s="196">
        <v>44409</v>
      </c>
      <c r="G424" s="197" t="s">
        <v>10</v>
      </c>
      <c r="H424" s="198">
        <v>2131</v>
      </c>
      <c r="I424" s="196" t="s">
        <v>290</v>
      </c>
      <c r="J424" s="199">
        <v>550</v>
      </c>
      <c r="K424" s="198">
        <v>619</v>
      </c>
      <c r="L424" s="200">
        <v>1</v>
      </c>
      <c r="M424" s="201"/>
      <c r="N424" s="199">
        <v>2131</v>
      </c>
      <c r="O424" s="202">
        <v>0.9</v>
      </c>
      <c r="P424" s="203">
        <v>0.3</v>
      </c>
      <c r="Q424" s="203">
        <v>0.6</v>
      </c>
      <c r="R424" s="204">
        <v>1.4</v>
      </c>
      <c r="S424" s="203">
        <v>0.8</v>
      </c>
      <c r="T424" s="203">
        <v>0.6</v>
      </c>
      <c r="V424" s="198">
        <v>2131</v>
      </c>
      <c r="W424" s="202">
        <v>0.3</v>
      </c>
      <c r="X424" s="203">
        <v>0.3</v>
      </c>
      <c r="Y424" s="203">
        <v>0</v>
      </c>
      <c r="Z424" s="204">
        <v>0.8</v>
      </c>
      <c r="AA424" s="203">
        <v>0.8</v>
      </c>
      <c r="AB424" s="203">
        <v>0</v>
      </c>
      <c r="AD424" s="198">
        <v>2131</v>
      </c>
      <c r="AE424" s="202">
        <v>-0.60000000000000009</v>
      </c>
      <c r="AF424" s="203" t="s">
        <v>82</v>
      </c>
      <c r="AG424" s="203">
        <v>-0.6</v>
      </c>
      <c r="AH424" s="204">
        <v>-0.59999999999999987</v>
      </c>
      <c r="AI424" s="203" t="s">
        <v>82</v>
      </c>
      <c r="AJ424" s="203">
        <v>-0.6</v>
      </c>
    </row>
    <row customFormat="1" r="425" s="205" spans="1:36" x14ac:dyDescent="0.2">
      <c r="A425" s="193">
        <v>421</v>
      </c>
      <c r="B425" s="215">
        <v>12</v>
      </c>
      <c r="C425" s="195" t="s">
        <v>296</v>
      </c>
      <c r="D425" s="195">
        <v>2</v>
      </c>
      <c r="E425" s="195" t="s">
        <v>297</v>
      </c>
      <c r="F425" s="196">
        <v>44189</v>
      </c>
      <c r="G425" s="197" t="s">
        <v>7</v>
      </c>
      <c r="H425" s="198">
        <v>2052</v>
      </c>
      <c r="I425" s="196" t="s">
        <v>298</v>
      </c>
      <c r="J425" s="199">
        <v>1550</v>
      </c>
      <c r="K425" s="198">
        <v>1752</v>
      </c>
      <c r="L425" s="200">
        <v>0</v>
      </c>
      <c r="M425" s="201"/>
      <c r="N425" s="199">
        <v>2052</v>
      </c>
      <c r="O425" s="202">
        <v>4.2</v>
      </c>
      <c r="P425" s="203">
        <v>4.2</v>
      </c>
      <c r="Q425" s="203">
        <v>0</v>
      </c>
      <c r="R425" s="204">
        <v>6.1</v>
      </c>
      <c r="S425" s="203">
        <v>6.1</v>
      </c>
      <c r="T425" s="203" t="s">
        <v>84</v>
      </c>
      <c r="V425" s="198">
        <v>2052</v>
      </c>
      <c r="W425" s="202">
        <v>4.2</v>
      </c>
      <c r="X425" s="203">
        <v>4.2</v>
      </c>
      <c r="Y425" s="203">
        <v>0</v>
      </c>
      <c r="Z425" s="204">
        <v>6.1</v>
      </c>
      <c r="AA425" s="203">
        <v>6.1</v>
      </c>
      <c r="AB425" s="203" t="s">
        <v>84</v>
      </c>
      <c r="AD425" s="198">
        <v>2052</v>
      </c>
      <c r="AE425" s="202" t="s">
        <v>82</v>
      </c>
      <c r="AF425" s="203" t="s">
        <v>82</v>
      </c>
      <c r="AG425" s="203" t="s">
        <v>82</v>
      </c>
      <c r="AH425" s="204" t="s">
        <v>82</v>
      </c>
      <c r="AI425" s="203" t="s">
        <v>82</v>
      </c>
      <c r="AJ425" s="203" t="s">
        <v>82</v>
      </c>
    </row>
    <row customFormat="1" r="426" s="205" spans="1:36" x14ac:dyDescent="0.2">
      <c r="A426" s="193">
        <v>422</v>
      </c>
      <c r="B426" s="215">
        <v>12</v>
      </c>
      <c r="C426" s="195" t="s">
        <v>296</v>
      </c>
      <c r="D426" s="195">
        <v>2</v>
      </c>
      <c r="E426" s="195" t="s">
        <v>297</v>
      </c>
      <c r="F426" s="196">
        <v>44196</v>
      </c>
      <c r="G426" s="197" t="s">
        <v>7</v>
      </c>
      <c r="H426" s="198">
        <v>2101</v>
      </c>
      <c r="I426" s="196" t="s">
        <v>299</v>
      </c>
      <c r="J426" s="199">
        <v>1600</v>
      </c>
      <c r="K426" s="198">
        <v>1659</v>
      </c>
      <c r="L426" s="200">
        <v>0</v>
      </c>
      <c r="M426" s="201"/>
      <c r="N426" s="199">
        <v>2101</v>
      </c>
      <c r="O426" s="202">
        <v>4.2</v>
      </c>
      <c r="P426" s="203">
        <v>4.0999999999999996</v>
      </c>
      <c r="Q426" s="203">
        <v>0.1</v>
      </c>
      <c r="R426" s="204">
        <v>5</v>
      </c>
      <c r="S426" s="203">
        <v>5</v>
      </c>
      <c r="T426" s="203" t="s">
        <v>84</v>
      </c>
      <c r="V426" s="198">
        <v>2101</v>
      </c>
      <c r="W426" s="202">
        <v>4.0999999999999996</v>
      </c>
      <c r="X426" s="203">
        <v>4.0999999999999996</v>
      </c>
      <c r="Y426" s="203">
        <v>0</v>
      </c>
      <c r="Z426" s="204">
        <v>5</v>
      </c>
      <c r="AA426" s="203">
        <v>5</v>
      </c>
      <c r="AB426" s="203" t="s">
        <v>84</v>
      </c>
      <c r="AD426" s="198">
        <v>2101</v>
      </c>
      <c r="AE426" s="202">
        <v>-0.10000000000000053</v>
      </c>
      <c r="AF426" s="203" t="s">
        <v>82</v>
      </c>
      <c r="AG426" s="203">
        <v>-0.1</v>
      </c>
      <c r="AH426" s="204" t="s">
        <v>82</v>
      </c>
      <c r="AI426" s="203" t="s">
        <v>82</v>
      </c>
      <c r="AJ426" s="203" t="s">
        <v>82</v>
      </c>
    </row>
    <row customFormat="1" r="427" s="205" spans="1:36" x14ac:dyDescent="0.2">
      <c r="A427" s="193">
        <v>423</v>
      </c>
      <c r="B427" s="215">
        <v>12</v>
      </c>
      <c r="C427" s="195" t="s">
        <v>296</v>
      </c>
      <c r="D427" s="195">
        <v>2</v>
      </c>
      <c r="E427" s="195" t="s">
        <v>297</v>
      </c>
      <c r="F427" s="196">
        <v>44203</v>
      </c>
      <c r="G427" s="197" t="s">
        <v>7</v>
      </c>
      <c r="H427" s="198">
        <v>2102</v>
      </c>
      <c r="I427" s="196" t="s">
        <v>298</v>
      </c>
      <c r="J427" s="199">
        <v>1550</v>
      </c>
      <c r="K427" s="198">
        <v>1752</v>
      </c>
      <c r="L427" s="200">
        <v>0</v>
      </c>
      <c r="M427" s="201"/>
      <c r="N427" s="199">
        <v>2102</v>
      </c>
      <c r="O427" s="202">
        <v>4.5</v>
      </c>
      <c r="P427" s="203">
        <v>4.4000000000000004</v>
      </c>
      <c r="Q427" s="203">
        <v>0.1</v>
      </c>
      <c r="R427" s="204">
        <v>6.5</v>
      </c>
      <c r="S427" s="203">
        <v>6.5</v>
      </c>
      <c r="T427" s="203">
        <v>0</v>
      </c>
      <c r="V427" s="198">
        <v>2102</v>
      </c>
      <c r="W427" s="202">
        <v>4.4000000000000004</v>
      </c>
      <c r="X427" s="203">
        <v>4.4000000000000004</v>
      </c>
      <c r="Y427" s="203">
        <v>0</v>
      </c>
      <c r="Z427" s="204">
        <v>6.5</v>
      </c>
      <c r="AA427" s="203">
        <v>6.5</v>
      </c>
      <c r="AB427" s="203">
        <v>0</v>
      </c>
      <c r="AD427" s="198">
        <v>2102</v>
      </c>
      <c r="AE427" s="202">
        <v>-9.9999999999999645E-2</v>
      </c>
      <c r="AF427" s="203" t="s">
        <v>82</v>
      </c>
      <c r="AG427" s="203">
        <v>-0.1</v>
      </c>
      <c r="AH427" s="204" t="s">
        <v>82</v>
      </c>
      <c r="AI427" s="203" t="s">
        <v>82</v>
      </c>
      <c r="AJ427" s="203" t="s">
        <v>82</v>
      </c>
    </row>
    <row customFormat="1" r="428" s="205" spans="1:36" x14ac:dyDescent="0.2">
      <c r="A428" s="193">
        <v>424</v>
      </c>
      <c r="B428" s="215">
        <v>12</v>
      </c>
      <c r="C428" s="195" t="s">
        <v>296</v>
      </c>
      <c r="D428" s="195">
        <v>2</v>
      </c>
      <c r="E428" s="195" t="s">
        <v>297</v>
      </c>
      <c r="F428" s="196">
        <v>44210</v>
      </c>
      <c r="G428" s="197" t="s">
        <v>7</v>
      </c>
      <c r="H428" s="198">
        <v>2103</v>
      </c>
      <c r="I428" s="196" t="s">
        <v>298</v>
      </c>
      <c r="J428" s="199">
        <v>1550</v>
      </c>
      <c r="K428" s="198">
        <v>1752</v>
      </c>
      <c r="L428" s="200">
        <v>0</v>
      </c>
      <c r="M428" s="201"/>
      <c r="N428" s="199">
        <v>2103</v>
      </c>
      <c r="O428" s="202">
        <v>5.3</v>
      </c>
      <c r="P428" s="203">
        <v>5.2</v>
      </c>
      <c r="Q428" s="203">
        <v>0.1</v>
      </c>
      <c r="R428" s="204">
        <v>7.2</v>
      </c>
      <c r="S428" s="203">
        <v>7.2</v>
      </c>
      <c r="T428" s="203">
        <v>0</v>
      </c>
      <c r="V428" s="198">
        <v>2103</v>
      </c>
      <c r="W428" s="202">
        <v>5.2</v>
      </c>
      <c r="X428" s="203">
        <v>5.2</v>
      </c>
      <c r="Y428" s="203">
        <v>0</v>
      </c>
      <c r="Z428" s="204">
        <v>7.2</v>
      </c>
      <c r="AA428" s="203">
        <v>7.2</v>
      </c>
      <c r="AB428" s="203">
        <v>0</v>
      </c>
      <c r="AD428" s="198">
        <v>2103</v>
      </c>
      <c r="AE428" s="202">
        <v>-9.9999999999999645E-2</v>
      </c>
      <c r="AF428" s="203" t="s">
        <v>82</v>
      </c>
      <c r="AG428" s="203">
        <v>-0.1</v>
      </c>
      <c r="AH428" s="204" t="s">
        <v>82</v>
      </c>
      <c r="AI428" s="203" t="s">
        <v>82</v>
      </c>
      <c r="AJ428" s="203" t="s">
        <v>82</v>
      </c>
    </row>
    <row customFormat="1" r="429" s="205" spans="1:36" x14ac:dyDescent="0.2">
      <c r="A429" s="193">
        <v>425</v>
      </c>
      <c r="B429" s="215">
        <v>12</v>
      </c>
      <c r="C429" s="195" t="s">
        <v>296</v>
      </c>
      <c r="D429" s="195">
        <v>2</v>
      </c>
      <c r="E429" s="195" t="s">
        <v>297</v>
      </c>
      <c r="F429" s="196">
        <v>44261</v>
      </c>
      <c r="G429" s="197" t="s">
        <v>9</v>
      </c>
      <c r="H429" s="198">
        <v>2110</v>
      </c>
      <c r="I429" s="196" t="s">
        <v>177</v>
      </c>
      <c r="J429" s="199">
        <v>800</v>
      </c>
      <c r="K429" s="198">
        <v>924</v>
      </c>
      <c r="L429" s="200">
        <v>0</v>
      </c>
      <c r="M429" s="201"/>
      <c r="N429" s="199">
        <v>2110</v>
      </c>
      <c r="O429" s="202">
        <v>5.9</v>
      </c>
      <c r="P429" s="203">
        <v>5.7</v>
      </c>
      <c r="Q429" s="203">
        <v>0.2</v>
      </c>
      <c r="R429" s="204">
        <v>4.9000000000000004</v>
      </c>
      <c r="S429" s="203">
        <v>4.7</v>
      </c>
      <c r="T429" s="203">
        <v>0.2</v>
      </c>
      <c r="V429" s="198">
        <v>2110</v>
      </c>
      <c r="W429" s="202">
        <v>5.8</v>
      </c>
      <c r="X429" s="203">
        <v>5.7</v>
      </c>
      <c r="Y429" s="203">
        <v>0.1</v>
      </c>
      <c r="Z429" s="204">
        <v>4.9000000000000004</v>
      </c>
      <c r="AA429" s="203">
        <v>4.7</v>
      </c>
      <c r="AB429" s="203">
        <v>0.2</v>
      </c>
      <c r="AD429" s="198">
        <v>2110</v>
      </c>
      <c r="AE429" s="202">
        <v>-0.10000000000000053</v>
      </c>
      <c r="AF429" s="203" t="s">
        <v>82</v>
      </c>
      <c r="AG429" s="203">
        <v>-0.1</v>
      </c>
      <c r="AH429" s="204" t="s">
        <v>82</v>
      </c>
      <c r="AI429" s="203" t="s">
        <v>82</v>
      </c>
      <c r="AJ429" s="203" t="s">
        <v>82</v>
      </c>
    </row>
    <row customFormat="1" r="430" s="205" spans="1:36" x14ac:dyDescent="0.2">
      <c r="A430" s="193">
        <v>426</v>
      </c>
      <c r="B430" s="215">
        <v>12</v>
      </c>
      <c r="C430" s="195" t="s">
        <v>296</v>
      </c>
      <c r="D430" s="195">
        <v>2</v>
      </c>
      <c r="E430" s="195" t="s">
        <v>297</v>
      </c>
      <c r="F430" s="196">
        <v>44268</v>
      </c>
      <c r="G430" s="197" t="s">
        <v>9</v>
      </c>
      <c r="H430" s="198">
        <v>2111</v>
      </c>
      <c r="I430" s="196" t="s">
        <v>177</v>
      </c>
      <c r="J430" s="199">
        <v>800</v>
      </c>
      <c r="K430" s="198">
        <v>924</v>
      </c>
      <c r="L430" s="200">
        <v>0</v>
      </c>
      <c r="M430" s="201"/>
      <c r="N430" s="199">
        <v>2111</v>
      </c>
      <c r="O430" s="202">
        <v>5.3</v>
      </c>
      <c r="P430" s="203">
        <v>5.2</v>
      </c>
      <c r="Q430" s="203">
        <v>0.1</v>
      </c>
      <c r="R430" s="204">
        <v>4.4000000000000004</v>
      </c>
      <c r="S430" s="203">
        <v>4.3</v>
      </c>
      <c r="T430" s="203">
        <v>0.1</v>
      </c>
      <c r="V430" s="198">
        <v>2111</v>
      </c>
      <c r="W430" s="202">
        <v>5.2</v>
      </c>
      <c r="X430" s="203">
        <v>5.2</v>
      </c>
      <c r="Y430" s="203">
        <v>0</v>
      </c>
      <c r="Z430" s="204">
        <v>4.4000000000000004</v>
      </c>
      <c r="AA430" s="203">
        <v>4.3</v>
      </c>
      <c r="AB430" s="203">
        <v>0.1</v>
      </c>
      <c r="AD430" s="198">
        <v>2111</v>
      </c>
      <c r="AE430" s="202">
        <v>-9.9999999999999645E-2</v>
      </c>
      <c r="AF430" s="203" t="s">
        <v>82</v>
      </c>
      <c r="AG430" s="203">
        <v>-0.1</v>
      </c>
      <c r="AH430" s="204"/>
      <c r="AI430" s="203" t="s">
        <v>82</v>
      </c>
      <c r="AJ430" s="203" t="s">
        <v>82</v>
      </c>
    </row>
    <row customFormat="1" r="431" s="205" spans="1:36" x14ac:dyDescent="0.2">
      <c r="A431" s="193">
        <v>427</v>
      </c>
      <c r="B431" s="215">
        <v>12</v>
      </c>
      <c r="C431" s="195" t="s">
        <v>296</v>
      </c>
      <c r="D431" s="195">
        <v>2</v>
      </c>
      <c r="E431" s="195" t="s">
        <v>297</v>
      </c>
      <c r="F431" s="196">
        <v>44275</v>
      </c>
      <c r="G431" s="197" t="s">
        <v>9</v>
      </c>
      <c r="H431" s="198">
        <v>2112</v>
      </c>
      <c r="I431" s="196" t="s">
        <v>177</v>
      </c>
      <c r="J431" s="199">
        <v>800</v>
      </c>
      <c r="K431" s="198">
        <v>924</v>
      </c>
      <c r="L431" s="200">
        <v>0</v>
      </c>
      <c r="M431" s="201"/>
      <c r="N431" s="199">
        <v>2112</v>
      </c>
      <c r="O431" s="202">
        <v>5.0999999999999996</v>
      </c>
      <c r="P431" s="203">
        <v>5</v>
      </c>
      <c r="Q431" s="203">
        <v>0.1</v>
      </c>
      <c r="R431" s="204">
        <v>4.0999999999999996</v>
      </c>
      <c r="S431" s="203">
        <v>4</v>
      </c>
      <c r="T431" s="203">
        <v>0.1</v>
      </c>
      <c r="V431" s="198">
        <v>2112</v>
      </c>
      <c r="W431" s="202">
        <v>5</v>
      </c>
      <c r="X431" s="203">
        <v>5</v>
      </c>
      <c r="Y431" s="203">
        <v>0</v>
      </c>
      <c r="Z431" s="204">
        <v>4.0999999999999996</v>
      </c>
      <c r="AA431" s="203">
        <v>4</v>
      </c>
      <c r="AB431" s="203">
        <v>0.1</v>
      </c>
      <c r="AD431" s="198">
        <v>2112</v>
      </c>
      <c r="AE431" s="202">
        <v>-9.9999999999999645E-2</v>
      </c>
      <c r="AF431" s="203" t="s">
        <v>82</v>
      </c>
      <c r="AG431" s="203">
        <v>-0.1</v>
      </c>
      <c r="AH431" s="204" t="s">
        <v>82</v>
      </c>
      <c r="AI431" s="203" t="s">
        <v>82</v>
      </c>
      <c r="AJ431" s="203" t="s">
        <v>82</v>
      </c>
    </row>
    <row customFormat="1" r="432" s="205" spans="1:36" x14ac:dyDescent="0.2">
      <c r="A432" s="193">
        <v>428</v>
      </c>
      <c r="B432" s="215">
        <v>12</v>
      </c>
      <c r="C432" s="195" t="s">
        <v>296</v>
      </c>
      <c r="D432" s="195">
        <v>2</v>
      </c>
      <c r="E432" s="195" t="s">
        <v>297</v>
      </c>
      <c r="F432" s="196">
        <v>44282</v>
      </c>
      <c r="G432" s="197" t="s">
        <v>9</v>
      </c>
      <c r="H432" s="198">
        <v>2113</v>
      </c>
      <c r="I432" s="196" t="s">
        <v>177</v>
      </c>
      <c r="J432" s="199">
        <v>800</v>
      </c>
      <c r="K432" s="198">
        <v>924</v>
      </c>
      <c r="L432" s="200">
        <v>0</v>
      </c>
      <c r="M432" s="201"/>
      <c r="N432" s="199">
        <v>2113</v>
      </c>
      <c r="O432" s="202">
        <v>5.4</v>
      </c>
      <c r="P432" s="203">
        <v>5.3</v>
      </c>
      <c r="Q432" s="203">
        <v>0.1</v>
      </c>
      <c r="R432" s="204">
        <v>4.0999999999999996</v>
      </c>
      <c r="S432" s="203">
        <v>4</v>
      </c>
      <c r="T432" s="203">
        <v>0.1</v>
      </c>
      <c r="V432" s="198">
        <v>2113</v>
      </c>
      <c r="W432" s="202">
        <v>5.3</v>
      </c>
      <c r="X432" s="203">
        <v>5.3</v>
      </c>
      <c r="Y432" s="203">
        <v>0</v>
      </c>
      <c r="Z432" s="204">
        <v>4.0999999999999996</v>
      </c>
      <c r="AA432" s="203">
        <v>4</v>
      </c>
      <c r="AB432" s="203">
        <v>0.1</v>
      </c>
      <c r="AD432" s="198">
        <v>2113</v>
      </c>
      <c r="AE432" s="202">
        <v>-0.10000000000000053</v>
      </c>
      <c r="AF432" s="203" t="s">
        <v>82</v>
      </c>
      <c r="AG432" s="203">
        <v>-0.1</v>
      </c>
      <c r="AH432" s="204" t="s">
        <v>82</v>
      </c>
      <c r="AI432" s="203" t="s">
        <v>82</v>
      </c>
      <c r="AJ432" s="203" t="s">
        <v>82</v>
      </c>
    </row>
    <row customFormat="1" r="433" s="205" spans="1:36" x14ac:dyDescent="0.2">
      <c r="A433" s="193">
        <v>429</v>
      </c>
      <c r="B433" s="215">
        <v>12</v>
      </c>
      <c r="C433" s="195" t="s">
        <v>296</v>
      </c>
      <c r="D433" s="195">
        <v>3</v>
      </c>
      <c r="E433" s="195" t="s">
        <v>300</v>
      </c>
      <c r="F433" s="196">
        <v>44482</v>
      </c>
      <c r="G433" s="197" t="s">
        <v>6</v>
      </c>
      <c r="H433" s="198">
        <v>2142</v>
      </c>
      <c r="I433" s="196" t="s">
        <v>301</v>
      </c>
      <c r="J433" s="199">
        <v>2100</v>
      </c>
      <c r="K433" s="198">
        <v>2208</v>
      </c>
      <c r="L433" s="200">
        <v>0</v>
      </c>
      <c r="M433" s="201"/>
      <c r="N433" s="199">
        <v>2142</v>
      </c>
      <c r="O433" s="202">
        <v>6</v>
      </c>
      <c r="P433" s="203">
        <v>4.0999999999999996</v>
      </c>
      <c r="Q433" s="203">
        <v>1.9</v>
      </c>
      <c r="R433" s="204">
        <v>5</v>
      </c>
      <c r="S433" s="203">
        <v>5</v>
      </c>
      <c r="T433" s="203" t="s">
        <v>84</v>
      </c>
      <c r="V433" s="198">
        <v>2142</v>
      </c>
      <c r="W433" s="202">
        <v>5</v>
      </c>
      <c r="X433" s="203">
        <v>4.0999999999999996</v>
      </c>
      <c r="Y433" s="203">
        <v>0.9</v>
      </c>
      <c r="Z433" s="204">
        <v>5</v>
      </c>
      <c r="AA433" s="203">
        <v>5</v>
      </c>
      <c r="AB433" s="203" t="s">
        <v>84</v>
      </c>
      <c r="AD433" s="198">
        <v>2142</v>
      </c>
      <c r="AE433" s="202">
        <v>-1</v>
      </c>
      <c r="AF433" s="203" t="s">
        <v>82</v>
      </c>
      <c r="AG433" s="203">
        <v>-0.99999999999999989</v>
      </c>
      <c r="AH433" s="204" t="s">
        <v>82</v>
      </c>
      <c r="AI433" s="203" t="s">
        <v>82</v>
      </c>
      <c r="AJ433" s="203" t="s">
        <v>82</v>
      </c>
    </row>
    <row customFormat="1" r="434" s="205" spans="1:36" x14ac:dyDescent="0.2">
      <c r="A434" s="193">
        <v>430</v>
      </c>
      <c r="B434" s="215">
        <v>12</v>
      </c>
      <c r="C434" s="195" t="s">
        <v>296</v>
      </c>
      <c r="D434" s="195">
        <v>3</v>
      </c>
      <c r="E434" s="195" t="s">
        <v>300</v>
      </c>
      <c r="F434" s="196">
        <v>44489</v>
      </c>
      <c r="G434" s="197" t="s">
        <v>6</v>
      </c>
      <c r="H434" s="198">
        <v>2143</v>
      </c>
      <c r="I434" s="196" t="s">
        <v>302</v>
      </c>
      <c r="J434" s="199">
        <v>2100</v>
      </c>
      <c r="K434" s="198">
        <v>2203</v>
      </c>
      <c r="L434" s="200">
        <v>0</v>
      </c>
      <c r="M434" s="201"/>
      <c r="N434" s="199">
        <v>2143</v>
      </c>
      <c r="O434" s="202">
        <v>6.6</v>
      </c>
      <c r="P434" s="203">
        <v>4.5</v>
      </c>
      <c r="Q434" s="203">
        <v>2.1</v>
      </c>
      <c r="R434" s="204">
        <v>5.3</v>
      </c>
      <c r="S434" s="203">
        <v>5.3</v>
      </c>
      <c r="T434" s="203" t="s">
        <v>84</v>
      </c>
      <c r="V434" s="198">
        <v>2143</v>
      </c>
      <c r="W434" s="202">
        <v>5.5</v>
      </c>
      <c r="X434" s="203">
        <v>4.5</v>
      </c>
      <c r="Y434" s="203">
        <v>1</v>
      </c>
      <c r="Z434" s="204">
        <v>5.3</v>
      </c>
      <c r="AA434" s="203">
        <v>5.3</v>
      </c>
      <c r="AB434" s="203" t="s">
        <v>84</v>
      </c>
      <c r="AD434" s="198">
        <v>2143</v>
      </c>
      <c r="AE434" s="202">
        <v>-1.0999999999999996</v>
      </c>
      <c r="AF434" s="203" t="s">
        <v>82</v>
      </c>
      <c r="AG434" s="203">
        <v>-1.1000000000000001</v>
      </c>
      <c r="AH434" s="204" t="s">
        <v>82</v>
      </c>
      <c r="AI434" s="203" t="s">
        <v>82</v>
      </c>
      <c r="AJ434" s="203" t="s">
        <v>82</v>
      </c>
    </row>
    <row customFormat="1" r="435" s="205" spans="1:36" x14ac:dyDescent="0.2">
      <c r="A435" s="193">
        <v>431</v>
      </c>
      <c r="B435" s="215">
        <v>12</v>
      </c>
      <c r="C435" s="195" t="s">
        <v>296</v>
      </c>
      <c r="D435" s="195">
        <v>3</v>
      </c>
      <c r="E435" s="195" t="s">
        <v>300</v>
      </c>
      <c r="F435" s="196">
        <v>44496</v>
      </c>
      <c r="G435" s="197" t="s">
        <v>6</v>
      </c>
      <c r="H435" s="198">
        <v>2144</v>
      </c>
      <c r="I435" s="196" t="s">
        <v>302</v>
      </c>
      <c r="J435" s="199">
        <v>2100</v>
      </c>
      <c r="K435" s="198">
        <v>2153</v>
      </c>
      <c r="L435" s="200">
        <v>0</v>
      </c>
      <c r="M435" s="201"/>
      <c r="N435" s="199">
        <v>2144</v>
      </c>
      <c r="O435" s="202">
        <v>7.4</v>
      </c>
      <c r="P435" s="203">
        <v>4.9000000000000004</v>
      </c>
      <c r="Q435" s="203">
        <v>2.5</v>
      </c>
      <c r="R435" s="204">
        <v>5.0999999999999996</v>
      </c>
      <c r="S435" s="203">
        <v>5.0999999999999996</v>
      </c>
      <c r="T435" s="203">
        <v>0</v>
      </c>
      <c r="V435" s="198">
        <v>2144</v>
      </c>
      <c r="W435" s="202">
        <v>6.2</v>
      </c>
      <c r="X435" s="203">
        <v>4.9000000000000004</v>
      </c>
      <c r="Y435" s="203">
        <v>1.3</v>
      </c>
      <c r="Z435" s="204">
        <v>5.0999999999999996</v>
      </c>
      <c r="AA435" s="203">
        <v>5.0999999999999996</v>
      </c>
      <c r="AB435" s="203">
        <v>0</v>
      </c>
      <c r="AD435" s="198">
        <v>2144</v>
      </c>
      <c r="AE435" s="202">
        <v>-1.2000000000000002</v>
      </c>
      <c r="AF435" s="203" t="s">
        <v>82</v>
      </c>
      <c r="AG435" s="203">
        <v>-1.2</v>
      </c>
      <c r="AH435" s="204" t="s">
        <v>82</v>
      </c>
      <c r="AI435" s="203" t="s">
        <v>82</v>
      </c>
      <c r="AJ435" s="203" t="s">
        <v>82</v>
      </c>
    </row>
    <row customFormat="1" r="436" s="205" spans="1:36" x14ac:dyDescent="0.2">
      <c r="A436" s="193">
        <v>432</v>
      </c>
      <c r="B436" s="215">
        <v>12</v>
      </c>
      <c r="C436" s="195" t="s">
        <v>296</v>
      </c>
      <c r="D436" s="195">
        <v>3</v>
      </c>
      <c r="E436" s="195" t="s">
        <v>300</v>
      </c>
      <c r="F436" s="196">
        <v>44503</v>
      </c>
      <c r="G436" s="197" t="s">
        <v>6</v>
      </c>
      <c r="H436" s="198">
        <v>2145</v>
      </c>
      <c r="I436" s="196" t="s">
        <v>302</v>
      </c>
      <c r="J436" s="199">
        <v>2100</v>
      </c>
      <c r="K436" s="198">
        <v>2153</v>
      </c>
      <c r="L436" s="200">
        <v>0</v>
      </c>
      <c r="M436" s="201"/>
      <c r="N436" s="199">
        <v>2145</v>
      </c>
      <c r="O436" s="202">
        <v>8.6</v>
      </c>
      <c r="P436" s="203">
        <v>5.3</v>
      </c>
      <c r="Q436" s="203">
        <v>3.3</v>
      </c>
      <c r="R436" s="204">
        <v>6</v>
      </c>
      <c r="S436" s="203">
        <v>6</v>
      </c>
      <c r="T436" s="203" t="s">
        <v>84</v>
      </c>
      <c r="V436" s="198">
        <v>2145</v>
      </c>
      <c r="W436" s="202">
        <v>7.2</v>
      </c>
      <c r="X436" s="203">
        <v>5.3</v>
      </c>
      <c r="Y436" s="203">
        <v>1.9</v>
      </c>
      <c r="Z436" s="204">
        <v>6</v>
      </c>
      <c r="AA436" s="203">
        <v>6</v>
      </c>
      <c r="AB436" s="203" t="s">
        <v>84</v>
      </c>
      <c r="AD436" s="198">
        <v>2145</v>
      </c>
      <c r="AE436" s="202">
        <v>-1.3999999999999995</v>
      </c>
      <c r="AF436" s="203" t="s">
        <v>82</v>
      </c>
      <c r="AG436" s="203">
        <v>-1.4</v>
      </c>
      <c r="AH436" s="204" t="s">
        <v>82</v>
      </c>
      <c r="AI436" s="203" t="s">
        <v>82</v>
      </c>
      <c r="AJ436" s="203" t="s">
        <v>82</v>
      </c>
    </row>
    <row customFormat="1" r="437" s="205" spans="1:36" x14ac:dyDescent="0.2">
      <c r="A437" s="193">
        <v>433</v>
      </c>
      <c r="B437" s="215">
        <v>12</v>
      </c>
      <c r="C437" s="195" t="s">
        <v>296</v>
      </c>
      <c r="D437" s="195">
        <v>5</v>
      </c>
      <c r="E437" s="195" t="s">
        <v>303</v>
      </c>
      <c r="F437" s="196">
        <v>44170</v>
      </c>
      <c r="G437" s="197" t="s">
        <v>9</v>
      </c>
      <c r="H437" s="198">
        <v>2049</v>
      </c>
      <c r="I437" s="196" t="s">
        <v>304</v>
      </c>
      <c r="J437" s="199">
        <v>2420</v>
      </c>
      <c r="K437" s="198">
        <v>2449</v>
      </c>
      <c r="L437" s="200">
        <v>0</v>
      </c>
      <c r="M437" s="201"/>
      <c r="N437" s="199">
        <v>2049</v>
      </c>
      <c r="O437" s="202">
        <v>1.6</v>
      </c>
      <c r="P437" s="203">
        <v>0.7</v>
      </c>
      <c r="Q437" s="203">
        <v>0.9</v>
      </c>
      <c r="R437" s="204">
        <v>0.8</v>
      </c>
      <c r="S437" s="203">
        <v>0.8</v>
      </c>
      <c r="T437" s="203">
        <v>0</v>
      </c>
      <c r="V437" s="198">
        <v>2049</v>
      </c>
      <c r="W437" s="202">
        <v>0.7</v>
      </c>
      <c r="X437" s="203">
        <v>0.7</v>
      </c>
      <c r="Y437" s="203">
        <v>0</v>
      </c>
      <c r="Z437" s="204">
        <v>0.8</v>
      </c>
      <c r="AA437" s="203">
        <v>0.8</v>
      </c>
      <c r="AB437" s="203">
        <v>0</v>
      </c>
      <c r="AD437" s="198">
        <v>2049</v>
      </c>
      <c r="AE437" s="202">
        <v>-0.90000000000000013</v>
      </c>
      <c r="AF437" s="203" t="s">
        <v>82</v>
      </c>
      <c r="AG437" s="203">
        <v>-0.9</v>
      </c>
      <c r="AH437" s="204" t="s">
        <v>82</v>
      </c>
      <c r="AI437" s="203" t="s">
        <v>82</v>
      </c>
      <c r="AJ437" s="203" t="s">
        <v>82</v>
      </c>
    </row>
    <row customFormat="1" r="438" s="205" spans="1:36" x14ac:dyDescent="0.2">
      <c r="A438" s="193">
        <v>434</v>
      </c>
      <c r="B438" s="215">
        <v>12</v>
      </c>
      <c r="C438" s="195" t="s">
        <v>296</v>
      </c>
      <c r="D438" s="195">
        <v>5</v>
      </c>
      <c r="E438" s="195" t="s">
        <v>303</v>
      </c>
      <c r="F438" s="196">
        <v>44177</v>
      </c>
      <c r="G438" s="197" t="s">
        <v>9</v>
      </c>
      <c r="H438" s="198">
        <v>2050</v>
      </c>
      <c r="I438" s="196" t="s">
        <v>304</v>
      </c>
      <c r="J438" s="199">
        <v>2420</v>
      </c>
      <c r="K438" s="198">
        <v>2449</v>
      </c>
      <c r="L438" s="200">
        <v>0</v>
      </c>
      <c r="M438" s="201"/>
      <c r="N438" s="199">
        <v>2050</v>
      </c>
      <c r="O438" s="202">
        <v>1.7</v>
      </c>
      <c r="P438" s="203">
        <v>0.9</v>
      </c>
      <c r="Q438" s="203">
        <v>0.8</v>
      </c>
      <c r="R438" s="204">
        <v>1</v>
      </c>
      <c r="S438" s="203">
        <v>1</v>
      </c>
      <c r="T438" s="203">
        <v>0</v>
      </c>
      <c r="V438" s="198">
        <v>2050</v>
      </c>
      <c r="W438" s="202">
        <v>0.9</v>
      </c>
      <c r="X438" s="203">
        <v>0.9</v>
      </c>
      <c r="Y438" s="203">
        <v>0</v>
      </c>
      <c r="Z438" s="204">
        <v>1</v>
      </c>
      <c r="AA438" s="203">
        <v>1</v>
      </c>
      <c r="AB438" s="203">
        <v>0</v>
      </c>
      <c r="AD438" s="198">
        <v>2050</v>
      </c>
      <c r="AE438" s="202">
        <v>-0.79999999999999993</v>
      </c>
      <c r="AF438" s="203" t="s">
        <v>82</v>
      </c>
      <c r="AG438" s="203">
        <v>-0.8</v>
      </c>
      <c r="AH438" s="204" t="s">
        <v>82</v>
      </c>
      <c r="AI438" s="203" t="s">
        <v>82</v>
      </c>
      <c r="AJ438" s="203" t="s">
        <v>82</v>
      </c>
    </row>
    <row customFormat="1" r="439" s="205" spans="1:36" x14ac:dyDescent="0.2">
      <c r="A439" s="193">
        <v>435</v>
      </c>
      <c r="B439" s="215">
        <v>12</v>
      </c>
      <c r="C439" s="195" t="s">
        <v>296</v>
      </c>
      <c r="D439" s="195">
        <v>5</v>
      </c>
      <c r="E439" s="195" t="s">
        <v>303</v>
      </c>
      <c r="F439" s="196">
        <v>44184</v>
      </c>
      <c r="G439" s="197" t="s">
        <v>9</v>
      </c>
      <c r="H439" s="198">
        <v>2051</v>
      </c>
      <c r="I439" s="196" t="s">
        <v>304</v>
      </c>
      <c r="J439" s="199">
        <v>2420</v>
      </c>
      <c r="K439" s="198">
        <v>2449</v>
      </c>
      <c r="L439" s="200">
        <v>0</v>
      </c>
      <c r="M439" s="201"/>
      <c r="N439" s="199">
        <v>2051</v>
      </c>
      <c r="O439" s="202">
        <v>1.5</v>
      </c>
      <c r="P439" s="203">
        <v>0.7</v>
      </c>
      <c r="Q439" s="203">
        <v>0.8</v>
      </c>
      <c r="R439" s="204">
        <v>0.7</v>
      </c>
      <c r="S439" s="203">
        <v>0.7</v>
      </c>
      <c r="T439" s="203">
        <v>0</v>
      </c>
      <c r="V439" s="198">
        <v>2051</v>
      </c>
      <c r="W439" s="202">
        <v>0.7</v>
      </c>
      <c r="X439" s="203">
        <v>0.7</v>
      </c>
      <c r="Y439" s="203">
        <v>0</v>
      </c>
      <c r="Z439" s="204">
        <v>0.7</v>
      </c>
      <c r="AA439" s="203">
        <v>0.7</v>
      </c>
      <c r="AB439" s="203">
        <v>0</v>
      </c>
      <c r="AD439" s="198">
        <v>2051</v>
      </c>
      <c r="AE439" s="202">
        <v>-0.8</v>
      </c>
      <c r="AF439" s="203" t="s">
        <v>82</v>
      </c>
      <c r="AG439" s="203">
        <v>-0.8</v>
      </c>
      <c r="AH439" s="204" t="s">
        <v>82</v>
      </c>
      <c r="AI439" s="203" t="s">
        <v>82</v>
      </c>
      <c r="AJ439" s="203" t="s">
        <v>82</v>
      </c>
    </row>
    <row customFormat="1" r="440" s="205" spans="1:36" x14ac:dyDescent="0.2">
      <c r="A440" s="193">
        <v>436</v>
      </c>
      <c r="B440" s="215">
        <v>12</v>
      </c>
      <c r="C440" s="195" t="s">
        <v>296</v>
      </c>
      <c r="D440" s="195">
        <v>5</v>
      </c>
      <c r="E440" s="195" t="s">
        <v>303</v>
      </c>
      <c r="F440" s="196">
        <v>44191</v>
      </c>
      <c r="G440" s="197" t="s">
        <v>9</v>
      </c>
      <c r="H440" s="198">
        <v>2052</v>
      </c>
      <c r="I440" s="196" t="s">
        <v>305</v>
      </c>
      <c r="J440" s="199">
        <v>2425</v>
      </c>
      <c r="K440" s="198">
        <v>2449</v>
      </c>
      <c r="L440" s="200">
        <v>0</v>
      </c>
      <c r="M440" s="201"/>
      <c r="N440" s="199">
        <v>2052</v>
      </c>
      <c r="O440" s="202">
        <v>1.3</v>
      </c>
      <c r="P440" s="203">
        <v>0.6</v>
      </c>
      <c r="Q440" s="203">
        <v>0.7</v>
      </c>
      <c r="R440" s="204">
        <v>0.6</v>
      </c>
      <c r="S440" s="203">
        <v>0.6</v>
      </c>
      <c r="T440" s="203">
        <v>0</v>
      </c>
      <c r="V440" s="198">
        <v>2052</v>
      </c>
      <c r="W440" s="202">
        <v>0.6</v>
      </c>
      <c r="X440" s="203">
        <v>0.6</v>
      </c>
      <c r="Y440" s="203">
        <v>0</v>
      </c>
      <c r="Z440" s="204">
        <v>0.6</v>
      </c>
      <c r="AA440" s="203">
        <v>0.6</v>
      </c>
      <c r="AB440" s="203">
        <v>0</v>
      </c>
      <c r="AD440" s="198">
        <v>2052</v>
      </c>
      <c r="AE440" s="202">
        <v>-0.70000000000000007</v>
      </c>
      <c r="AF440" s="203" t="s">
        <v>82</v>
      </c>
      <c r="AG440" s="203">
        <v>-0.7</v>
      </c>
      <c r="AH440" s="204" t="s">
        <v>82</v>
      </c>
      <c r="AI440" s="203" t="s">
        <v>82</v>
      </c>
      <c r="AJ440" s="203" t="s">
        <v>82</v>
      </c>
    </row>
    <row customFormat="1" r="441" s="205" spans="1:36" x14ac:dyDescent="0.2">
      <c r="A441" s="193">
        <v>437</v>
      </c>
      <c r="B441" s="215">
        <v>13</v>
      </c>
      <c r="C441" s="195" t="s">
        <v>306</v>
      </c>
      <c r="D441" s="195">
        <v>1</v>
      </c>
      <c r="E441" s="195" t="s">
        <v>307</v>
      </c>
      <c r="F441" s="196">
        <v>44119</v>
      </c>
      <c r="G441" s="197" t="s">
        <v>7</v>
      </c>
      <c r="H441" s="198">
        <v>2042</v>
      </c>
      <c r="I441" s="196" t="s">
        <v>308</v>
      </c>
      <c r="J441" s="199">
        <v>2558</v>
      </c>
      <c r="K441" s="198">
        <v>2752</v>
      </c>
      <c r="L441" s="200">
        <v>0</v>
      </c>
      <c r="M441" s="201"/>
      <c r="N441" s="199">
        <v>2042</v>
      </c>
      <c r="O441" s="202">
        <v>1.6</v>
      </c>
      <c r="P441" s="203">
        <v>0.8</v>
      </c>
      <c r="Q441" s="203">
        <v>0.8</v>
      </c>
      <c r="R441" s="204">
        <v>0.9</v>
      </c>
      <c r="S441" s="203">
        <v>0.5</v>
      </c>
      <c r="T441" s="203">
        <v>0.4</v>
      </c>
      <c r="V441" s="198">
        <v>2042</v>
      </c>
      <c r="W441" s="202">
        <v>1</v>
      </c>
      <c r="X441" s="203">
        <v>0.8</v>
      </c>
      <c r="Y441" s="203">
        <v>0.2</v>
      </c>
      <c r="Z441" s="204">
        <v>0.9</v>
      </c>
      <c r="AA441" s="203">
        <v>0.5</v>
      </c>
      <c r="AB441" s="203">
        <v>0.4</v>
      </c>
      <c r="AD441" s="198">
        <v>2042</v>
      </c>
      <c r="AE441" s="202">
        <v>-0.60000000000000009</v>
      </c>
      <c r="AF441" s="203" t="s">
        <v>82</v>
      </c>
      <c r="AG441" s="203">
        <v>-0.60000000000000009</v>
      </c>
      <c r="AH441" s="204" t="s">
        <v>82</v>
      </c>
      <c r="AI441" s="203" t="s">
        <v>82</v>
      </c>
      <c r="AJ441" s="203" t="s">
        <v>82</v>
      </c>
    </row>
    <row customFormat="1" r="442" s="205" spans="1:36" x14ac:dyDescent="0.2">
      <c r="A442" s="193">
        <v>438</v>
      </c>
      <c r="B442" s="215">
        <v>13</v>
      </c>
      <c r="C442" s="195" t="s">
        <v>306</v>
      </c>
      <c r="D442" s="195">
        <v>1</v>
      </c>
      <c r="E442" s="195" t="s">
        <v>307</v>
      </c>
      <c r="F442" s="196">
        <v>44126</v>
      </c>
      <c r="G442" s="197" t="s">
        <v>7</v>
      </c>
      <c r="H442" s="198">
        <v>2043</v>
      </c>
      <c r="I442" s="196" t="s">
        <v>309</v>
      </c>
      <c r="J442" s="199">
        <v>2558</v>
      </c>
      <c r="K442" s="198">
        <v>2753</v>
      </c>
      <c r="L442" s="200">
        <v>0</v>
      </c>
      <c r="M442" s="201"/>
      <c r="N442" s="199">
        <v>2043</v>
      </c>
      <c r="O442" s="202">
        <v>1.6</v>
      </c>
      <c r="P442" s="203">
        <v>0.9</v>
      </c>
      <c r="Q442" s="203">
        <v>0.7</v>
      </c>
      <c r="R442" s="204">
        <v>0.5</v>
      </c>
      <c r="S442" s="203">
        <v>0.5</v>
      </c>
      <c r="T442" s="203" t="s">
        <v>84</v>
      </c>
      <c r="V442" s="198">
        <v>2043</v>
      </c>
      <c r="W442" s="202">
        <v>1</v>
      </c>
      <c r="X442" s="203">
        <v>0.9</v>
      </c>
      <c r="Y442" s="203">
        <v>0.1</v>
      </c>
      <c r="Z442" s="204">
        <v>0.5</v>
      </c>
      <c r="AA442" s="203">
        <v>0.5</v>
      </c>
      <c r="AB442" s="203" t="s">
        <v>84</v>
      </c>
      <c r="AD442" s="198">
        <v>2043</v>
      </c>
      <c r="AE442" s="202">
        <v>-0.60000000000000009</v>
      </c>
      <c r="AF442" s="203" t="s">
        <v>82</v>
      </c>
      <c r="AG442" s="203">
        <v>-0.6</v>
      </c>
      <c r="AH442" s="204" t="s">
        <v>82</v>
      </c>
      <c r="AI442" s="203" t="s">
        <v>82</v>
      </c>
      <c r="AJ442" s="203" t="s">
        <v>82</v>
      </c>
    </row>
    <row customFormat="1" r="443" s="205" spans="1:36" x14ac:dyDescent="0.2">
      <c r="A443" s="193">
        <v>439</v>
      </c>
      <c r="B443" s="215">
        <v>13</v>
      </c>
      <c r="C443" s="195" t="s">
        <v>306</v>
      </c>
      <c r="D443" s="195">
        <v>1</v>
      </c>
      <c r="E443" s="195" t="s">
        <v>307</v>
      </c>
      <c r="F443" s="196">
        <v>44133</v>
      </c>
      <c r="G443" s="197" t="s">
        <v>7</v>
      </c>
      <c r="H443" s="198">
        <v>2044</v>
      </c>
      <c r="I443" s="196" t="s">
        <v>310</v>
      </c>
      <c r="J443" s="199">
        <v>2558</v>
      </c>
      <c r="K443" s="198">
        <v>2808</v>
      </c>
      <c r="L443" s="200">
        <v>0</v>
      </c>
      <c r="M443" s="201"/>
      <c r="N443" s="199">
        <v>2044</v>
      </c>
      <c r="O443" s="202">
        <v>1.7</v>
      </c>
      <c r="P443" s="203">
        <v>1</v>
      </c>
      <c r="Q443" s="203">
        <v>0.7</v>
      </c>
      <c r="R443" s="204">
        <v>0.2</v>
      </c>
      <c r="S443" s="203">
        <v>0.2</v>
      </c>
      <c r="T443" s="203" t="s">
        <v>84</v>
      </c>
      <c r="V443" s="198">
        <v>2044</v>
      </c>
      <c r="W443" s="202">
        <v>1.2</v>
      </c>
      <c r="X443" s="203">
        <v>1</v>
      </c>
      <c r="Y443" s="203">
        <v>0.2</v>
      </c>
      <c r="Z443" s="204">
        <v>0.2</v>
      </c>
      <c r="AA443" s="203">
        <v>0.2</v>
      </c>
      <c r="AB443" s="203" t="s">
        <v>84</v>
      </c>
      <c r="AD443" s="198">
        <v>2044</v>
      </c>
      <c r="AE443" s="202">
        <v>-0.5</v>
      </c>
      <c r="AF443" s="203" t="s">
        <v>82</v>
      </c>
      <c r="AG443" s="203">
        <v>-0.49999999999999994</v>
      </c>
      <c r="AH443" s="204" t="s">
        <v>82</v>
      </c>
      <c r="AI443" s="203" t="s">
        <v>82</v>
      </c>
      <c r="AJ443" s="203" t="s">
        <v>82</v>
      </c>
    </row>
    <row customFormat="1" r="444" s="205" spans="1:36" x14ac:dyDescent="0.2">
      <c r="A444" s="193">
        <v>440</v>
      </c>
      <c r="B444" s="215">
        <v>13</v>
      </c>
      <c r="C444" s="195" t="s">
        <v>306</v>
      </c>
      <c r="D444" s="195">
        <v>1</v>
      </c>
      <c r="E444" s="195" t="s">
        <v>307</v>
      </c>
      <c r="F444" s="196">
        <v>44140</v>
      </c>
      <c r="G444" s="197" t="s">
        <v>7</v>
      </c>
      <c r="H444" s="198">
        <v>2045</v>
      </c>
      <c r="I444" s="196" t="s">
        <v>311</v>
      </c>
      <c r="J444" s="199">
        <v>2558</v>
      </c>
      <c r="K444" s="198">
        <v>2757</v>
      </c>
      <c r="L444" s="200">
        <v>0</v>
      </c>
      <c r="M444" s="201"/>
      <c r="N444" s="199">
        <v>2045</v>
      </c>
      <c r="O444" s="202">
        <v>1.6</v>
      </c>
      <c r="P444" s="203">
        <v>1</v>
      </c>
      <c r="Q444" s="203">
        <v>0.6</v>
      </c>
      <c r="R444" s="204">
        <v>0.3</v>
      </c>
      <c r="S444" s="203">
        <v>0.3</v>
      </c>
      <c r="T444" s="203" t="s">
        <v>84</v>
      </c>
      <c r="V444" s="198">
        <v>2045</v>
      </c>
      <c r="W444" s="202">
        <v>1.1000000000000001</v>
      </c>
      <c r="X444" s="203">
        <v>1</v>
      </c>
      <c r="Y444" s="203">
        <v>0.1</v>
      </c>
      <c r="Z444" s="204">
        <v>0.3</v>
      </c>
      <c r="AA444" s="203">
        <v>0.3</v>
      </c>
      <c r="AB444" s="203" t="s">
        <v>84</v>
      </c>
      <c r="AD444" s="198">
        <v>2045</v>
      </c>
      <c r="AE444" s="202">
        <v>-0.5</v>
      </c>
      <c r="AF444" s="203" t="s">
        <v>82</v>
      </c>
      <c r="AG444" s="203">
        <v>-0.5</v>
      </c>
      <c r="AH444" s="204" t="s">
        <v>82</v>
      </c>
      <c r="AI444" s="203" t="s">
        <v>82</v>
      </c>
      <c r="AJ444" s="203" t="s">
        <v>82</v>
      </c>
    </row>
    <row customFormat="1" r="445" s="205" spans="1:36" x14ac:dyDescent="0.2">
      <c r="A445" s="193">
        <v>441</v>
      </c>
      <c r="B445" s="215">
        <v>13</v>
      </c>
      <c r="C445" s="195" t="s">
        <v>306</v>
      </c>
      <c r="D445" s="195">
        <v>1</v>
      </c>
      <c r="E445" s="195" t="s">
        <v>307</v>
      </c>
      <c r="F445" s="196">
        <v>44180</v>
      </c>
      <c r="G445" s="197" t="s">
        <v>5</v>
      </c>
      <c r="H445" s="198">
        <v>2051</v>
      </c>
      <c r="I445" s="196" t="s">
        <v>312</v>
      </c>
      <c r="J445" s="199">
        <v>1155</v>
      </c>
      <c r="K445" s="198">
        <v>1354</v>
      </c>
      <c r="L445" s="200">
        <v>0</v>
      </c>
      <c r="M445" s="201"/>
      <c r="N445" s="199">
        <v>2051</v>
      </c>
      <c r="O445" s="202">
        <v>3.1</v>
      </c>
      <c r="P445" s="203">
        <v>3.1</v>
      </c>
      <c r="Q445" s="203">
        <v>0</v>
      </c>
      <c r="R445" s="204">
        <v>2.5</v>
      </c>
      <c r="S445" s="203">
        <v>2.5</v>
      </c>
      <c r="T445" s="203" t="s">
        <v>84</v>
      </c>
      <c r="V445" s="198">
        <v>2051</v>
      </c>
      <c r="W445" s="202">
        <v>3.1</v>
      </c>
      <c r="X445" s="203">
        <v>3.1</v>
      </c>
      <c r="Y445" s="203">
        <v>0</v>
      </c>
      <c r="Z445" s="204">
        <v>2.5</v>
      </c>
      <c r="AA445" s="203">
        <v>2.5</v>
      </c>
      <c r="AB445" s="203" t="s">
        <v>84</v>
      </c>
      <c r="AD445" s="198">
        <v>2051</v>
      </c>
      <c r="AE445" s="202" t="s">
        <v>82</v>
      </c>
      <c r="AF445" s="203" t="s">
        <v>82</v>
      </c>
      <c r="AG445" s="203" t="s">
        <v>82</v>
      </c>
      <c r="AH445" s="204" t="s">
        <v>82</v>
      </c>
      <c r="AI445" s="203" t="s">
        <v>82</v>
      </c>
      <c r="AJ445" s="203" t="s">
        <v>82</v>
      </c>
    </row>
    <row customFormat="1" r="446" s="205" spans="1:36" x14ac:dyDescent="0.2">
      <c r="A446" s="193">
        <v>442</v>
      </c>
      <c r="B446" s="215">
        <v>13</v>
      </c>
      <c r="C446" s="195" t="s">
        <v>306</v>
      </c>
      <c r="D446" s="195">
        <v>1</v>
      </c>
      <c r="E446" s="195" t="s">
        <v>307</v>
      </c>
      <c r="F446" s="196">
        <v>44187</v>
      </c>
      <c r="G446" s="197" t="s">
        <v>5</v>
      </c>
      <c r="H446" s="198">
        <v>2052</v>
      </c>
      <c r="I446" s="196" t="s">
        <v>312</v>
      </c>
      <c r="J446" s="199">
        <v>1155</v>
      </c>
      <c r="K446" s="198">
        <v>1354</v>
      </c>
      <c r="L446" s="200">
        <v>0</v>
      </c>
      <c r="M446" s="201"/>
      <c r="N446" s="199">
        <v>2052</v>
      </c>
      <c r="O446" s="202">
        <v>3.3</v>
      </c>
      <c r="P446" s="203">
        <v>3.3</v>
      </c>
      <c r="Q446" s="203">
        <v>0</v>
      </c>
      <c r="R446" s="204">
        <v>2.9</v>
      </c>
      <c r="S446" s="203">
        <v>2.9</v>
      </c>
      <c r="T446" s="203" t="s">
        <v>84</v>
      </c>
      <c r="V446" s="198">
        <v>2052</v>
      </c>
      <c r="W446" s="202">
        <v>3.3</v>
      </c>
      <c r="X446" s="203">
        <v>3.3</v>
      </c>
      <c r="Y446" s="203">
        <v>0</v>
      </c>
      <c r="Z446" s="204">
        <v>2.9</v>
      </c>
      <c r="AA446" s="203">
        <v>2.9</v>
      </c>
      <c r="AB446" s="203" t="s">
        <v>84</v>
      </c>
      <c r="AD446" s="198">
        <v>2052</v>
      </c>
      <c r="AE446" s="202" t="s">
        <v>82</v>
      </c>
      <c r="AF446" s="203" t="s">
        <v>82</v>
      </c>
      <c r="AG446" s="203" t="s">
        <v>82</v>
      </c>
      <c r="AH446" s="204" t="s">
        <v>82</v>
      </c>
      <c r="AI446" s="203" t="s">
        <v>82</v>
      </c>
      <c r="AJ446" s="203" t="s">
        <v>82</v>
      </c>
    </row>
    <row customFormat="1" r="447" s="205" spans="1:36" x14ac:dyDescent="0.2">
      <c r="A447" s="193">
        <v>443</v>
      </c>
      <c r="B447" s="215">
        <v>13</v>
      </c>
      <c r="C447" s="195" t="s">
        <v>306</v>
      </c>
      <c r="D447" s="195">
        <v>1</v>
      </c>
      <c r="E447" s="195" t="s">
        <v>307</v>
      </c>
      <c r="F447" s="196">
        <v>44194</v>
      </c>
      <c r="G447" s="197" t="s">
        <v>5</v>
      </c>
      <c r="H447" s="198">
        <v>2101</v>
      </c>
      <c r="I447" s="196" t="s">
        <v>313</v>
      </c>
      <c r="J447" s="199">
        <v>1200</v>
      </c>
      <c r="K447" s="198">
        <v>1524</v>
      </c>
      <c r="L447" s="200">
        <v>0</v>
      </c>
      <c r="M447" s="201"/>
      <c r="N447" s="199">
        <v>2101</v>
      </c>
      <c r="O447" s="202">
        <v>2.8</v>
      </c>
      <c r="P447" s="203">
        <v>2.8</v>
      </c>
      <c r="Q447" s="203">
        <v>0</v>
      </c>
      <c r="R447" s="204">
        <v>2.1</v>
      </c>
      <c r="S447" s="203">
        <v>2.1</v>
      </c>
      <c r="T447" s="203" t="s">
        <v>84</v>
      </c>
      <c r="V447" s="198">
        <v>2101</v>
      </c>
      <c r="W447" s="202">
        <v>2.8</v>
      </c>
      <c r="X447" s="203">
        <v>2.8</v>
      </c>
      <c r="Y447" s="203">
        <v>0</v>
      </c>
      <c r="Z447" s="204">
        <v>2.1</v>
      </c>
      <c r="AA447" s="203">
        <v>2.1</v>
      </c>
      <c r="AB447" s="203" t="s">
        <v>84</v>
      </c>
      <c r="AD447" s="198">
        <v>2101</v>
      </c>
      <c r="AE447" s="202" t="s">
        <v>82</v>
      </c>
      <c r="AF447" s="203" t="s">
        <v>82</v>
      </c>
      <c r="AG447" s="203" t="s">
        <v>82</v>
      </c>
      <c r="AH447" s="204" t="s">
        <v>82</v>
      </c>
      <c r="AI447" s="203" t="s">
        <v>82</v>
      </c>
      <c r="AJ447" s="203" t="s">
        <v>82</v>
      </c>
    </row>
    <row customFormat="1" r="448" s="205" spans="1:36" x14ac:dyDescent="0.2">
      <c r="A448" s="193">
        <v>444</v>
      </c>
      <c r="B448" s="215">
        <v>13</v>
      </c>
      <c r="C448" s="195" t="s">
        <v>306</v>
      </c>
      <c r="D448" s="195">
        <v>1</v>
      </c>
      <c r="E448" s="195" t="s">
        <v>307</v>
      </c>
      <c r="F448" s="196">
        <v>44201</v>
      </c>
      <c r="G448" s="197" t="s">
        <v>5</v>
      </c>
      <c r="H448" s="198">
        <v>2102</v>
      </c>
      <c r="I448" s="196" t="s">
        <v>312</v>
      </c>
      <c r="J448" s="199">
        <v>1155</v>
      </c>
      <c r="K448" s="198">
        <v>1354</v>
      </c>
      <c r="L448" s="200">
        <v>0</v>
      </c>
      <c r="M448" s="201"/>
      <c r="N448" s="199">
        <v>2102</v>
      </c>
      <c r="O448" s="202">
        <v>3.2</v>
      </c>
      <c r="P448" s="203">
        <v>3.2</v>
      </c>
      <c r="Q448" s="203">
        <v>0</v>
      </c>
      <c r="R448" s="204">
        <v>3.7</v>
      </c>
      <c r="S448" s="203">
        <v>3.7</v>
      </c>
      <c r="T448" s="203" t="s">
        <v>84</v>
      </c>
      <c r="V448" s="198">
        <v>2102</v>
      </c>
      <c r="W448" s="202">
        <v>3.2</v>
      </c>
      <c r="X448" s="203">
        <v>3.2</v>
      </c>
      <c r="Y448" s="203">
        <v>0</v>
      </c>
      <c r="Z448" s="204">
        <v>3.7</v>
      </c>
      <c r="AA448" s="203">
        <v>3.7</v>
      </c>
      <c r="AB448" s="203" t="s">
        <v>84</v>
      </c>
      <c r="AD448" s="198">
        <v>2102</v>
      </c>
      <c r="AE448" s="202" t="s">
        <v>82</v>
      </c>
      <c r="AF448" s="203" t="s">
        <v>82</v>
      </c>
      <c r="AG448" s="203" t="s">
        <v>82</v>
      </c>
      <c r="AH448" s="204" t="s">
        <v>82</v>
      </c>
      <c r="AI448" s="203" t="s">
        <v>82</v>
      </c>
      <c r="AJ448" s="203" t="s">
        <v>82</v>
      </c>
    </row>
    <row customFormat="1" r="449" s="205" spans="1:36" x14ac:dyDescent="0.2">
      <c r="A449" s="193">
        <v>445</v>
      </c>
      <c r="B449" s="215">
        <v>13</v>
      </c>
      <c r="C449" s="195" t="s">
        <v>306</v>
      </c>
      <c r="D449" s="195">
        <v>1</v>
      </c>
      <c r="E449" s="195" t="s">
        <v>307</v>
      </c>
      <c r="F449" s="196">
        <v>44308</v>
      </c>
      <c r="G449" s="197" t="s">
        <v>7</v>
      </c>
      <c r="H449" s="198">
        <v>2117</v>
      </c>
      <c r="I449" s="196" t="s">
        <v>314</v>
      </c>
      <c r="J449" s="199">
        <v>2530</v>
      </c>
      <c r="K449" s="198">
        <v>2559</v>
      </c>
      <c r="L449" s="200">
        <v>0</v>
      </c>
      <c r="M449" s="201"/>
      <c r="N449" s="199">
        <v>2117</v>
      </c>
      <c r="O449" s="202">
        <v>1.6</v>
      </c>
      <c r="P449" s="203">
        <v>0.9</v>
      </c>
      <c r="Q449" s="203">
        <v>0.7</v>
      </c>
      <c r="R449" s="204">
        <v>1.3</v>
      </c>
      <c r="S449" s="203">
        <v>1</v>
      </c>
      <c r="T449" s="203">
        <v>0.3</v>
      </c>
      <c r="V449" s="198">
        <v>2117</v>
      </c>
      <c r="W449" s="202">
        <v>1.2</v>
      </c>
      <c r="X449" s="203">
        <v>0.9</v>
      </c>
      <c r="Y449" s="203">
        <v>0.3</v>
      </c>
      <c r="Z449" s="204">
        <v>1.3</v>
      </c>
      <c r="AA449" s="203">
        <v>1</v>
      </c>
      <c r="AB449" s="203">
        <v>0.3</v>
      </c>
      <c r="AD449" s="198">
        <v>2117</v>
      </c>
      <c r="AE449" s="202">
        <v>-0.40000000000000013</v>
      </c>
      <c r="AF449" s="203" t="s">
        <v>82</v>
      </c>
      <c r="AG449" s="203">
        <v>-0.39999999999999997</v>
      </c>
      <c r="AH449" s="204" t="s">
        <v>82</v>
      </c>
      <c r="AI449" s="203" t="s">
        <v>82</v>
      </c>
      <c r="AJ449" s="203" t="s">
        <v>82</v>
      </c>
    </row>
    <row customFormat="1" r="450" s="205" spans="1:36" x14ac:dyDescent="0.2">
      <c r="A450" s="193">
        <v>446</v>
      </c>
      <c r="B450" s="215">
        <v>13</v>
      </c>
      <c r="C450" s="195" t="s">
        <v>306</v>
      </c>
      <c r="D450" s="195">
        <v>1</v>
      </c>
      <c r="E450" s="195" t="s">
        <v>307</v>
      </c>
      <c r="F450" s="196">
        <v>44315</v>
      </c>
      <c r="G450" s="197" t="s">
        <v>7</v>
      </c>
      <c r="H450" s="198">
        <v>2118</v>
      </c>
      <c r="I450" s="196" t="s">
        <v>314</v>
      </c>
      <c r="J450" s="199">
        <v>2530</v>
      </c>
      <c r="K450" s="198">
        <v>2559</v>
      </c>
      <c r="L450" s="200">
        <v>0</v>
      </c>
      <c r="M450" s="201"/>
      <c r="N450" s="199">
        <v>2118</v>
      </c>
      <c r="O450" s="202">
        <v>1.6</v>
      </c>
      <c r="P450" s="203">
        <v>0.9</v>
      </c>
      <c r="Q450" s="203">
        <v>0.7</v>
      </c>
      <c r="R450" s="204">
        <v>1.3</v>
      </c>
      <c r="S450" s="203">
        <v>1</v>
      </c>
      <c r="T450" s="203">
        <v>0.3</v>
      </c>
      <c r="V450" s="198">
        <v>2118</v>
      </c>
      <c r="W450" s="202">
        <v>1.2</v>
      </c>
      <c r="X450" s="203">
        <v>0.9</v>
      </c>
      <c r="Y450" s="203">
        <v>0.3</v>
      </c>
      <c r="Z450" s="204">
        <v>1.3</v>
      </c>
      <c r="AA450" s="203">
        <v>1</v>
      </c>
      <c r="AB450" s="203">
        <v>0.3</v>
      </c>
      <c r="AD450" s="198">
        <v>2118</v>
      </c>
      <c r="AE450" s="202">
        <v>-0.40000000000000013</v>
      </c>
      <c r="AF450" s="203" t="s">
        <v>82</v>
      </c>
      <c r="AG450" s="203">
        <v>-0.39999999999999997</v>
      </c>
      <c r="AH450" s="204" t="s">
        <v>82</v>
      </c>
      <c r="AI450" s="203" t="s">
        <v>82</v>
      </c>
      <c r="AJ450" s="203" t="s">
        <v>82</v>
      </c>
    </row>
    <row customFormat="1" r="451" s="205" spans="1:36" x14ac:dyDescent="0.2">
      <c r="A451" s="193">
        <v>447</v>
      </c>
      <c r="B451" s="215">
        <v>13</v>
      </c>
      <c r="C451" s="195" t="s">
        <v>306</v>
      </c>
      <c r="D451" s="195">
        <v>1</v>
      </c>
      <c r="E451" s="195" t="s">
        <v>307</v>
      </c>
      <c r="F451" s="196">
        <v>44322</v>
      </c>
      <c r="G451" s="197" t="s">
        <v>7</v>
      </c>
      <c r="H451" s="198">
        <v>2119</v>
      </c>
      <c r="I451" s="196" t="s">
        <v>314</v>
      </c>
      <c r="J451" s="199">
        <v>2530</v>
      </c>
      <c r="K451" s="198">
        <v>2559</v>
      </c>
      <c r="L451" s="200">
        <v>0</v>
      </c>
      <c r="M451" s="201"/>
      <c r="N451" s="199">
        <v>2119</v>
      </c>
      <c r="O451" s="202">
        <v>1.3</v>
      </c>
      <c r="P451" s="203">
        <v>0.6</v>
      </c>
      <c r="Q451" s="203">
        <v>0.7</v>
      </c>
      <c r="R451" s="204">
        <v>0.9</v>
      </c>
      <c r="S451" s="203">
        <v>0.7</v>
      </c>
      <c r="T451" s="203">
        <v>0.2</v>
      </c>
      <c r="V451" s="198">
        <v>2119</v>
      </c>
      <c r="W451" s="202">
        <v>0.9</v>
      </c>
      <c r="X451" s="203">
        <v>0.6</v>
      </c>
      <c r="Y451" s="203">
        <v>0.3</v>
      </c>
      <c r="Z451" s="204">
        <v>0.9</v>
      </c>
      <c r="AA451" s="203">
        <v>0.7</v>
      </c>
      <c r="AB451" s="203">
        <v>0.2</v>
      </c>
      <c r="AD451" s="198">
        <v>2119</v>
      </c>
      <c r="AE451" s="202">
        <v>-0.4</v>
      </c>
      <c r="AF451" s="203" t="s">
        <v>82</v>
      </c>
      <c r="AG451" s="203">
        <v>-0.39999999999999997</v>
      </c>
      <c r="AH451" s="204"/>
      <c r="AI451" s="203" t="s">
        <v>82</v>
      </c>
      <c r="AJ451" s="203" t="s">
        <v>82</v>
      </c>
    </row>
    <row customFormat="1" r="452" s="205" spans="1:36" x14ac:dyDescent="0.2">
      <c r="A452" s="193">
        <v>448</v>
      </c>
      <c r="B452" s="215">
        <v>13</v>
      </c>
      <c r="C452" s="195" t="s">
        <v>306</v>
      </c>
      <c r="D452" s="195">
        <v>1</v>
      </c>
      <c r="E452" s="195" t="s">
        <v>307</v>
      </c>
      <c r="F452" s="196">
        <v>44329</v>
      </c>
      <c r="G452" s="197" t="s">
        <v>7</v>
      </c>
      <c r="H452" s="198">
        <v>2120</v>
      </c>
      <c r="I452" s="196" t="s">
        <v>315</v>
      </c>
      <c r="J452" s="199">
        <v>2530</v>
      </c>
      <c r="K452" s="198">
        <v>2559</v>
      </c>
      <c r="L452" s="200">
        <v>0</v>
      </c>
      <c r="M452" s="201"/>
      <c r="N452" s="199">
        <v>2120</v>
      </c>
      <c r="O452" s="202">
        <v>1</v>
      </c>
      <c r="P452" s="203">
        <v>0.5</v>
      </c>
      <c r="Q452" s="203">
        <v>0.5</v>
      </c>
      <c r="R452" s="204">
        <v>0.7</v>
      </c>
      <c r="S452" s="203">
        <v>0.7</v>
      </c>
      <c r="T452" s="203">
        <v>0</v>
      </c>
      <c r="V452" s="198">
        <v>2120</v>
      </c>
      <c r="W452" s="202">
        <v>0.5</v>
      </c>
      <c r="X452" s="203">
        <v>0.5</v>
      </c>
      <c r="Y452" s="203">
        <v>0</v>
      </c>
      <c r="Z452" s="204">
        <v>0.7</v>
      </c>
      <c r="AA452" s="203">
        <v>0.7</v>
      </c>
      <c r="AB452" s="203">
        <v>0</v>
      </c>
      <c r="AD452" s="198">
        <v>2120</v>
      </c>
      <c r="AE452" s="202">
        <v>-0.5</v>
      </c>
      <c r="AF452" s="203" t="s">
        <v>82</v>
      </c>
      <c r="AG452" s="203">
        <v>-0.5</v>
      </c>
      <c r="AH452" s="204" t="s">
        <v>82</v>
      </c>
      <c r="AI452" s="203" t="s">
        <v>82</v>
      </c>
      <c r="AJ452" s="203" t="s">
        <v>82</v>
      </c>
    </row>
    <row customFormat="1" r="453" s="205" spans="1:36" x14ac:dyDescent="0.2">
      <c r="A453" s="193">
        <v>449</v>
      </c>
      <c r="B453" s="215">
        <v>13</v>
      </c>
      <c r="C453" s="195" t="s">
        <v>306</v>
      </c>
      <c r="D453" s="195">
        <v>1</v>
      </c>
      <c r="E453" s="195" t="s">
        <v>307</v>
      </c>
      <c r="F453" s="196">
        <v>44385</v>
      </c>
      <c r="G453" s="197" t="s">
        <v>7</v>
      </c>
      <c r="H453" s="198">
        <v>2128</v>
      </c>
      <c r="I453" s="196" t="s">
        <v>316</v>
      </c>
      <c r="J453" s="199">
        <v>2530</v>
      </c>
      <c r="K453" s="198">
        <v>2738</v>
      </c>
      <c r="L453" s="200">
        <v>0</v>
      </c>
      <c r="M453" s="201"/>
      <c r="N453" s="199">
        <v>2128</v>
      </c>
      <c r="O453" s="202">
        <v>1.5</v>
      </c>
      <c r="P453" s="203">
        <v>0.7</v>
      </c>
      <c r="Q453" s="203">
        <v>0.8</v>
      </c>
      <c r="R453" s="204">
        <v>0.7</v>
      </c>
      <c r="S453" s="203">
        <v>0.7</v>
      </c>
      <c r="T453" s="203" t="s">
        <v>84</v>
      </c>
      <c r="V453" s="198">
        <v>2128</v>
      </c>
      <c r="W453" s="202">
        <v>1.4</v>
      </c>
      <c r="X453" s="203">
        <v>0.7</v>
      </c>
      <c r="Y453" s="203">
        <v>0.7</v>
      </c>
      <c r="Z453" s="204">
        <v>0.7</v>
      </c>
      <c r="AA453" s="203">
        <v>0.7</v>
      </c>
      <c r="AB453" s="203" t="s">
        <v>84</v>
      </c>
      <c r="AD453" s="198">
        <v>2128</v>
      </c>
      <c r="AE453" s="202">
        <v>-0.10000000000000009</v>
      </c>
      <c r="AF453" s="203" t="s">
        <v>82</v>
      </c>
      <c r="AG453" s="203">
        <v>-0.10000000000000009</v>
      </c>
      <c r="AH453" s="204" t="s">
        <v>82</v>
      </c>
      <c r="AI453" s="203" t="s">
        <v>82</v>
      </c>
      <c r="AJ453" s="203" t="s">
        <v>82</v>
      </c>
    </row>
    <row customFormat="1" r="454" s="205" spans="1:36" x14ac:dyDescent="0.2">
      <c r="A454" s="193">
        <v>450</v>
      </c>
      <c r="B454" s="215">
        <v>13</v>
      </c>
      <c r="C454" s="195" t="s">
        <v>306</v>
      </c>
      <c r="D454" s="195">
        <v>1</v>
      </c>
      <c r="E454" s="195" t="s">
        <v>307</v>
      </c>
      <c r="F454" s="196">
        <v>44392</v>
      </c>
      <c r="G454" s="197" t="s">
        <v>7</v>
      </c>
      <c r="H454" s="198">
        <v>2129</v>
      </c>
      <c r="I454" s="196" t="s">
        <v>317</v>
      </c>
      <c r="J454" s="199">
        <v>2530</v>
      </c>
      <c r="K454" s="198">
        <v>2725</v>
      </c>
      <c r="L454" s="200">
        <v>0</v>
      </c>
      <c r="M454" s="201"/>
      <c r="N454" s="199">
        <v>2129</v>
      </c>
      <c r="O454" s="202">
        <v>1.5</v>
      </c>
      <c r="P454" s="203">
        <v>0.9</v>
      </c>
      <c r="Q454" s="203">
        <v>0.6</v>
      </c>
      <c r="R454" s="204">
        <v>0.8</v>
      </c>
      <c r="S454" s="203">
        <v>0.8</v>
      </c>
      <c r="T454" s="203" t="s">
        <v>84</v>
      </c>
      <c r="V454" s="198">
        <v>2129</v>
      </c>
      <c r="W454" s="202">
        <v>1.4</v>
      </c>
      <c r="X454" s="203">
        <v>0.9</v>
      </c>
      <c r="Y454" s="203">
        <v>0.5</v>
      </c>
      <c r="Z454" s="204">
        <v>0.8</v>
      </c>
      <c r="AA454" s="203">
        <v>0.8</v>
      </c>
      <c r="AB454" s="203" t="s">
        <v>84</v>
      </c>
      <c r="AD454" s="198">
        <v>2129</v>
      </c>
      <c r="AE454" s="202">
        <v>-0.10000000000000009</v>
      </c>
      <c r="AF454" s="203" t="s">
        <v>82</v>
      </c>
      <c r="AG454" s="203">
        <v>-9.9999999999999978E-2</v>
      </c>
      <c r="AH454" s="204" t="s">
        <v>82</v>
      </c>
      <c r="AI454" s="203" t="s">
        <v>82</v>
      </c>
      <c r="AJ454" s="203" t="s">
        <v>82</v>
      </c>
    </row>
    <row customFormat="1" r="455" s="205" spans="1:36" x14ac:dyDescent="0.2">
      <c r="A455" s="193">
        <v>451</v>
      </c>
      <c r="B455" s="215">
        <v>13</v>
      </c>
      <c r="C455" s="195" t="s">
        <v>306</v>
      </c>
      <c r="D455" s="195">
        <v>1</v>
      </c>
      <c r="E455" s="195" t="s">
        <v>307</v>
      </c>
      <c r="F455" s="196">
        <v>44399</v>
      </c>
      <c r="G455" s="197" t="s">
        <v>7</v>
      </c>
      <c r="H455" s="198">
        <v>2130</v>
      </c>
      <c r="I455" s="196" t="s">
        <v>314</v>
      </c>
      <c r="J455" s="199">
        <v>2510</v>
      </c>
      <c r="K455" s="198">
        <v>2539</v>
      </c>
      <c r="L455" s="200">
        <v>0</v>
      </c>
      <c r="M455" s="201"/>
      <c r="N455" s="199">
        <v>2130</v>
      </c>
      <c r="O455" s="202">
        <v>1</v>
      </c>
      <c r="P455" s="203">
        <v>0.7</v>
      </c>
      <c r="Q455" s="203">
        <v>0.3</v>
      </c>
      <c r="R455" s="204">
        <v>0.7</v>
      </c>
      <c r="S455" s="203">
        <v>0.7</v>
      </c>
      <c r="T455" s="203" t="s">
        <v>84</v>
      </c>
      <c r="V455" s="198">
        <v>2130</v>
      </c>
      <c r="W455" s="202">
        <v>0.7</v>
      </c>
      <c r="X455" s="203">
        <v>0.7</v>
      </c>
      <c r="Y455" s="203">
        <v>0</v>
      </c>
      <c r="Z455" s="204">
        <v>0.7</v>
      </c>
      <c r="AA455" s="203">
        <v>0.7</v>
      </c>
      <c r="AB455" s="203" t="s">
        <v>84</v>
      </c>
      <c r="AD455" s="198">
        <v>2130</v>
      </c>
      <c r="AE455" s="202">
        <v>-0.30000000000000004</v>
      </c>
      <c r="AF455" s="203" t="s">
        <v>82</v>
      </c>
      <c r="AG455" s="203">
        <v>-0.3</v>
      </c>
      <c r="AH455" s="204" t="s">
        <v>82</v>
      </c>
      <c r="AI455" s="203" t="s">
        <v>82</v>
      </c>
      <c r="AJ455" s="203" t="s">
        <v>82</v>
      </c>
    </row>
    <row customFormat="1" r="456" s="205" spans="1:36" x14ac:dyDescent="0.2">
      <c r="A456" s="193">
        <v>452</v>
      </c>
      <c r="B456" s="215">
        <v>13</v>
      </c>
      <c r="C456" s="195" t="s">
        <v>306</v>
      </c>
      <c r="D456" s="195">
        <v>1</v>
      </c>
      <c r="E456" s="195" t="s">
        <v>307</v>
      </c>
      <c r="F456" s="196">
        <v>44406</v>
      </c>
      <c r="G456" s="197" t="s">
        <v>7</v>
      </c>
      <c r="H456" s="198">
        <v>2131</v>
      </c>
      <c r="I456" s="196" t="s">
        <v>314</v>
      </c>
      <c r="J456" s="199">
        <v>2510</v>
      </c>
      <c r="K456" s="198">
        <v>2539</v>
      </c>
      <c r="L456" s="200">
        <v>0</v>
      </c>
      <c r="M456" s="201"/>
      <c r="N456" s="199">
        <v>2131</v>
      </c>
      <c r="O456" s="202">
        <v>1.1000000000000001</v>
      </c>
      <c r="P456" s="203">
        <v>0.8</v>
      </c>
      <c r="Q456" s="203">
        <v>0.3</v>
      </c>
      <c r="R456" s="204">
        <v>0.9</v>
      </c>
      <c r="S456" s="203">
        <v>0.9</v>
      </c>
      <c r="T456" s="203">
        <v>0</v>
      </c>
      <c r="V456" s="198">
        <v>2131</v>
      </c>
      <c r="W456" s="202">
        <v>0.8</v>
      </c>
      <c r="X456" s="203">
        <v>0.8</v>
      </c>
      <c r="Y456" s="203">
        <v>0</v>
      </c>
      <c r="Z456" s="204">
        <v>0.9</v>
      </c>
      <c r="AA456" s="203">
        <v>0.9</v>
      </c>
      <c r="AB456" s="203">
        <v>0</v>
      </c>
      <c r="AD456" s="198">
        <v>2131</v>
      </c>
      <c r="AE456" s="202">
        <v>-0.30000000000000004</v>
      </c>
      <c r="AF456" s="203" t="s">
        <v>82</v>
      </c>
      <c r="AG456" s="203">
        <v>-0.3</v>
      </c>
      <c r="AH456" s="204" t="s">
        <v>82</v>
      </c>
      <c r="AI456" s="203" t="s">
        <v>82</v>
      </c>
      <c r="AJ456" s="203" t="s">
        <v>82</v>
      </c>
    </row>
    <row customFormat="1" r="457" s="205" spans="1:36" x14ac:dyDescent="0.2">
      <c r="A457" s="193">
        <v>453</v>
      </c>
      <c r="B457" s="215">
        <v>13</v>
      </c>
      <c r="C457" s="195" t="s">
        <v>306</v>
      </c>
      <c r="D457" s="195">
        <v>1</v>
      </c>
      <c r="E457" s="195" t="s">
        <v>307</v>
      </c>
      <c r="F457" s="196">
        <v>44470</v>
      </c>
      <c r="G457" s="197" t="s">
        <v>8</v>
      </c>
      <c r="H457" s="198">
        <v>2140</v>
      </c>
      <c r="I457" s="196" t="s">
        <v>318</v>
      </c>
      <c r="J457" s="199">
        <v>2057</v>
      </c>
      <c r="K457" s="198">
        <v>2253</v>
      </c>
      <c r="L457" s="200">
        <v>0</v>
      </c>
      <c r="M457" s="201"/>
      <c r="N457" s="199">
        <v>2140</v>
      </c>
      <c r="O457" s="202">
        <v>7.4</v>
      </c>
      <c r="P457" s="203">
        <v>6.2</v>
      </c>
      <c r="Q457" s="203">
        <v>1.2</v>
      </c>
      <c r="R457" s="204">
        <v>5.5</v>
      </c>
      <c r="S457" s="203">
        <v>3.9</v>
      </c>
      <c r="T457" s="203">
        <v>1.6</v>
      </c>
      <c r="V457" s="198">
        <v>2140</v>
      </c>
      <c r="W457" s="202">
        <v>7.3</v>
      </c>
      <c r="X457" s="203">
        <v>6.2</v>
      </c>
      <c r="Y457" s="203">
        <v>1.1000000000000001</v>
      </c>
      <c r="Z457" s="204">
        <v>5.5</v>
      </c>
      <c r="AA457" s="203">
        <v>3.9</v>
      </c>
      <c r="AB457" s="203">
        <v>1.6</v>
      </c>
      <c r="AD457" s="198">
        <v>2140</v>
      </c>
      <c r="AE457" s="202">
        <v>-0.10000000000000053</v>
      </c>
      <c r="AF457" s="203" t="s">
        <v>82</v>
      </c>
      <c r="AG457" s="203">
        <v>-9.9999999999999867E-2</v>
      </c>
      <c r="AH457" s="204" t="s">
        <v>82</v>
      </c>
      <c r="AI457" s="203" t="s">
        <v>82</v>
      </c>
      <c r="AJ457" s="203" t="s">
        <v>82</v>
      </c>
    </row>
    <row customFormat="1" r="458" s="205" spans="1:36" x14ac:dyDescent="0.2">
      <c r="A458" s="193">
        <v>454</v>
      </c>
      <c r="B458" s="215">
        <v>13</v>
      </c>
      <c r="C458" s="195" t="s">
        <v>306</v>
      </c>
      <c r="D458" s="195">
        <v>1</v>
      </c>
      <c r="E458" s="195" t="s">
        <v>307</v>
      </c>
      <c r="F458" s="196">
        <v>44477</v>
      </c>
      <c r="G458" s="197" t="s">
        <v>8</v>
      </c>
      <c r="H458" s="198">
        <v>2141</v>
      </c>
      <c r="I458" s="196" t="s">
        <v>318</v>
      </c>
      <c r="J458" s="199">
        <v>2057</v>
      </c>
      <c r="K458" s="198">
        <v>2253</v>
      </c>
      <c r="L458" s="200">
        <v>0</v>
      </c>
      <c r="M458" s="201"/>
      <c r="N458" s="199">
        <v>2141</v>
      </c>
      <c r="O458" s="202">
        <v>7.3</v>
      </c>
      <c r="P458" s="203">
        <v>6.3</v>
      </c>
      <c r="Q458" s="203">
        <v>1</v>
      </c>
      <c r="R458" s="204">
        <v>5.8</v>
      </c>
      <c r="S458" s="203">
        <v>4.3</v>
      </c>
      <c r="T458" s="203">
        <v>1.5</v>
      </c>
      <c r="V458" s="198">
        <v>2141</v>
      </c>
      <c r="W458" s="202">
        <v>7.3</v>
      </c>
      <c r="X458" s="203">
        <v>6.3</v>
      </c>
      <c r="Y458" s="203">
        <v>1</v>
      </c>
      <c r="Z458" s="204">
        <v>5.8</v>
      </c>
      <c r="AA458" s="203">
        <v>4.3</v>
      </c>
      <c r="AB458" s="203">
        <v>1.5</v>
      </c>
      <c r="AD458" s="198">
        <v>2141</v>
      </c>
      <c r="AE458" s="202" t="s">
        <v>82</v>
      </c>
      <c r="AF458" s="203" t="s">
        <v>82</v>
      </c>
      <c r="AG458" s="203" t="s">
        <v>82</v>
      </c>
      <c r="AH458" s="204" t="s">
        <v>82</v>
      </c>
      <c r="AI458" s="203" t="s">
        <v>82</v>
      </c>
      <c r="AJ458" s="203" t="s">
        <v>82</v>
      </c>
    </row>
    <row customFormat="1" r="459" s="205" spans="1:36" x14ac:dyDescent="0.2">
      <c r="A459" s="193">
        <v>455</v>
      </c>
      <c r="B459" s="215">
        <v>13</v>
      </c>
      <c r="C459" s="195" t="s">
        <v>306</v>
      </c>
      <c r="D459" s="195">
        <v>1</v>
      </c>
      <c r="E459" s="195" t="s">
        <v>307</v>
      </c>
      <c r="F459" s="196">
        <v>44484</v>
      </c>
      <c r="G459" s="197" t="s">
        <v>8</v>
      </c>
      <c r="H459" s="198">
        <v>2142</v>
      </c>
      <c r="I459" s="196" t="s">
        <v>319</v>
      </c>
      <c r="J459" s="199">
        <v>2200</v>
      </c>
      <c r="K459" s="198">
        <v>2308</v>
      </c>
      <c r="L459" s="200">
        <v>0</v>
      </c>
      <c r="M459" s="201"/>
      <c r="N459" s="199">
        <v>2142</v>
      </c>
      <c r="O459" s="202">
        <v>5.7</v>
      </c>
      <c r="P459" s="203">
        <v>4.7</v>
      </c>
      <c r="Q459" s="203">
        <v>1</v>
      </c>
      <c r="R459" s="204">
        <v>4.2</v>
      </c>
      <c r="S459" s="203">
        <v>4.2</v>
      </c>
      <c r="T459" s="203" t="s">
        <v>84</v>
      </c>
      <c r="V459" s="198">
        <v>2142</v>
      </c>
      <c r="W459" s="202">
        <v>5.6</v>
      </c>
      <c r="X459" s="203">
        <v>4.7</v>
      </c>
      <c r="Y459" s="203">
        <v>0.9</v>
      </c>
      <c r="Z459" s="204">
        <v>4.2</v>
      </c>
      <c r="AA459" s="203">
        <v>4.2</v>
      </c>
      <c r="AB459" s="203" t="s">
        <v>84</v>
      </c>
      <c r="AD459" s="198">
        <v>2142</v>
      </c>
      <c r="AE459" s="202">
        <v>-0.10000000000000053</v>
      </c>
      <c r="AF459" s="203" t="s">
        <v>82</v>
      </c>
      <c r="AG459" s="203">
        <v>-9.9999999999999978E-2</v>
      </c>
      <c r="AH459" s="204" t="s">
        <v>82</v>
      </c>
      <c r="AI459" s="203" t="s">
        <v>82</v>
      </c>
      <c r="AJ459" s="203" t="s">
        <v>82</v>
      </c>
    </row>
    <row customFormat="1" r="460" s="205" spans="1:36" x14ac:dyDescent="0.2">
      <c r="A460" s="193">
        <v>456</v>
      </c>
      <c r="B460" s="215">
        <v>13</v>
      </c>
      <c r="C460" s="195" t="s">
        <v>306</v>
      </c>
      <c r="D460" s="195">
        <v>1</v>
      </c>
      <c r="E460" s="195" t="s">
        <v>307</v>
      </c>
      <c r="F460" s="196">
        <v>44491</v>
      </c>
      <c r="G460" s="197" t="s">
        <v>8</v>
      </c>
      <c r="H460" s="198">
        <v>2143</v>
      </c>
      <c r="I460" s="196" t="s">
        <v>319</v>
      </c>
      <c r="J460" s="199">
        <v>2200</v>
      </c>
      <c r="K460" s="198">
        <v>2253</v>
      </c>
      <c r="L460" s="200">
        <v>0</v>
      </c>
      <c r="M460" s="201"/>
      <c r="N460" s="199">
        <v>2143</v>
      </c>
      <c r="O460" s="202">
        <v>6.7</v>
      </c>
      <c r="P460" s="203">
        <v>5.2</v>
      </c>
      <c r="Q460" s="203">
        <v>1.5</v>
      </c>
      <c r="R460" s="204">
        <v>5.5</v>
      </c>
      <c r="S460" s="203">
        <v>4.5999999999999996</v>
      </c>
      <c r="T460" s="203">
        <v>0.9</v>
      </c>
      <c r="V460" s="198">
        <v>2143</v>
      </c>
      <c r="W460" s="202">
        <v>6.5</v>
      </c>
      <c r="X460" s="203">
        <v>5.2</v>
      </c>
      <c r="Y460" s="203">
        <v>1.3</v>
      </c>
      <c r="Z460" s="204">
        <v>5.5</v>
      </c>
      <c r="AA460" s="203">
        <v>4.5999999999999996</v>
      </c>
      <c r="AB460" s="203">
        <v>0.9</v>
      </c>
      <c r="AD460" s="198">
        <v>2143</v>
      </c>
      <c r="AE460" s="202">
        <v>-0.20000000000000018</v>
      </c>
      <c r="AF460" s="203" t="s">
        <v>82</v>
      </c>
      <c r="AG460" s="203">
        <v>-0.19999999999999996</v>
      </c>
      <c r="AH460" s="204" t="s">
        <v>82</v>
      </c>
      <c r="AI460" s="203" t="s">
        <v>82</v>
      </c>
      <c r="AJ460" s="203" t="s">
        <v>82</v>
      </c>
    </row>
    <row customFormat="1" r="461" s="205" spans="1:36" x14ac:dyDescent="0.2">
      <c r="A461" s="193">
        <v>457</v>
      </c>
      <c r="B461" s="215">
        <v>13</v>
      </c>
      <c r="C461" s="195" t="s">
        <v>306</v>
      </c>
      <c r="D461" s="195">
        <v>1</v>
      </c>
      <c r="E461" s="195" t="s">
        <v>307</v>
      </c>
      <c r="F461" s="196">
        <v>44602</v>
      </c>
      <c r="G461" s="197" t="s">
        <v>7</v>
      </c>
      <c r="H461" s="198">
        <v>2207</v>
      </c>
      <c r="I461" s="196" t="s">
        <v>320</v>
      </c>
      <c r="J461" s="199">
        <v>2540</v>
      </c>
      <c r="K461" s="198">
        <v>2727</v>
      </c>
      <c r="L461" s="200">
        <v>0</v>
      </c>
      <c r="M461" s="201"/>
      <c r="N461" s="199">
        <v>2207</v>
      </c>
      <c r="O461" s="202">
        <v>1</v>
      </c>
      <c r="P461" s="203">
        <v>0.7</v>
      </c>
      <c r="Q461" s="203">
        <v>0.3</v>
      </c>
      <c r="R461" s="204">
        <v>0.5</v>
      </c>
      <c r="S461" s="203">
        <v>0.5</v>
      </c>
      <c r="T461" s="203" t="s">
        <v>84</v>
      </c>
      <c r="V461" s="198">
        <v>2207</v>
      </c>
      <c r="W461" s="202">
        <v>0.8</v>
      </c>
      <c r="X461" s="203">
        <v>0.7</v>
      </c>
      <c r="Y461" s="203">
        <v>0.1</v>
      </c>
      <c r="Z461" s="204">
        <v>0.5</v>
      </c>
      <c r="AA461" s="203">
        <v>0.5</v>
      </c>
      <c r="AB461" s="203" t="s">
        <v>84</v>
      </c>
      <c r="AD461" s="198">
        <v>2207</v>
      </c>
      <c r="AE461" s="202">
        <v>-0.19999999999999996</v>
      </c>
      <c r="AF461" s="203" t="s">
        <v>82</v>
      </c>
      <c r="AG461" s="203">
        <v>-0.19999999999999998</v>
      </c>
      <c r="AH461" s="204" t="s">
        <v>82</v>
      </c>
      <c r="AI461" s="203" t="s">
        <v>82</v>
      </c>
      <c r="AJ461" s="203" t="s">
        <v>82</v>
      </c>
    </row>
    <row customFormat="1" r="462" s="205" spans="1:36" x14ac:dyDescent="0.2">
      <c r="A462" s="193">
        <v>458</v>
      </c>
      <c r="B462" s="215">
        <v>13</v>
      </c>
      <c r="C462" s="195" t="s">
        <v>306</v>
      </c>
      <c r="D462" s="195">
        <v>1</v>
      </c>
      <c r="E462" s="195" t="s">
        <v>307</v>
      </c>
      <c r="F462" s="196">
        <v>44609</v>
      </c>
      <c r="G462" s="197" t="s">
        <v>7</v>
      </c>
      <c r="H462" s="198">
        <v>2208</v>
      </c>
      <c r="I462" s="196" t="s">
        <v>321</v>
      </c>
      <c r="J462" s="199">
        <v>2540</v>
      </c>
      <c r="K462" s="198">
        <v>2734</v>
      </c>
      <c r="L462" s="200">
        <v>0</v>
      </c>
      <c r="M462" s="201"/>
      <c r="N462" s="199">
        <v>2208</v>
      </c>
      <c r="O462" s="202">
        <v>1</v>
      </c>
      <c r="P462" s="203">
        <v>0.7</v>
      </c>
      <c r="Q462" s="203">
        <v>0.3</v>
      </c>
      <c r="R462" s="204">
        <v>0.4</v>
      </c>
      <c r="S462" s="203">
        <v>0.4</v>
      </c>
      <c r="T462" s="203" t="s">
        <v>84</v>
      </c>
      <c r="V462" s="198">
        <v>2208</v>
      </c>
      <c r="W462" s="202">
        <v>0.8</v>
      </c>
      <c r="X462" s="203">
        <v>0.7</v>
      </c>
      <c r="Y462" s="203">
        <v>0.1</v>
      </c>
      <c r="Z462" s="204">
        <v>0.4</v>
      </c>
      <c r="AA462" s="203">
        <v>0.4</v>
      </c>
      <c r="AB462" s="203" t="s">
        <v>84</v>
      </c>
      <c r="AD462" s="198">
        <v>2208</v>
      </c>
      <c r="AE462" s="202">
        <v>-0.19999999999999996</v>
      </c>
      <c r="AF462" s="203" t="s">
        <v>82</v>
      </c>
      <c r="AG462" s="203">
        <v>-0.19999999999999998</v>
      </c>
      <c r="AH462" s="204" t="s">
        <v>82</v>
      </c>
      <c r="AI462" s="203" t="s">
        <v>82</v>
      </c>
      <c r="AJ462" s="203" t="s">
        <v>82</v>
      </c>
    </row>
    <row customFormat="1" r="463" s="205" spans="1:36" x14ac:dyDescent="0.2">
      <c r="A463" s="193">
        <v>459</v>
      </c>
      <c r="B463" s="215">
        <v>13</v>
      </c>
      <c r="C463" s="195" t="s">
        <v>306</v>
      </c>
      <c r="D463" s="195">
        <v>1</v>
      </c>
      <c r="E463" s="195" t="s">
        <v>307</v>
      </c>
      <c r="F463" s="196">
        <v>44616</v>
      </c>
      <c r="G463" s="197" t="s">
        <v>7</v>
      </c>
      <c r="H463" s="198">
        <v>2209</v>
      </c>
      <c r="I463" s="196" t="s">
        <v>322</v>
      </c>
      <c r="J463" s="199">
        <v>2525</v>
      </c>
      <c r="K463" s="198">
        <v>2728</v>
      </c>
      <c r="L463" s="200">
        <v>0</v>
      </c>
      <c r="M463" s="201"/>
      <c r="N463" s="199">
        <v>2209</v>
      </c>
      <c r="O463" s="202">
        <v>0.8</v>
      </c>
      <c r="P463" s="203">
        <v>0.6</v>
      </c>
      <c r="Q463" s="203">
        <v>0.2</v>
      </c>
      <c r="R463" s="204">
        <v>0.3</v>
      </c>
      <c r="S463" s="203">
        <v>0.3</v>
      </c>
      <c r="T463" s="203" t="s">
        <v>84</v>
      </c>
      <c r="V463" s="198">
        <v>2209</v>
      </c>
      <c r="W463" s="202">
        <v>0.7</v>
      </c>
      <c r="X463" s="203">
        <v>0.6</v>
      </c>
      <c r="Y463" s="203">
        <v>0.1</v>
      </c>
      <c r="Z463" s="204">
        <v>0.3</v>
      </c>
      <c r="AA463" s="203">
        <v>0.3</v>
      </c>
      <c r="AB463" s="203" t="s">
        <v>84</v>
      </c>
      <c r="AD463" s="198">
        <v>2209</v>
      </c>
      <c r="AE463" s="202">
        <v>-0.10000000000000009</v>
      </c>
      <c r="AF463" s="203" t="s">
        <v>82</v>
      </c>
      <c r="AG463" s="203">
        <v>-0.1</v>
      </c>
      <c r="AH463" s="204" t="s">
        <v>82</v>
      </c>
      <c r="AI463" s="203" t="s">
        <v>82</v>
      </c>
      <c r="AJ463" s="203" t="s">
        <v>82</v>
      </c>
    </row>
    <row customFormat="1" r="464" s="205" spans="1:36" x14ac:dyDescent="0.2">
      <c r="A464" s="193">
        <v>460</v>
      </c>
      <c r="B464" s="215">
        <v>13</v>
      </c>
      <c r="C464" s="195" t="s">
        <v>306</v>
      </c>
      <c r="D464" s="195">
        <v>1</v>
      </c>
      <c r="E464" s="195" t="s">
        <v>307</v>
      </c>
      <c r="F464" s="196">
        <v>44623</v>
      </c>
      <c r="G464" s="197" t="s">
        <v>7</v>
      </c>
      <c r="H464" s="198">
        <v>2210</v>
      </c>
      <c r="I464" s="196" t="s">
        <v>323</v>
      </c>
      <c r="J464" s="199">
        <v>2530</v>
      </c>
      <c r="K464" s="198">
        <v>2722</v>
      </c>
      <c r="L464" s="200">
        <v>0</v>
      </c>
      <c r="M464" s="201"/>
      <c r="N464" s="199">
        <v>2210</v>
      </c>
      <c r="O464" s="202">
        <v>0.9</v>
      </c>
      <c r="P464" s="203">
        <v>0.6</v>
      </c>
      <c r="Q464" s="203">
        <v>0.3</v>
      </c>
      <c r="R464" s="204">
        <v>0.4</v>
      </c>
      <c r="S464" s="203">
        <v>0.4</v>
      </c>
      <c r="T464" s="203" t="s">
        <v>84</v>
      </c>
      <c r="V464" s="198">
        <v>2210</v>
      </c>
      <c r="W464" s="202">
        <v>0.7</v>
      </c>
      <c r="X464" s="203">
        <v>0.6</v>
      </c>
      <c r="Y464" s="203">
        <v>0.1</v>
      </c>
      <c r="Z464" s="204">
        <v>0.4</v>
      </c>
      <c r="AA464" s="203">
        <v>0.4</v>
      </c>
      <c r="AB464" s="203" t="s">
        <v>84</v>
      </c>
      <c r="AD464" s="198">
        <v>2210</v>
      </c>
      <c r="AE464" s="202">
        <v>-0.20000000000000007</v>
      </c>
      <c r="AF464" s="203" t="s">
        <v>82</v>
      </c>
      <c r="AG464" s="203">
        <v>-0.19999999999999998</v>
      </c>
      <c r="AH464" s="204" t="s">
        <v>82</v>
      </c>
      <c r="AI464" s="203" t="s">
        <v>82</v>
      </c>
      <c r="AJ464" s="203" t="s">
        <v>82</v>
      </c>
    </row>
    <row customFormat="1" r="465" s="205" spans="1:36" x14ac:dyDescent="0.2">
      <c r="A465" s="193">
        <v>461</v>
      </c>
      <c r="B465" s="215">
        <v>13</v>
      </c>
      <c r="C465" s="195" t="s">
        <v>306</v>
      </c>
      <c r="D465" s="195">
        <v>2</v>
      </c>
      <c r="E465" s="195" t="s">
        <v>324</v>
      </c>
      <c r="F465" s="196">
        <v>44096</v>
      </c>
      <c r="G465" s="197" t="s">
        <v>5</v>
      </c>
      <c r="H465" s="198">
        <v>2039</v>
      </c>
      <c r="I465" s="196" t="s">
        <v>325</v>
      </c>
      <c r="J465" s="199">
        <v>1450</v>
      </c>
      <c r="K465" s="198">
        <v>1549</v>
      </c>
      <c r="L465" s="200">
        <v>0</v>
      </c>
      <c r="M465" s="201"/>
      <c r="N465" s="199">
        <v>2039</v>
      </c>
      <c r="O465" s="202">
        <v>2.4</v>
      </c>
      <c r="P465" s="203">
        <v>2.2000000000000002</v>
      </c>
      <c r="Q465" s="203">
        <v>0.2</v>
      </c>
      <c r="R465" s="204">
        <v>2</v>
      </c>
      <c r="S465" s="203">
        <v>2</v>
      </c>
      <c r="T465" s="203">
        <v>0</v>
      </c>
      <c r="V465" s="198">
        <v>2039</v>
      </c>
      <c r="W465" s="202">
        <v>2.2000000000000002</v>
      </c>
      <c r="X465" s="203">
        <v>2.2000000000000002</v>
      </c>
      <c r="Y465" s="203">
        <v>0</v>
      </c>
      <c r="Z465" s="204">
        <v>2</v>
      </c>
      <c r="AA465" s="203">
        <v>2</v>
      </c>
      <c r="AB465" s="203">
        <v>0</v>
      </c>
      <c r="AD465" s="198">
        <v>2039</v>
      </c>
      <c r="AE465" s="202">
        <v>-0.19999999999999973</v>
      </c>
      <c r="AF465" s="203" t="s">
        <v>82</v>
      </c>
      <c r="AG465" s="203">
        <v>-0.2</v>
      </c>
      <c r="AH465" s="204" t="s">
        <v>82</v>
      </c>
      <c r="AI465" s="203" t="s">
        <v>82</v>
      </c>
      <c r="AJ465" s="203" t="s">
        <v>82</v>
      </c>
    </row>
    <row customFormat="1" r="466" s="205" spans="1:36" x14ac:dyDescent="0.2">
      <c r="A466" s="193">
        <v>462</v>
      </c>
      <c r="B466" s="215">
        <v>13</v>
      </c>
      <c r="C466" s="195" t="s">
        <v>306</v>
      </c>
      <c r="D466" s="195">
        <v>2</v>
      </c>
      <c r="E466" s="195" t="s">
        <v>324</v>
      </c>
      <c r="F466" s="196">
        <v>44103</v>
      </c>
      <c r="G466" s="197" t="s">
        <v>5</v>
      </c>
      <c r="H466" s="198">
        <v>2040</v>
      </c>
      <c r="I466" s="196" t="s">
        <v>326</v>
      </c>
      <c r="J466" s="199">
        <v>1445</v>
      </c>
      <c r="K466" s="198">
        <v>1544</v>
      </c>
      <c r="L466" s="200">
        <v>0</v>
      </c>
      <c r="M466" s="201"/>
      <c r="N466" s="199">
        <v>2040</v>
      </c>
      <c r="O466" s="202">
        <v>2.6</v>
      </c>
      <c r="P466" s="203">
        <v>2.4</v>
      </c>
      <c r="Q466" s="203">
        <v>0.2</v>
      </c>
      <c r="R466" s="204">
        <v>2</v>
      </c>
      <c r="S466" s="203">
        <v>2</v>
      </c>
      <c r="T466" s="203" t="s">
        <v>84</v>
      </c>
      <c r="V466" s="198">
        <v>2040</v>
      </c>
      <c r="W466" s="202">
        <v>2.4</v>
      </c>
      <c r="X466" s="203">
        <v>2.4</v>
      </c>
      <c r="Y466" s="203">
        <v>0</v>
      </c>
      <c r="Z466" s="204">
        <v>2</v>
      </c>
      <c r="AA466" s="203">
        <v>2</v>
      </c>
      <c r="AB466" s="203" t="s">
        <v>84</v>
      </c>
      <c r="AD466" s="198">
        <v>2040</v>
      </c>
      <c r="AE466" s="202">
        <v>-0.20000000000000018</v>
      </c>
      <c r="AF466" s="203" t="s">
        <v>82</v>
      </c>
      <c r="AG466" s="203">
        <v>-0.2</v>
      </c>
      <c r="AH466" s="204" t="s">
        <v>82</v>
      </c>
      <c r="AI466" s="203" t="s">
        <v>82</v>
      </c>
      <c r="AJ466" s="203" t="s">
        <v>82</v>
      </c>
    </row>
    <row customFormat="1" r="467" s="205" spans="1:36" x14ac:dyDescent="0.2">
      <c r="A467" s="193">
        <v>463</v>
      </c>
      <c r="B467" s="215">
        <v>13</v>
      </c>
      <c r="C467" s="195" t="s">
        <v>306</v>
      </c>
      <c r="D467" s="195">
        <v>2</v>
      </c>
      <c r="E467" s="195" t="s">
        <v>324</v>
      </c>
      <c r="F467" s="196">
        <v>44110</v>
      </c>
      <c r="G467" s="197" t="s">
        <v>5</v>
      </c>
      <c r="H467" s="198">
        <v>2041</v>
      </c>
      <c r="I467" s="196" t="s">
        <v>326</v>
      </c>
      <c r="J467" s="199">
        <v>1445</v>
      </c>
      <c r="K467" s="198">
        <v>1544</v>
      </c>
      <c r="L467" s="200">
        <v>0</v>
      </c>
      <c r="M467" s="201"/>
      <c r="N467" s="199">
        <v>2041</v>
      </c>
      <c r="O467" s="202">
        <v>2.2000000000000002</v>
      </c>
      <c r="P467" s="203">
        <v>2</v>
      </c>
      <c r="Q467" s="203">
        <v>0.2</v>
      </c>
      <c r="R467" s="204">
        <v>2.2000000000000002</v>
      </c>
      <c r="S467" s="203">
        <v>2</v>
      </c>
      <c r="T467" s="203">
        <v>0.2</v>
      </c>
      <c r="V467" s="198">
        <v>2041</v>
      </c>
      <c r="W467" s="202">
        <v>2</v>
      </c>
      <c r="X467" s="203">
        <v>2</v>
      </c>
      <c r="Y467" s="203">
        <v>0</v>
      </c>
      <c r="Z467" s="204">
        <v>2.2000000000000002</v>
      </c>
      <c r="AA467" s="203">
        <v>2</v>
      </c>
      <c r="AB467" s="203">
        <v>0.2</v>
      </c>
      <c r="AD467" s="198">
        <v>2041</v>
      </c>
      <c r="AE467" s="202">
        <v>-0.20000000000000018</v>
      </c>
      <c r="AF467" s="203" t="s">
        <v>82</v>
      </c>
      <c r="AG467" s="203">
        <v>-0.2</v>
      </c>
      <c r="AH467" s="204" t="s">
        <v>82</v>
      </c>
      <c r="AI467" s="203" t="s">
        <v>82</v>
      </c>
      <c r="AJ467" s="203" t="s">
        <v>82</v>
      </c>
    </row>
    <row customFormat="1" r="468" s="205" spans="1:36" x14ac:dyDescent="0.2">
      <c r="A468" s="193">
        <v>464</v>
      </c>
      <c r="B468" s="215">
        <v>13</v>
      </c>
      <c r="C468" s="195" t="s">
        <v>306</v>
      </c>
      <c r="D468" s="195">
        <v>2</v>
      </c>
      <c r="E468" s="195" t="s">
        <v>324</v>
      </c>
      <c r="F468" s="196">
        <v>44117</v>
      </c>
      <c r="G468" s="197" t="s">
        <v>5</v>
      </c>
      <c r="H468" s="198">
        <v>2042</v>
      </c>
      <c r="I468" s="196" t="s">
        <v>327</v>
      </c>
      <c r="J468" s="199">
        <v>1445</v>
      </c>
      <c r="K468" s="198">
        <v>1544</v>
      </c>
      <c r="L468" s="200">
        <v>0</v>
      </c>
      <c r="M468" s="201"/>
      <c r="N468" s="199">
        <v>2042</v>
      </c>
      <c r="O468" s="202">
        <v>2.6</v>
      </c>
      <c r="P468" s="203">
        <v>2.2000000000000002</v>
      </c>
      <c r="Q468" s="203">
        <v>0.4</v>
      </c>
      <c r="R468" s="204">
        <v>2.6</v>
      </c>
      <c r="S468" s="203">
        <v>2.2000000000000002</v>
      </c>
      <c r="T468" s="203">
        <v>0.4</v>
      </c>
      <c r="V468" s="198">
        <v>2042</v>
      </c>
      <c r="W468" s="202">
        <v>2.5</v>
      </c>
      <c r="X468" s="203">
        <v>2.2000000000000002</v>
      </c>
      <c r="Y468" s="203">
        <v>0.3</v>
      </c>
      <c r="Z468" s="204">
        <v>2.6</v>
      </c>
      <c r="AA468" s="203">
        <v>2.2000000000000002</v>
      </c>
      <c r="AB468" s="203">
        <v>0.4</v>
      </c>
      <c r="AD468" s="198">
        <v>2042</v>
      </c>
      <c r="AE468" s="202">
        <v>-0.10000000000000009</v>
      </c>
      <c r="AF468" s="203" t="s">
        <v>82</v>
      </c>
      <c r="AG468" s="203">
        <v>-0.10000000000000003</v>
      </c>
      <c r="AH468" s="204" t="s">
        <v>82</v>
      </c>
      <c r="AI468" s="203" t="s">
        <v>82</v>
      </c>
      <c r="AJ468" s="203" t="s">
        <v>82</v>
      </c>
    </row>
    <row customFormat="1" r="469" s="205" spans="1:36" x14ac:dyDescent="0.2">
      <c r="A469" s="193">
        <v>465</v>
      </c>
      <c r="B469" s="215">
        <v>13</v>
      </c>
      <c r="C469" s="195" t="s">
        <v>306</v>
      </c>
      <c r="D469" s="195">
        <v>2</v>
      </c>
      <c r="E469" s="195" t="s">
        <v>324</v>
      </c>
      <c r="F469" s="196">
        <v>44372</v>
      </c>
      <c r="G469" s="197" t="s">
        <v>8</v>
      </c>
      <c r="H469" s="198">
        <v>2126</v>
      </c>
      <c r="I469" s="196" t="s">
        <v>328</v>
      </c>
      <c r="J469" s="199">
        <v>1748</v>
      </c>
      <c r="K469" s="198">
        <v>1859</v>
      </c>
      <c r="L469" s="200">
        <v>0</v>
      </c>
      <c r="M469" s="201"/>
      <c r="N469" s="199">
        <v>2126</v>
      </c>
      <c r="O469" s="202">
        <v>5.4</v>
      </c>
      <c r="P469" s="203">
        <v>5.3</v>
      </c>
      <c r="Q469" s="203">
        <v>0.1</v>
      </c>
      <c r="R469" s="204">
        <v>5.4</v>
      </c>
      <c r="S469" s="203">
        <v>5.4</v>
      </c>
      <c r="T469" s="203" t="s">
        <v>84</v>
      </c>
      <c r="V469" s="198">
        <v>2126</v>
      </c>
      <c r="W469" s="202">
        <v>5.3</v>
      </c>
      <c r="X469" s="203">
        <v>5.3</v>
      </c>
      <c r="Y469" s="203">
        <v>0</v>
      </c>
      <c r="Z469" s="204">
        <v>5.4</v>
      </c>
      <c r="AA469" s="203">
        <v>5.4</v>
      </c>
      <c r="AB469" s="203" t="s">
        <v>84</v>
      </c>
      <c r="AD469" s="198">
        <v>2126</v>
      </c>
      <c r="AE469" s="202">
        <v>-0.10000000000000053</v>
      </c>
      <c r="AF469" s="203" t="s">
        <v>82</v>
      </c>
      <c r="AG469" s="203">
        <v>-0.1</v>
      </c>
      <c r="AH469" s="204" t="s">
        <v>82</v>
      </c>
      <c r="AI469" s="203" t="s">
        <v>82</v>
      </c>
      <c r="AJ469" s="203" t="s">
        <v>82</v>
      </c>
    </row>
    <row customFormat="1" r="470" s="205" spans="1:36" x14ac:dyDescent="0.2">
      <c r="A470" s="193">
        <v>466</v>
      </c>
      <c r="B470" s="215">
        <v>13</v>
      </c>
      <c r="C470" s="195" t="s">
        <v>306</v>
      </c>
      <c r="D470" s="195">
        <v>2</v>
      </c>
      <c r="E470" s="195" t="s">
        <v>324</v>
      </c>
      <c r="F470" s="196">
        <v>44379</v>
      </c>
      <c r="G470" s="197" t="s">
        <v>8</v>
      </c>
      <c r="H470" s="198">
        <v>2127</v>
      </c>
      <c r="I470" s="196" t="s">
        <v>328</v>
      </c>
      <c r="J470" s="199">
        <v>1748</v>
      </c>
      <c r="K470" s="198">
        <v>1859</v>
      </c>
      <c r="L470" s="200">
        <v>0</v>
      </c>
      <c r="M470" s="201"/>
      <c r="N470" s="199">
        <v>2127</v>
      </c>
      <c r="O470" s="202">
        <v>5.0999999999999996</v>
      </c>
      <c r="P470" s="203">
        <v>5</v>
      </c>
      <c r="Q470" s="203">
        <v>0.1</v>
      </c>
      <c r="R470" s="204">
        <v>5.0999999999999996</v>
      </c>
      <c r="S470" s="203">
        <v>5.0999999999999996</v>
      </c>
      <c r="T470" s="203" t="s">
        <v>84</v>
      </c>
      <c r="V470" s="198">
        <v>2127</v>
      </c>
      <c r="W470" s="202">
        <v>5</v>
      </c>
      <c r="X470" s="203">
        <v>5</v>
      </c>
      <c r="Y470" s="203">
        <v>0</v>
      </c>
      <c r="Z470" s="204">
        <v>5.0999999999999996</v>
      </c>
      <c r="AA470" s="203">
        <v>5.0999999999999996</v>
      </c>
      <c r="AB470" s="203" t="s">
        <v>84</v>
      </c>
      <c r="AD470" s="198">
        <v>2127</v>
      </c>
      <c r="AE470" s="202">
        <v>-9.9999999999999645E-2</v>
      </c>
      <c r="AF470" s="203" t="s">
        <v>82</v>
      </c>
      <c r="AG470" s="203">
        <v>-0.1</v>
      </c>
      <c r="AH470" s="204" t="s">
        <v>82</v>
      </c>
      <c r="AI470" s="203" t="s">
        <v>82</v>
      </c>
      <c r="AJ470" s="203" t="s">
        <v>82</v>
      </c>
    </row>
    <row customFormat="1" r="471" s="205" spans="1:36" x14ac:dyDescent="0.2">
      <c r="A471" s="193">
        <v>467</v>
      </c>
      <c r="B471" s="215">
        <v>13</v>
      </c>
      <c r="C471" s="195" t="s">
        <v>306</v>
      </c>
      <c r="D471" s="195">
        <v>2</v>
      </c>
      <c r="E471" s="195" t="s">
        <v>324</v>
      </c>
      <c r="F471" s="196">
        <v>44386</v>
      </c>
      <c r="G471" s="197" t="s">
        <v>8</v>
      </c>
      <c r="H471" s="198">
        <v>2128</v>
      </c>
      <c r="I471" s="196" t="s">
        <v>328</v>
      </c>
      <c r="J471" s="199">
        <v>1748</v>
      </c>
      <c r="K471" s="198">
        <v>1859</v>
      </c>
      <c r="L471" s="200">
        <v>0</v>
      </c>
      <c r="M471" s="201"/>
      <c r="N471" s="199">
        <v>2128</v>
      </c>
      <c r="O471" s="202">
        <v>4.5999999999999996</v>
      </c>
      <c r="P471" s="203">
        <v>4.5</v>
      </c>
      <c r="Q471" s="203">
        <v>0.1</v>
      </c>
      <c r="R471" s="204">
        <v>4.5</v>
      </c>
      <c r="S471" s="203">
        <v>4.5</v>
      </c>
      <c r="T471" s="203" t="s">
        <v>84</v>
      </c>
      <c r="V471" s="198">
        <v>2128</v>
      </c>
      <c r="W471" s="202">
        <v>4.5</v>
      </c>
      <c r="X471" s="203">
        <v>4.5</v>
      </c>
      <c r="Y471" s="203">
        <v>0</v>
      </c>
      <c r="Z471" s="204">
        <v>4.5</v>
      </c>
      <c r="AA471" s="203">
        <v>4.5</v>
      </c>
      <c r="AB471" s="203" t="s">
        <v>84</v>
      </c>
      <c r="AD471" s="198">
        <v>2128</v>
      </c>
      <c r="AE471" s="202">
        <v>-9.9999999999999645E-2</v>
      </c>
      <c r="AF471" s="203" t="s">
        <v>82</v>
      </c>
      <c r="AG471" s="203">
        <v>-0.1</v>
      </c>
      <c r="AH471" s="204" t="s">
        <v>82</v>
      </c>
      <c r="AI471" s="203" t="s">
        <v>82</v>
      </c>
      <c r="AJ471" s="203" t="s">
        <v>82</v>
      </c>
    </row>
    <row customFormat="1" r="472" s="205" spans="1:36" x14ac:dyDescent="0.2">
      <c r="A472" s="193">
        <v>468</v>
      </c>
      <c r="B472" s="215">
        <v>13</v>
      </c>
      <c r="C472" s="195" t="s">
        <v>306</v>
      </c>
      <c r="D472" s="195">
        <v>2</v>
      </c>
      <c r="E472" s="195" t="s">
        <v>324</v>
      </c>
      <c r="F472" s="196">
        <v>44393</v>
      </c>
      <c r="G472" s="197" t="s">
        <v>8</v>
      </c>
      <c r="H472" s="198">
        <v>2129</v>
      </c>
      <c r="I472" s="196" t="s">
        <v>328</v>
      </c>
      <c r="J472" s="199">
        <v>1748</v>
      </c>
      <c r="K472" s="198">
        <v>1859</v>
      </c>
      <c r="L472" s="200">
        <v>0</v>
      </c>
      <c r="M472" s="201"/>
      <c r="N472" s="199">
        <v>2129</v>
      </c>
      <c r="O472" s="202">
        <v>4.8</v>
      </c>
      <c r="P472" s="203">
        <v>4.7</v>
      </c>
      <c r="Q472" s="203">
        <v>0.1</v>
      </c>
      <c r="R472" s="204">
        <v>4.0999999999999996</v>
      </c>
      <c r="S472" s="203">
        <v>4.0999999999999996</v>
      </c>
      <c r="T472" s="203" t="s">
        <v>84</v>
      </c>
      <c r="V472" s="198">
        <v>2129</v>
      </c>
      <c r="W472" s="202">
        <v>4.7</v>
      </c>
      <c r="X472" s="203">
        <v>4.7</v>
      </c>
      <c r="Y472" s="203">
        <v>0</v>
      </c>
      <c r="Z472" s="204">
        <v>4.0999999999999996</v>
      </c>
      <c r="AA472" s="203">
        <v>4.0999999999999996</v>
      </c>
      <c r="AB472" s="203" t="s">
        <v>84</v>
      </c>
      <c r="AD472" s="198">
        <v>2129</v>
      </c>
      <c r="AE472" s="202">
        <v>-9.9999999999999645E-2</v>
      </c>
      <c r="AF472" s="203" t="s">
        <v>82</v>
      </c>
      <c r="AG472" s="203">
        <v>-0.1</v>
      </c>
      <c r="AH472" s="204" t="s">
        <v>82</v>
      </c>
      <c r="AI472" s="203" t="s">
        <v>82</v>
      </c>
      <c r="AJ472" s="203" t="s">
        <v>82</v>
      </c>
    </row>
    <row customFormat="1" r="473" s="205" spans="1:36" x14ac:dyDescent="0.2">
      <c r="A473" s="193">
        <v>469</v>
      </c>
      <c r="B473" s="215">
        <v>13</v>
      </c>
      <c r="C473" s="195" t="s">
        <v>306</v>
      </c>
      <c r="D473" s="195">
        <v>2</v>
      </c>
      <c r="E473" s="195" t="s">
        <v>324</v>
      </c>
      <c r="F473" s="196">
        <v>44550</v>
      </c>
      <c r="G473" s="197" t="s">
        <v>4</v>
      </c>
      <c r="H473" s="198">
        <v>2152</v>
      </c>
      <c r="I473" s="196" t="s">
        <v>217</v>
      </c>
      <c r="J473" s="199">
        <v>800</v>
      </c>
      <c r="K473" s="198">
        <v>949</v>
      </c>
      <c r="L473" s="200">
        <v>0</v>
      </c>
      <c r="M473" s="201"/>
      <c r="N473" s="199">
        <v>2152</v>
      </c>
      <c r="O473" s="202">
        <v>3.2</v>
      </c>
      <c r="P473" s="203">
        <v>3.1</v>
      </c>
      <c r="Q473" s="203">
        <v>0.1</v>
      </c>
      <c r="R473" s="204">
        <v>2.4</v>
      </c>
      <c r="S473" s="203">
        <v>2.4</v>
      </c>
      <c r="T473" s="203">
        <v>0</v>
      </c>
      <c r="V473" s="198">
        <v>2152</v>
      </c>
      <c r="W473" s="202">
        <v>3.2</v>
      </c>
      <c r="X473" s="203">
        <v>3.1</v>
      </c>
      <c r="Y473" s="203">
        <v>0.1</v>
      </c>
      <c r="Z473" s="204">
        <v>2.4</v>
      </c>
      <c r="AA473" s="203">
        <v>2.4</v>
      </c>
      <c r="AB473" s="203">
        <v>0</v>
      </c>
      <c r="AD473" s="198">
        <v>2152</v>
      </c>
      <c r="AE473" s="202" t="s">
        <v>82</v>
      </c>
      <c r="AF473" s="203" t="s">
        <v>82</v>
      </c>
      <c r="AG473" s="203" t="s">
        <v>82</v>
      </c>
      <c r="AH473" s="204" t="s">
        <v>82</v>
      </c>
      <c r="AI473" s="203" t="s">
        <v>82</v>
      </c>
      <c r="AJ473" s="203" t="s">
        <v>82</v>
      </c>
    </row>
    <row customFormat="1" r="474" s="205" spans="1:36" x14ac:dyDescent="0.2">
      <c r="A474" s="193">
        <v>470</v>
      </c>
      <c r="B474" s="215">
        <v>13</v>
      </c>
      <c r="C474" s="195" t="s">
        <v>306</v>
      </c>
      <c r="D474" s="195">
        <v>2</v>
      </c>
      <c r="E474" s="195" t="s">
        <v>324</v>
      </c>
      <c r="F474" s="196">
        <v>44557</v>
      </c>
      <c r="G474" s="197" t="s">
        <v>4</v>
      </c>
      <c r="H474" s="198">
        <v>2201</v>
      </c>
      <c r="I474" s="196" t="s">
        <v>217</v>
      </c>
      <c r="J474" s="199">
        <v>800</v>
      </c>
      <c r="K474" s="198">
        <v>949</v>
      </c>
      <c r="L474" s="200">
        <v>0</v>
      </c>
      <c r="M474" s="201"/>
      <c r="N474" s="199">
        <v>2201</v>
      </c>
      <c r="O474" s="202">
        <v>3.5</v>
      </c>
      <c r="P474" s="203">
        <v>3.4</v>
      </c>
      <c r="Q474" s="203">
        <v>0.1</v>
      </c>
      <c r="R474" s="204">
        <v>2.7</v>
      </c>
      <c r="S474" s="203">
        <v>2.7</v>
      </c>
      <c r="T474" s="203">
        <v>0</v>
      </c>
      <c r="V474" s="198">
        <v>2201</v>
      </c>
      <c r="W474" s="202">
        <v>3.5</v>
      </c>
      <c r="X474" s="203">
        <v>3.4</v>
      </c>
      <c r="Y474" s="203">
        <v>0.1</v>
      </c>
      <c r="Z474" s="204">
        <v>2.7</v>
      </c>
      <c r="AA474" s="203">
        <v>2.7</v>
      </c>
      <c r="AB474" s="203">
        <v>0</v>
      </c>
      <c r="AD474" s="198">
        <v>2201</v>
      </c>
      <c r="AE474" s="202" t="s">
        <v>82</v>
      </c>
      <c r="AF474" s="203" t="s">
        <v>82</v>
      </c>
      <c r="AG474" s="203" t="s">
        <v>82</v>
      </c>
      <c r="AH474" s="204" t="s">
        <v>82</v>
      </c>
      <c r="AI474" s="203" t="s">
        <v>82</v>
      </c>
      <c r="AJ474" s="203" t="s">
        <v>82</v>
      </c>
    </row>
    <row customFormat="1" r="475" s="205" spans="1:36" x14ac:dyDescent="0.2">
      <c r="A475" s="193">
        <v>471</v>
      </c>
      <c r="B475" s="215">
        <v>13</v>
      </c>
      <c r="C475" s="195" t="s">
        <v>306</v>
      </c>
      <c r="D475" s="195">
        <v>2</v>
      </c>
      <c r="E475" s="195" t="s">
        <v>324</v>
      </c>
      <c r="F475" s="196">
        <v>44564</v>
      </c>
      <c r="G475" s="197" t="s">
        <v>4</v>
      </c>
      <c r="H475" s="198">
        <v>2202</v>
      </c>
      <c r="I475" s="196" t="s">
        <v>329</v>
      </c>
      <c r="J475" s="199">
        <v>900</v>
      </c>
      <c r="K475" s="198">
        <v>1024</v>
      </c>
      <c r="L475" s="200">
        <v>0</v>
      </c>
      <c r="M475" s="201"/>
      <c r="N475" s="199">
        <v>2202</v>
      </c>
      <c r="O475" s="202">
        <v>3.2</v>
      </c>
      <c r="P475" s="203">
        <v>3</v>
      </c>
      <c r="Q475" s="203">
        <v>0.2</v>
      </c>
      <c r="R475" s="204">
        <v>3.9</v>
      </c>
      <c r="S475" s="203">
        <v>3.3</v>
      </c>
      <c r="T475" s="203">
        <v>0.6</v>
      </c>
      <c r="V475" s="198">
        <v>2202</v>
      </c>
      <c r="W475" s="202">
        <v>3.2</v>
      </c>
      <c r="X475" s="203">
        <v>3</v>
      </c>
      <c r="Y475" s="203">
        <v>0.2</v>
      </c>
      <c r="Z475" s="204">
        <v>3.9</v>
      </c>
      <c r="AA475" s="203">
        <v>3.3</v>
      </c>
      <c r="AB475" s="203">
        <v>0.6</v>
      </c>
      <c r="AD475" s="198">
        <v>2202</v>
      </c>
      <c r="AE475" s="202" t="s">
        <v>82</v>
      </c>
      <c r="AF475" s="203" t="s">
        <v>82</v>
      </c>
      <c r="AG475" s="203" t="s">
        <v>82</v>
      </c>
      <c r="AH475" s="204" t="s">
        <v>82</v>
      </c>
      <c r="AI475" s="203" t="s">
        <v>82</v>
      </c>
      <c r="AJ475" s="203" t="s">
        <v>82</v>
      </c>
    </row>
    <row customFormat="1" r="476" s="205" spans="1:36" x14ac:dyDescent="0.2">
      <c r="A476" s="193">
        <v>472</v>
      </c>
      <c r="B476" s="215">
        <v>13</v>
      </c>
      <c r="C476" s="195" t="s">
        <v>306</v>
      </c>
      <c r="D476" s="195">
        <v>2</v>
      </c>
      <c r="E476" s="195" t="s">
        <v>324</v>
      </c>
      <c r="F476" s="196">
        <v>44571</v>
      </c>
      <c r="G476" s="197" t="s">
        <v>4</v>
      </c>
      <c r="H476" s="198">
        <v>2203</v>
      </c>
      <c r="I476" s="196" t="s">
        <v>217</v>
      </c>
      <c r="J476" s="199">
        <v>800</v>
      </c>
      <c r="K476" s="198">
        <v>949</v>
      </c>
      <c r="L476" s="200">
        <v>0</v>
      </c>
      <c r="M476" s="201"/>
      <c r="N476" s="199">
        <v>2203</v>
      </c>
      <c r="O476" s="202">
        <v>3.3</v>
      </c>
      <c r="P476" s="203">
        <v>3.2</v>
      </c>
      <c r="Q476" s="203">
        <v>0.1</v>
      </c>
      <c r="R476" s="204">
        <v>2.7</v>
      </c>
      <c r="S476" s="203">
        <v>2.7</v>
      </c>
      <c r="T476" s="203">
        <v>0</v>
      </c>
      <c r="V476" s="198">
        <v>2203</v>
      </c>
      <c r="W476" s="202">
        <v>3.3</v>
      </c>
      <c r="X476" s="203">
        <v>3.2</v>
      </c>
      <c r="Y476" s="203">
        <v>0.1</v>
      </c>
      <c r="Z476" s="204">
        <v>2.7</v>
      </c>
      <c r="AA476" s="203">
        <v>2.7</v>
      </c>
      <c r="AB476" s="203">
        <v>0</v>
      </c>
      <c r="AD476" s="198">
        <v>2203</v>
      </c>
      <c r="AE476" s="202"/>
      <c r="AF476" s="203" t="s">
        <v>82</v>
      </c>
      <c r="AG476" s="203" t="s">
        <v>82</v>
      </c>
      <c r="AH476" s="204" t="s">
        <v>82</v>
      </c>
      <c r="AI476" s="203" t="s">
        <v>82</v>
      </c>
      <c r="AJ476" s="203" t="s">
        <v>82</v>
      </c>
    </row>
    <row customFormat="1" r="477" s="205" spans="1:36" x14ac:dyDescent="0.2">
      <c r="A477" s="193">
        <v>473</v>
      </c>
      <c r="B477" s="215">
        <v>13</v>
      </c>
      <c r="C477" s="195" t="s">
        <v>306</v>
      </c>
      <c r="D477" s="195">
        <v>2</v>
      </c>
      <c r="E477" s="195" t="s">
        <v>324</v>
      </c>
      <c r="F477" s="196">
        <v>44595</v>
      </c>
      <c r="G477" s="197" t="s">
        <v>7</v>
      </c>
      <c r="H477" s="198">
        <v>2206</v>
      </c>
      <c r="I477" s="196" t="s">
        <v>330</v>
      </c>
      <c r="J477" s="199">
        <v>1155</v>
      </c>
      <c r="K477" s="198">
        <v>1444</v>
      </c>
      <c r="L477" s="200">
        <v>0</v>
      </c>
      <c r="M477" s="201"/>
      <c r="N477" s="199">
        <v>2206</v>
      </c>
      <c r="O477" s="202">
        <v>2.6</v>
      </c>
      <c r="P477" s="203">
        <v>2.5</v>
      </c>
      <c r="Q477" s="203">
        <v>0.1</v>
      </c>
      <c r="R477" s="204">
        <v>1.9</v>
      </c>
      <c r="S477" s="203">
        <v>1.9</v>
      </c>
      <c r="T477" s="203">
        <v>0</v>
      </c>
      <c r="V477" s="198">
        <v>2206</v>
      </c>
      <c r="W477" s="202">
        <v>2.5</v>
      </c>
      <c r="X477" s="203">
        <v>2.5</v>
      </c>
      <c r="Y477" s="203">
        <v>0</v>
      </c>
      <c r="Z477" s="204">
        <v>1.9</v>
      </c>
      <c r="AA477" s="203">
        <v>1.9</v>
      </c>
      <c r="AB477" s="203">
        <v>0</v>
      </c>
      <c r="AD477" s="198">
        <v>2206</v>
      </c>
      <c r="AE477" s="202">
        <v>-0.10000000000000009</v>
      </c>
      <c r="AF477" s="203" t="s">
        <v>82</v>
      </c>
      <c r="AG477" s="203">
        <v>-0.1</v>
      </c>
      <c r="AH477" s="204" t="s">
        <v>82</v>
      </c>
      <c r="AI477" s="203" t="s">
        <v>82</v>
      </c>
      <c r="AJ477" s="203" t="s">
        <v>82</v>
      </c>
    </row>
    <row customFormat="1" r="478" s="205" spans="1:36" x14ac:dyDescent="0.2">
      <c r="A478" s="193">
        <v>474</v>
      </c>
      <c r="B478" s="215">
        <v>13</v>
      </c>
      <c r="C478" s="195" t="s">
        <v>306</v>
      </c>
      <c r="D478" s="195">
        <v>2</v>
      </c>
      <c r="E478" s="195" t="s">
        <v>324</v>
      </c>
      <c r="F478" s="196">
        <v>44602</v>
      </c>
      <c r="G478" s="197" t="s">
        <v>7</v>
      </c>
      <c r="H478" s="198">
        <v>2207</v>
      </c>
      <c r="I478" s="196" t="s">
        <v>330</v>
      </c>
      <c r="J478" s="199">
        <v>1155</v>
      </c>
      <c r="K478" s="198">
        <v>1444</v>
      </c>
      <c r="L478" s="200">
        <v>0</v>
      </c>
      <c r="M478" s="201"/>
      <c r="N478" s="199">
        <v>2207</v>
      </c>
      <c r="O478" s="202">
        <v>2.8</v>
      </c>
      <c r="P478" s="203">
        <v>2.7</v>
      </c>
      <c r="Q478" s="203">
        <v>0.1</v>
      </c>
      <c r="R478" s="204">
        <v>2</v>
      </c>
      <c r="S478" s="203">
        <v>2</v>
      </c>
      <c r="T478" s="203" t="s">
        <v>84</v>
      </c>
      <c r="V478" s="198">
        <v>2207</v>
      </c>
      <c r="W478" s="202">
        <v>2.7</v>
      </c>
      <c r="X478" s="203">
        <v>2.7</v>
      </c>
      <c r="Y478" s="203">
        <v>0</v>
      </c>
      <c r="Z478" s="204">
        <v>2</v>
      </c>
      <c r="AA478" s="203">
        <v>2</v>
      </c>
      <c r="AB478" s="203" t="s">
        <v>84</v>
      </c>
      <c r="AD478" s="198">
        <v>2207</v>
      </c>
      <c r="AE478" s="202">
        <v>-9.9999999999999645E-2</v>
      </c>
      <c r="AF478" s="203" t="s">
        <v>82</v>
      </c>
      <c r="AG478" s="203">
        <v>-0.1</v>
      </c>
      <c r="AH478" s="204" t="s">
        <v>82</v>
      </c>
      <c r="AI478" s="203" t="s">
        <v>82</v>
      </c>
      <c r="AJ478" s="203" t="s">
        <v>82</v>
      </c>
    </row>
    <row customFormat="1" r="479" s="205" spans="1:36" x14ac:dyDescent="0.2">
      <c r="A479" s="193">
        <v>475</v>
      </c>
      <c r="B479" s="215">
        <v>13</v>
      </c>
      <c r="C479" s="195" t="s">
        <v>306</v>
      </c>
      <c r="D479" s="195">
        <v>2</v>
      </c>
      <c r="E479" s="195" t="s">
        <v>324</v>
      </c>
      <c r="F479" s="196">
        <v>44609</v>
      </c>
      <c r="G479" s="197" t="s">
        <v>7</v>
      </c>
      <c r="H479" s="198">
        <v>2208</v>
      </c>
      <c r="I479" s="196" t="s">
        <v>330</v>
      </c>
      <c r="J479" s="199">
        <v>1155</v>
      </c>
      <c r="K479" s="198">
        <v>1444</v>
      </c>
      <c r="L479" s="200">
        <v>0</v>
      </c>
      <c r="M479" s="201"/>
      <c r="N479" s="199">
        <v>2208</v>
      </c>
      <c r="O479" s="202">
        <v>2.9</v>
      </c>
      <c r="P479" s="203">
        <v>2.8</v>
      </c>
      <c r="Q479" s="203">
        <v>0.1</v>
      </c>
      <c r="R479" s="204">
        <v>1.9</v>
      </c>
      <c r="S479" s="203">
        <v>1.9</v>
      </c>
      <c r="T479" s="203" t="s">
        <v>84</v>
      </c>
      <c r="V479" s="198">
        <v>2208</v>
      </c>
      <c r="W479" s="202">
        <v>2.8</v>
      </c>
      <c r="X479" s="203">
        <v>2.8</v>
      </c>
      <c r="Y479" s="203">
        <v>0</v>
      </c>
      <c r="Z479" s="204">
        <v>1.9</v>
      </c>
      <c r="AA479" s="203">
        <v>1.9</v>
      </c>
      <c r="AB479" s="203" t="s">
        <v>84</v>
      </c>
      <c r="AD479" s="198">
        <v>2208</v>
      </c>
      <c r="AE479" s="202">
        <v>-0.10000000000000009</v>
      </c>
      <c r="AF479" s="203" t="s">
        <v>82</v>
      </c>
      <c r="AG479" s="203">
        <v>-0.1</v>
      </c>
      <c r="AH479" s="204" t="s">
        <v>82</v>
      </c>
      <c r="AI479" s="203" t="s">
        <v>82</v>
      </c>
      <c r="AJ479" s="203" t="s">
        <v>82</v>
      </c>
    </row>
    <row customFormat="1" r="480" s="205" spans="1:36" x14ac:dyDescent="0.2">
      <c r="A480" s="193">
        <v>476</v>
      </c>
      <c r="B480" s="215">
        <v>13</v>
      </c>
      <c r="C480" s="195" t="s">
        <v>306</v>
      </c>
      <c r="D480" s="195">
        <v>2</v>
      </c>
      <c r="E480" s="195" t="s">
        <v>324</v>
      </c>
      <c r="F480" s="196">
        <v>44616</v>
      </c>
      <c r="G480" s="197" t="s">
        <v>7</v>
      </c>
      <c r="H480" s="198">
        <v>2209</v>
      </c>
      <c r="I480" s="196" t="s">
        <v>330</v>
      </c>
      <c r="J480" s="199">
        <v>1155</v>
      </c>
      <c r="K480" s="198">
        <v>1444</v>
      </c>
      <c r="L480" s="200">
        <v>0</v>
      </c>
      <c r="M480" s="201"/>
      <c r="N480" s="199">
        <v>2209</v>
      </c>
      <c r="O480" s="202">
        <v>2.9</v>
      </c>
      <c r="P480" s="203">
        <v>2.7</v>
      </c>
      <c r="Q480" s="203">
        <v>0.2</v>
      </c>
      <c r="R480" s="204">
        <v>1.7</v>
      </c>
      <c r="S480" s="203">
        <v>1.7</v>
      </c>
      <c r="T480" s="203" t="s">
        <v>84</v>
      </c>
      <c r="V480" s="198">
        <v>2209</v>
      </c>
      <c r="W480" s="202">
        <v>2.7</v>
      </c>
      <c r="X480" s="203">
        <v>2.7</v>
      </c>
      <c r="Y480" s="203">
        <v>0</v>
      </c>
      <c r="Z480" s="204">
        <v>1.7</v>
      </c>
      <c r="AA480" s="203">
        <v>1.7</v>
      </c>
      <c r="AB480" s="203" t="s">
        <v>84</v>
      </c>
      <c r="AD480" s="198">
        <v>2209</v>
      </c>
      <c r="AE480" s="202">
        <v>-0.19999999999999973</v>
      </c>
      <c r="AF480" s="203" t="s">
        <v>82</v>
      </c>
      <c r="AG480" s="203">
        <v>-0.2</v>
      </c>
      <c r="AH480" s="204" t="s">
        <v>82</v>
      </c>
      <c r="AI480" s="203" t="s">
        <v>82</v>
      </c>
      <c r="AJ480" s="203" t="s">
        <v>82</v>
      </c>
    </row>
    <row customFormat="1" r="481" s="205" spans="1:36" x14ac:dyDescent="0.2">
      <c r="A481" s="193">
        <v>477</v>
      </c>
      <c r="B481" s="215">
        <v>13</v>
      </c>
      <c r="C481" s="195" t="s">
        <v>306</v>
      </c>
      <c r="D481" s="195">
        <v>3</v>
      </c>
      <c r="E481" s="195" t="s">
        <v>331</v>
      </c>
      <c r="F481" s="196">
        <v>44252</v>
      </c>
      <c r="G481" s="197" t="s">
        <v>7</v>
      </c>
      <c r="H481" s="198">
        <v>2109</v>
      </c>
      <c r="I481" s="196" t="s">
        <v>269</v>
      </c>
      <c r="J481" s="199">
        <v>1550</v>
      </c>
      <c r="K481" s="198">
        <v>1649</v>
      </c>
      <c r="L481" s="200">
        <v>0</v>
      </c>
      <c r="M481" s="201"/>
      <c r="N481" s="199">
        <v>2109</v>
      </c>
      <c r="O481" s="202">
        <v>2.6</v>
      </c>
      <c r="P481" s="203">
        <v>2.5</v>
      </c>
      <c r="Q481" s="203">
        <v>0.1</v>
      </c>
      <c r="R481" s="204">
        <v>2.9</v>
      </c>
      <c r="S481" s="203">
        <v>2.9</v>
      </c>
      <c r="T481" s="203" t="s">
        <v>84</v>
      </c>
      <c r="V481" s="198">
        <v>2109</v>
      </c>
      <c r="W481" s="202">
        <v>2.5</v>
      </c>
      <c r="X481" s="203">
        <v>2.5</v>
      </c>
      <c r="Y481" s="203">
        <v>0</v>
      </c>
      <c r="Z481" s="204">
        <v>2.9</v>
      </c>
      <c r="AA481" s="203">
        <v>2.9</v>
      </c>
      <c r="AB481" s="203" t="s">
        <v>84</v>
      </c>
      <c r="AD481" s="198">
        <v>2109</v>
      </c>
      <c r="AE481" s="202">
        <v>-0.10000000000000009</v>
      </c>
      <c r="AF481" s="203" t="s">
        <v>82</v>
      </c>
      <c r="AG481" s="203">
        <v>-0.1</v>
      </c>
      <c r="AH481" s="204" t="s">
        <v>82</v>
      </c>
      <c r="AI481" s="203" t="s">
        <v>82</v>
      </c>
      <c r="AJ481" s="203" t="s">
        <v>82</v>
      </c>
    </row>
    <row customFormat="1" r="482" s="205" spans="1:36" x14ac:dyDescent="0.2">
      <c r="A482" s="193">
        <v>478</v>
      </c>
      <c r="B482" s="215">
        <v>13</v>
      </c>
      <c r="C482" s="195" t="s">
        <v>306</v>
      </c>
      <c r="D482" s="195">
        <v>3</v>
      </c>
      <c r="E482" s="195" t="s">
        <v>331</v>
      </c>
      <c r="F482" s="196">
        <v>44259</v>
      </c>
      <c r="G482" s="197" t="s">
        <v>7</v>
      </c>
      <c r="H482" s="198">
        <v>2110</v>
      </c>
      <c r="I482" s="196" t="s">
        <v>269</v>
      </c>
      <c r="J482" s="199">
        <v>1550</v>
      </c>
      <c r="K482" s="198">
        <v>1649</v>
      </c>
      <c r="L482" s="200">
        <v>0</v>
      </c>
      <c r="M482" s="201"/>
      <c r="N482" s="199">
        <v>2110</v>
      </c>
      <c r="O482" s="202">
        <v>2.4</v>
      </c>
      <c r="P482" s="203">
        <v>2.2999999999999998</v>
      </c>
      <c r="Q482" s="203">
        <v>0.1</v>
      </c>
      <c r="R482" s="204">
        <v>3</v>
      </c>
      <c r="S482" s="203">
        <v>3</v>
      </c>
      <c r="T482" s="203" t="s">
        <v>84</v>
      </c>
      <c r="V482" s="198">
        <v>2110</v>
      </c>
      <c r="W482" s="202">
        <v>2.2999999999999998</v>
      </c>
      <c r="X482" s="203">
        <v>2.2999999999999998</v>
      </c>
      <c r="Y482" s="203">
        <v>0</v>
      </c>
      <c r="Z482" s="204">
        <v>3</v>
      </c>
      <c r="AA482" s="203">
        <v>3</v>
      </c>
      <c r="AB482" s="203" t="s">
        <v>84</v>
      </c>
      <c r="AD482" s="198">
        <v>2110</v>
      </c>
      <c r="AE482" s="202">
        <v>-0.10000000000000009</v>
      </c>
      <c r="AF482" s="203" t="s">
        <v>82</v>
      </c>
      <c r="AG482" s="203">
        <v>-0.1</v>
      </c>
      <c r="AH482" s="204" t="s">
        <v>82</v>
      </c>
      <c r="AI482" s="203" t="s">
        <v>82</v>
      </c>
      <c r="AJ482" s="203" t="s">
        <v>82</v>
      </c>
    </row>
    <row customFormat="1" r="483" s="205" spans="1:36" x14ac:dyDescent="0.2">
      <c r="A483" s="193">
        <v>479</v>
      </c>
      <c r="B483" s="215">
        <v>13</v>
      </c>
      <c r="C483" s="195" t="s">
        <v>306</v>
      </c>
      <c r="D483" s="195">
        <v>3</v>
      </c>
      <c r="E483" s="195" t="s">
        <v>331</v>
      </c>
      <c r="F483" s="196">
        <v>44266</v>
      </c>
      <c r="G483" s="197" t="s">
        <v>7</v>
      </c>
      <c r="H483" s="198">
        <v>2111</v>
      </c>
      <c r="I483" s="196" t="s">
        <v>332</v>
      </c>
      <c r="J483" s="199">
        <v>1550</v>
      </c>
      <c r="K483" s="198">
        <v>1649</v>
      </c>
      <c r="L483" s="200">
        <v>0</v>
      </c>
      <c r="M483" s="201"/>
      <c r="N483" s="199">
        <v>2111</v>
      </c>
      <c r="O483" s="202">
        <v>2.6</v>
      </c>
      <c r="P483" s="203">
        <v>2.5</v>
      </c>
      <c r="Q483" s="203">
        <v>0.1</v>
      </c>
      <c r="R483" s="204">
        <v>3.3</v>
      </c>
      <c r="S483" s="203">
        <v>3.3</v>
      </c>
      <c r="T483" s="203" t="s">
        <v>84</v>
      </c>
      <c r="V483" s="198">
        <v>2111</v>
      </c>
      <c r="W483" s="202">
        <v>2.5</v>
      </c>
      <c r="X483" s="203">
        <v>2.5</v>
      </c>
      <c r="Y483" s="203">
        <v>0</v>
      </c>
      <c r="Z483" s="204">
        <v>3.3</v>
      </c>
      <c r="AA483" s="203">
        <v>3.3</v>
      </c>
      <c r="AB483" s="203" t="s">
        <v>84</v>
      </c>
      <c r="AD483" s="198">
        <v>2111</v>
      </c>
      <c r="AE483" s="202">
        <v>-0.10000000000000009</v>
      </c>
      <c r="AF483" s="203" t="s">
        <v>82</v>
      </c>
      <c r="AG483" s="203">
        <v>-0.1</v>
      </c>
      <c r="AH483" s="204" t="s">
        <v>82</v>
      </c>
      <c r="AI483" s="203" t="s">
        <v>82</v>
      </c>
      <c r="AJ483" s="203" t="s">
        <v>82</v>
      </c>
    </row>
    <row customFormat="1" r="484" s="205" spans="1:36" x14ac:dyDescent="0.2">
      <c r="A484" s="193">
        <v>480</v>
      </c>
      <c r="B484" s="215">
        <v>13</v>
      </c>
      <c r="C484" s="195" t="s">
        <v>306</v>
      </c>
      <c r="D484" s="195">
        <v>3</v>
      </c>
      <c r="E484" s="195" t="s">
        <v>331</v>
      </c>
      <c r="F484" s="196">
        <v>44273</v>
      </c>
      <c r="G484" s="197" t="s">
        <v>7</v>
      </c>
      <c r="H484" s="198">
        <v>2112</v>
      </c>
      <c r="I484" s="196" t="s">
        <v>269</v>
      </c>
      <c r="J484" s="199">
        <v>1550</v>
      </c>
      <c r="K484" s="198">
        <v>1649</v>
      </c>
      <c r="L484" s="200">
        <v>0</v>
      </c>
      <c r="M484" s="201"/>
      <c r="N484" s="199">
        <v>2112</v>
      </c>
      <c r="O484" s="202">
        <v>2.5</v>
      </c>
      <c r="P484" s="203">
        <v>2.4</v>
      </c>
      <c r="Q484" s="203">
        <v>0.1</v>
      </c>
      <c r="R484" s="204">
        <v>3</v>
      </c>
      <c r="S484" s="203">
        <v>3</v>
      </c>
      <c r="T484" s="203" t="s">
        <v>84</v>
      </c>
      <c r="V484" s="198">
        <v>2112</v>
      </c>
      <c r="W484" s="202">
        <v>2.4</v>
      </c>
      <c r="X484" s="203">
        <v>2.4</v>
      </c>
      <c r="Y484" s="203">
        <v>0</v>
      </c>
      <c r="Z484" s="204">
        <v>3</v>
      </c>
      <c r="AA484" s="203">
        <v>3</v>
      </c>
      <c r="AB484" s="203" t="s">
        <v>84</v>
      </c>
      <c r="AD484" s="198">
        <v>2112</v>
      </c>
      <c r="AE484" s="202">
        <v>-0.10000000000000009</v>
      </c>
      <c r="AF484" s="203" t="s">
        <v>82</v>
      </c>
      <c r="AG484" s="203">
        <v>-0.1</v>
      </c>
      <c r="AH484" s="204" t="s">
        <v>82</v>
      </c>
      <c r="AI484" s="203" t="s">
        <v>82</v>
      </c>
      <c r="AJ484" s="203" t="s">
        <v>82</v>
      </c>
    </row>
    <row customFormat="1" r="485" s="205" spans="1:36" x14ac:dyDescent="0.2">
      <c r="A485" s="193">
        <v>481</v>
      </c>
      <c r="B485" s="215">
        <v>13</v>
      </c>
      <c r="C485" s="195" t="s">
        <v>306</v>
      </c>
      <c r="D485" s="195">
        <v>3</v>
      </c>
      <c r="E485" s="195" t="s">
        <v>331</v>
      </c>
      <c r="F485" s="196">
        <v>44548</v>
      </c>
      <c r="G485" s="197" t="s">
        <v>9</v>
      </c>
      <c r="H485" s="198">
        <v>2151</v>
      </c>
      <c r="I485" s="196" t="s">
        <v>333</v>
      </c>
      <c r="J485" s="199">
        <v>2200</v>
      </c>
      <c r="K485" s="198">
        <v>2253</v>
      </c>
      <c r="L485" s="200">
        <v>0</v>
      </c>
      <c r="M485" s="201"/>
      <c r="N485" s="199">
        <v>2151</v>
      </c>
      <c r="O485" s="202">
        <v>5.9</v>
      </c>
      <c r="P485" s="203">
        <v>4.0999999999999996</v>
      </c>
      <c r="Q485" s="203">
        <v>1.8</v>
      </c>
      <c r="R485" s="204">
        <v>3.2</v>
      </c>
      <c r="S485" s="203">
        <v>2.4</v>
      </c>
      <c r="T485" s="203">
        <v>0.8</v>
      </c>
      <c r="V485" s="198">
        <v>2151</v>
      </c>
      <c r="W485" s="202">
        <v>5.8</v>
      </c>
      <c r="X485" s="203">
        <v>4.0999999999999996</v>
      </c>
      <c r="Y485" s="203">
        <v>1.7</v>
      </c>
      <c r="Z485" s="204">
        <v>3.2</v>
      </c>
      <c r="AA485" s="203">
        <v>2.4</v>
      </c>
      <c r="AB485" s="203">
        <v>0.8</v>
      </c>
      <c r="AD485" s="198">
        <v>2151</v>
      </c>
      <c r="AE485" s="202">
        <v>-0.10000000000000053</v>
      </c>
      <c r="AF485" s="203" t="s">
        <v>82</v>
      </c>
      <c r="AG485" s="203">
        <v>-0.10000000000000009</v>
      </c>
      <c r="AH485" s="204" t="s">
        <v>82</v>
      </c>
      <c r="AI485" s="203" t="s">
        <v>82</v>
      </c>
      <c r="AJ485" s="203" t="s">
        <v>82</v>
      </c>
    </row>
    <row customFormat="1" r="486" s="205" spans="1:36" x14ac:dyDescent="0.2">
      <c r="A486" s="193">
        <v>482</v>
      </c>
      <c r="B486" s="215">
        <v>13</v>
      </c>
      <c r="C486" s="195" t="s">
        <v>306</v>
      </c>
      <c r="D486" s="195">
        <v>3</v>
      </c>
      <c r="E486" s="195" t="s">
        <v>331</v>
      </c>
      <c r="F486" s="196">
        <v>44555</v>
      </c>
      <c r="G486" s="197" t="s">
        <v>9</v>
      </c>
      <c r="H486" s="198">
        <v>2152</v>
      </c>
      <c r="I486" s="196" t="s">
        <v>334</v>
      </c>
      <c r="J486" s="199">
        <v>2100</v>
      </c>
      <c r="K486" s="198">
        <v>2253</v>
      </c>
      <c r="L486" s="200">
        <v>0</v>
      </c>
      <c r="M486" s="201"/>
      <c r="N486" s="199">
        <v>2152</v>
      </c>
      <c r="O486" s="202">
        <v>5.9</v>
      </c>
      <c r="P486" s="203">
        <v>5</v>
      </c>
      <c r="Q486" s="203">
        <v>0.9</v>
      </c>
      <c r="R486" s="204">
        <v>4.0999999999999996</v>
      </c>
      <c r="S486" s="203">
        <v>3.1</v>
      </c>
      <c r="T486" s="203">
        <v>1</v>
      </c>
      <c r="V486" s="198">
        <v>2152</v>
      </c>
      <c r="W486" s="202">
        <v>5.9</v>
      </c>
      <c r="X486" s="203">
        <v>5</v>
      </c>
      <c r="Y486" s="203">
        <v>0.9</v>
      </c>
      <c r="Z486" s="204">
        <v>4.0999999999999996</v>
      </c>
      <c r="AA486" s="203">
        <v>3.1</v>
      </c>
      <c r="AB486" s="203">
        <v>1</v>
      </c>
      <c r="AD486" s="198">
        <v>2152</v>
      </c>
      <c r="AE486" s="202" t="s">
        <v>82</v>
      </c>
      <c r="AF486" s="203" t="s">
        <v>82</v>
      </c>
      <c r="AG486" s="203" t="s">
        <v>82</v>
      </c>
      <c r="AH486" s="204" t="s">
        <v>82</v>
      </c>
      <c r="AI486" s="203" t="s">
        <v>82</v>
      </c>
      <c r="AJ486" s="203" t="s">
        <v>82</v>
      </c>
    </row>
    <row customFormat="1" r="487" s="205" spans="1:36" x14ac:dyDescent="0.2">
      <c r="A487" s="193">
        <v>483</v>
      </c>
      <c r="B487" s="215">
        <v>13</v>
      </c>
      <c r="C487" s="195" t="s">
        <v>306</v>
      </c>
      <c r="D487" s="195">
        <v>3</v>
      </c>
      <c r="E487" s="195" t="s">
        <v>331</v>
      </c>
      <c r="F487" s="196">
        <v>44562</v>
      </c>
      <c r="G487" s="197" t="s">
        <v>9</v>
      </c>
      <c r="H487" s="198">
        <v>2201</v>
      </c>
      <c r="I487" s="196" t="s">
        <v>335</v>
      </c>
      <c r="J487" s="199">
        <v>2100</v>
      </c>
      <c r="K487" s="198">
        <v>2259</v>
      </c>
      <c r="L487" s="200">
        <v>0</v>
      </c>
      <c r="M487" s="201"/>
      <c r="N487" s="199">
        <v>2201</v>
      </c>
      <c r="O487" s="202">
        <v>5.7</v>
      </c>
      <c r="P487" s="203">
        <v>5.0999999999999996</v>
      </c>
      <c r="Q487" s="203">
        <v>0.6</v>
      </c>
      <c r="R487" s="204">
        <v>3.8</v>
      </c>
      <c r="S487" s="203">
        <v>3.8</v>
      </c>
      <c r="T487" s="203">
        <v>0</v>
      </c>
      <c r="V487" s="198">
        <v>2201</v>
      </c>
      <c r="W487" s="202">
        <v>5.7</v>
      </c>
      <c r="X487" s="203">
        <v>5.0999999999999996</v>
      </c>
      <c r="Y487" s="203">
        <v>0.6</v>
      </c>
      <c r="Z487" s="204">
        <v>3.8</v>
      </c>
      <c r="AA487" s="203">
        <v>3.8</v>
      </c>
      <c r="AB487" s="203">
        <v>0</v>
      </c>
      <c r="AD487" s="198">
        <v>2201</v>
      </c>
      <c r="AE487" s="202"/>
      <c r="AF487" s="203" t="s">
        <v>82</v>
      </c>
      <c r="AG487" s="203" t="s">
        <v>82</v>
      </c>
      <c r="AH487" s="204" t="s">
        <v>82</v>
      </c>
      <c r="AI487" s="203" t="s">
        <v>82</v>
      </c>
      <c r="AJ487" s="203" t="s">
        <v>82</v>
      </c>
    </row>
    <row customFormat="1" r="488" s="205" spans="1:36" x14ac:dyDescent="0.2">
      <c r="A488" s="193">
        <v>484</v>
      </c>
      <c r="B488" s="215">
        <v>13</v>
      </c>
      <c r="C488" s="195" t="s">
        <v>306</v>
      </c>
      <c r="D488" s="195">
        <v>3</v>
      </c>
      <c r="E488" s="195" t="s">
        <v>331</v>
      </c>
      <c r="F488" s="196">
        <v>44569</v>
      </c>
      <c r="G488" s="197" t="s">
        <v>9</v>
      </c>
      <c r="H488" s="198">
        <v>2202</v>
      </c>
      <c r="I488" s="196" t="s">
        <v>336</v>
      </c>
      <c r="J488" s="199">
        <v>2200</v>
      </c>
      <c r="K488" s="198">
        <v>2253</v>
      </c>
      <c r="L488" s="200">
        <v>0</v>
      </c>
      <c r="M488" s="201"/>
      <c r="N488" s="199">
        <v>2202</v>
      </c>
      <c r="O488" s="202">
        <v>6.9</v>
      </c>
      <c r="P488" s="203">
        <v>5.9</v>
      </c>
      <c r="Q488" s="203">
        <v>1</v>
      </c>
      <c r="R488" s="204">
        <v>5.6</v>
      </c>
      <c r="S488" s="203">
        <v>5.0999999999999996</v>
      </c>
      <c r="T488" s="203">
        <v>0.5</v>
      </c>
      <c r="V488" s="198">
        <v>2202</v>
      </c>
      <c r="W488" s="202">
        <v>6.9</v>
      </c>
      <c r="X488" s="203">
        <v>5.9</v>
      </c>
      <c r="Y488" s="203">
        <v>1</v>
      </c>
      <c r="Z488" s="204">
        <v>5.6</v>
      </c>
      <c r="AA488" s="203">
        <v>5.0999999999999996</v>
      </c>
      <c r="AB488" s="203">
        <v>0.5</v>
      </c>
      <c r="AD488" s="198">
        <v>2202</v>
      </c>
      <c r="AE488" s="202" t="s">
        <v>82</v>
      </c>
      <c r="AF488" s="203" t="s">
        <v>82</v>
      </c>
      <c r="AG488" s="203" t="s">
        <v>82</v>
      </c>
      <c r="AH488" s="204" t="s">
        <v>82</v>
      </c>
      <c r="AI488" s="203" t="s">
        <v>82</v>
      </c>
      <c r="AJ488" s="203" t="s">
        <v>82</v>
      </c>
    </row>
    <row customFormat="1" r="489" s="205" spans="1:36" x14ac:dyDescent="0.2">
      <c r="A489" s="193">
        <v>485</v>
      </c>
      <c r="B489" s="215">
        <v>13</v>
      </c>
      <c r="C489" s="195" t="s">
        <v>306</v>
      </c>
      <c r="D489" s="195">
        <v>3</v>
      </c>
      <c r="E489" s="195" t="s">
        <v>331</v>
      </c>
      <c r="F489" s="196">
        <v>44609</v>
      </c>
      <c r="G489" s="197" t="s">
        <v>7</v>
      </c>
      <c r="H489" s="198">
        <v>2208</v>
      </c>
      <c r="I489" s="196" t="s">
        <v>337</v>
      </c>
      <c r="J489" s="199">
        <v>2409</v>
      </c>
      <c r="K489" s="198">
        <v>2503</v>
      </c>
      <c r="L489" s="200">
        <v>0</v>
      </c>
      <c r="M489" s="201"/>
      <c r="N489" s="199">
        <v>2208</v>
      </c>
      <c r="O489" s="202">
        <v>2.2000000000000002</v>
      </c>
      <c r="P489" s="203">
        <v>1.6</v>
      </c>
      <c r="Q489" s="203">
        <v>0.6</v>
      </c>
      <c r="R489" s="204">
        <v>1.4</v>
      </c>
      <c r="S489" s="203">
        <v>1</v>
      </c>
      <c r="T489" s="203">
        <v>0.4</v>
      </c>
      <c r="V489" s="198">
        <v>2208</v>
      </c>
      <c r="W489" s="202">
        <v>2.2000000000000002</v>
      </c>
      <c r="X489" s="203">
        <v>1.6</v>
      </c>
      <c r="Y489" s="203">
        <v>0.6</v>
      </c>
      <c r="Z489" s="204">
        <v>1.4</v>
      </c>
      <c r="AA489" s="203">
        <v>1</v>
      </c>
      <c r="AB489" s="203">
        <v>0.4</v>
      </c>
      <c r="AD489" s="198">
        <v>2208</v>
      </c>
      <c r="AE489" s="202" t="s">
        <v>82</v>
      </c>
      <c r="AF489" s="203" t="s">
        <v>82</v>
      </c>
      <c r="AG489" s="203" t="s">
        <v>82</v>
      </c>
      <c r="AH489" s="204" t="s">
        <v>82</v>
      </c>
      <c r="AI489" s="203" t="s">
        <v>82</v>
      </c>
      <c r="AJ489" s="203" t="s">
        <v>82</v>
      </c>
    </row>
    <row customFormat="1" r="490" s="205" spans="1:36" x14ac:dyDescent="0.2">
      <c r="A490" s="193">
        <v>486</v>
      </c>
      <c r="B490" s="215">
        <v>13</v>
      </c>
      <c r="C490" s="195" t="s">
        <v>306</v>
      </c>
      <c r="D490" s="195">
        <v>3</v>
      </c>
      <c r="E490" s="195" t="s">
        <v>331</v>
      </c>
      <c r="F490" s="196">
        <v>44616</v>
      </c>
      <c r="G490" s="197" t="s">
        <v>7</v>
      </c>
      <c r="H490" s="198">
        <v>2209</v>
      </c>
      <c r="I490" s="196" t="s">
        <v>338</v>
      </c>
      <c r="J490" s="199">
        <v>2454</v>
      </c>
      <c r="K490" s="198">
        <v>2458</v>
      </c>
      <c r="L490" s="200">
        <v>1</v>
      </c>
      <c r="M490" s="201"/>
      <c r="N490" s="199">
        <v>2209</v>
      </c>
      <c r="O490" s="202">
        <v>1.6</v>
      </c>
      <c r="P490" s="203">
        <v>0.7</v>
      </c>
      <c r="Q490" s="203">
        <v>0.9</v>
      </c>
      <c r="R490" s="204">
        <v>2.2000000000000002</v>
      </c>
      <c r="S490" s="203">
        <v>0.7</v>
      </c>
      <c r="T490" s="203">
        <v>1.5</v>
      </c>
      <c r="V490" s="198">
        <v>2209</v>
      </c>
      <c r="W490" s="202">
        <v>1.2</v>
      </c>
      <c r="X490" s="203">
        <v>0.7</v>
      </c>
      <c r="Y490" s="203">
        <v>0.5</v>
      </c>
      <c r="Z490" s="204">
        <v>1.5</v>
      </c>
      <c r="AA490" s="203">
        <v>0.7</v>
      </c>
      <c r="AB490" s="203">
        <v>0.8</v>
      </c>
      <c r="AD490" s="198">
        <v>2209</v>
      </c>
      <c r="AE490" s="202">
        <v>-0.40000000000000013</v>
      </c>
      <c r="AF490" s="203" t="s">
        <v>82</v>
      </c>
      <c r="AG490" s="203">
        <v>-0.4</v>
      </c>
      <c r="AH490" s="204">
        <v>-0.70000000000000018</v>
      </c>
      <c r="AI490" s="203" t="s">
        <v>82</v>
      </c>
      <c r="AJ490" s="203">
        <v>-0.7</v>
      </c>
    </row>
    <row customFormat="1" r="491" s="205" spans="1:36" x14ac:dyDescent="0.2">
      <c r="A491" s="193">
        <v>487</v>
      </c>
      <c r="B491" s="215">
        <v>13</v>
      </c>
      <c r="C491" s="195" t="s">
        <v>306</v>
      </c>
      <c r="D491" s="195">
        <v>3</v>
      </c>
      <c r="E491" s="195" t="s">
        <v>331</v>
      </c>
      <c r="F491" s="196">
        <v>44623</v>
      </c>
      <c r="G491" s="197" t="s">
        <v>7</v>
      </c>
      <c r="H491" s="198">
        <v>2210</v>
      </c>
      <c r="I491" s="196" t="s">
        <v>338</v>
      </c>
      <c r="J491" s="199">
        <v>2454</v>
      </c>
      <c r="K491" s="198">
        <v>2458</v>
      </c>
      <c r="L491" s="200">
        <v>1</v>
      </c>
      <c r="M491" s="201"/>
      <c r="N491" s="199">
        <v>2210</v>
      </c>
      <c r="O491" s="202">
        <v>2.2000000000000002</v>
      </c>
      <c r="P491" s="203">
        <v>1</v>
      </c>
      <c r="Q491" s="203">
        <v>1.2</v>
      </c>
      <c r="R491" s="204">
        <v>2.8</v>
      </c>
      <c r="S491" s="203">
        <v>1</v>
      </c>
      <c r="T491" s="203">
        <v>1.8</v>
      </c>
      <c r="V491" s="198">
        <v>2210</v>
      </c>
      <c r="W491" s="202">
        <v>1.9</v>
      </c>
      <c r="X491" s="203">
        <v>1</v>
      </c>
      <c r="Y491" s="203">
        <v>0.9</v>
      </c>
      <c r="Z491" s="204">
        <v>2.1</v>
      </c>
      <c r="AA491" s="203">
        <v>1</v>
      </c>
      <c r="AB491" s="203">
        <v>1.1000000000000001</v>
      </c>
      <c r="AD491" s="198">
        <v>2210</v>
      </c>
      <c r="AE491" s="202">
        <v>-0.30000000000000027</v>
      </c>
      <c r="AF491" s="203" t="s">
        <v>82</v>
      </c>
      <c r="AG491" s="203">
        <v>-0.29999999999999993</v>
      </c>
      <c r="AH491" s="204">
        <v>-0.69999999999999973</v>
      </c>
      <c r="AI491" s="203" t="s">
        <v>82</v>
      </c>
      <c r="AJ491" s="203">
        <v>-0.7</v>
      </c>
    </row>
    <row customFormat="1" r="492" s="205" spans="1:36" x14ac:dyDescent="0.2">
      <c r="A492" s="193">
        <v>488</v>
      </c>
      <c r="B492" s="215">
        <v>13</v>
      </c>
      <c r="C492" s="195" t="s">
        <v>306</v>
      </c>
      <c r="D492" s="195">
        <v>3</v>
      </c>
      <c r="E492" s="195" t="s">
        <v>331</v>
      </c>
      <c r="F492" s="196">
        <v>44630</v>
      </c>
      <c r="G492" s="197" t="s">
        <v>7</v>
      </c>
      <c r="H492" s="198">
        <v>2211</v>
      </c>
      <c r="I492" s="196" t="s">
        <v>338</v>
      </c>
      <c r="J492" s="199">
        <v>2454</v>
      </c>
      <c r="K492" s="198">
        <v>2458</v>
      </c>
      <c r="L492" s="200">
        <v>1</v>
      </c>
      <c r="M492" s="201"/>
      <c r="N492" s="199">
        <v>2211</v>
      </c>
      <c r="O492" s="202">
        <v>1.7</v>
      </c>
      <c r="P492" s="203">
        <v>0.8</v>
      </c>
      <c r="Q492" s="203">
        <v>0.9</v>
      </c>
      <c r="R492" s="204">
        <v>2.6</v>
      </c>
      <c r="S492" s="203">
        <v>0.8</v>
      </c>
      <c r="T492" s="203">
        <v>1.8</v>
      </c>
      <c r="V492" s="198">
        <v>2211</v>
      </c>
      <c r="W492" s="202">
        <v>1.5</v>
      </c>
      <c r="X492" s="203">
        <v>0.8</v>
      </c>
      <c r="Y492" s="203">
        <v>0.7</v>
      </c>
      <c r="Z492" s="204">
        <v>1.9</v>
      </c>
      <c r="AA492" s="203">
        <v>0.8</v>
      </c>
      <c r="AB492" s="203">
        <v>1.1000000000000001</v>
      </c>
      <c r="AD492" s="198">
        <v>2211</v>
      </c>
      <c r="AE492" s="202">
        <v>-0.19999999999999996</v>
      </c>
      <c r="AF492" s="203" t="s">
        <v>82</v>
      </c>
      <c r="AG492" s="203">
        <v>-0.20000000000000007</v>
      </c>
      <c r="AH492" s="204">
        <v>-0.70000000000000018</v>
      </c>
      <c r="AI492" s="203" t="s">
        <v>82</v>
      </c>
      <c r="AJ492" s="203">
        <v>-0.7</v>
      </c>
    </row>
    <row customFormat="1" r="493" s="205" spans="1:36" x14ac:dyDescent="0.2">
      <c r="A493" s="193">
        <v>489</v>
      </c>
      <c r="B493" s="215">
        <v>13</v>
      </c>
      <c r="C493" s="195" t="s">
        <v>306</v>
      </c>
      <c r="D493" s="195">
        <v>4</v>
      </c>
      <c r="E493" s="195" t="s">
        <v>339</v>
      </c>
      <c r="F493" s="196">
        <v>44328</v>
      </c>
      <c r="G493" s="197" t="s">
        <v>6</v>
      </c>
      <c r="H493" s="198">
        <v>2120</v>
      </c>
      <c r="I493" s="196" t="s">
        <v>340</v>
      </c>
      <c r="J493" s="199">
        <v>1540</v>
      </c>
      <c r="K493" s="198">
        <v>1634</v>
      </c>
      <c r="L493" s="200">
        <v>0</v>
      </c>
      <c r="M493" s="201"/>
      <c r="N493" s="199">
        <v>2120</v>
      </c>
      <c r="O493" s="202">
        <v>3</v>
      </c>
      <c r="P493" s="203">
        <v>2.7</v>
      </c>
      <c r="Q493" s="203">
        <v>0.3</v>
      </c>
      <c r="R493" s="204">
        <v>2.9</v>
      </c>
      <c r="S493" s="203">
        <v>2.9</v>
      </c>
      <c r="T493" s="203" t="s">
        <v>84</v>
      </c>
      <c r="V493" s="198">
        <v>2120</v>
      </c>
      <c r="W493" s="202">
        <v>2.8</v>
      </c>
      <c r="X493" s="203">
        <v>2.7</v>
      </c>
      <c r="Y493" s="203">
        <v>0.1</v>
      </c>
      <c r="Z493" s="204">
        <v>2.9</v>
      </c>
      <c r="AA493" s="203">
        <v>2.9</v>
      </c>
      <c r="AB493" s="203" t="s">
        <v>84</v>
      </c>
      <c r="AD493" s="198">
        <v>2120</v>
      </c>
      <c r="AE493" s="202">
        <v>-0.20000000000000018</v>
      </c>
      <c r="AF493" s="203" t="s">
        <v>82</v>
      </c>
      <c r="AG493" s="203">
        <v>-0.19999999999999998</v>
      </c>
      <c r="AH493" s="204" t="s">
        <v>82</v>
      </c>
      <c r="AI493" s="203" t="s">
        <v>82</v>
      </c>
      <c r="AJ493" s="203" t="s">
        <v>82</v>
      </c>
    </row>
    <row customFormat="1" r="494" s="205" spans="1:36" x14ac:dyDescent="0.2">
      <c r="A494" s="193">
        <v>490</v>
      </c>
      <c r="B494" s="215">
        <v>13</v>
      </c>
      <c r="C494" s="195" t="s">
        <v>306</v>
      </c>
      <c r="D494" s="195">
        <v>4</v>
      </c>
      <c r="E494" s="195" t="s">
        <v>339</v>
      </c>
      <c r="F494" s="196">
        <v>44335</v>
      </c>
      <c r="G494" s="197" t="s">
        <v>6</v>
      </c>
      <c r="H494" s="198">
        <v>2121</v>
      </c>
      <c r="I494" s="196" t="s">
        <v>340</v>
      </c>
      <c r="J494" s="199">
        <v>1540</v>
      </c>
      <c r="K494" s="198">
        <v>1634</v>
      </c>
      <c r="L494" s="200">
        <v>0</v>
      </c>
      <c r="M494" s="201"/>
      <c r="N494" s="199">
        <v>2121</v>
      </c>
      <c r="O494" s="202">
        <v>2.9</v>
      </c>
      <c r="P494" s="203">
        <v>2.6</v>
      </c>
      <c r="Q494" s="203">
        <v>0.3</v>
      </c>
      <c r="R494" s="204">
        <v>3</v>
      </c>
      <c r="S494" s="203">
        <v>3</v>
      </c>
      <c r="T494" s="203" t="s">
        <v>84</v>
      </c>
      <c r="V494" s="198">
        <v>2121</v>
      </c>
      <c r="W494" s="202">
        <v>2.7</v>
      </c>
      <c r="X494" s="203">
        <v>2.6</v>
      </c>
      <c r="Y494" s="203">
        <v>0.1</v>
      </c>
      <c r="Z494" s="204">
        <v>3</v>
      </c>
      <c r="AA494" s="203">
        <v>3</v>
      </c>
      <c r="AB494" s="203" t="s">
        <v>84</v>
      </c>
      <c r="AD494" s="198">
        <v>2121</v>
      </c>
      <c r="AE494" s="202">
        <v>-0.19999999999999973</v>
      </c>
      <c r="AF494" s="203" t="s">
        <v>82</v>
      </c>
      <c r="AG494" s="203">
        <v>-0.19999999999999998</v>
      </c>
      <c r="AH494" s="204" t="s">
        <v>82</v>
      </c>
      <c r="AI494" s="203" t="s">
        <v>82</v>
      </c>
      <c r="AJ494" s="203" t="s">
        <v>82</v>
      </c>
    </row>
    <row customFormat="1" r="495" s="205" spans="1:36" x14ac:dyDescent="0.2">
      <c r="A495" s="193">
        <v>491</v>
      </c>
      <c r="B495" s="215">
        <v>13</v>
      </c>
      <c r="C495" s="195" t="s">
        <v>306</v>
      </c>
      <c r="D495" s="195">
        <v>4</v>
      </c>
      <c r="E495" s="195" t="s">
        <v>339</v>
      </c>
      <c r="F495" s="196">
        <v>44342</v>
      </c>
      <c r="G495" s="197" t="s">
        <v>6</v>
      </c>
      <c r="H495" s="198">
        <v>2122</v>
      </c>
      <c r="I495" s="196" t="s">
        <v>340</v>
      </c>
      <c r="J495" s="199">
        <v>1540</v>
      </c>
      <c r="K495" s="198">
        <v>1634</v>
      </c>
      <c r="L495" s="200">
        <v>0</v>
      </c>
      <c r="M495" s="201"/>
      <c r="N495" s="199">
        <v>2122</v>
      </c>
      <c r="O495" s="202">
        <v>3.2</v>
      </c>
      <c r="P495" s="203">
        <v>2.8</v>
      </c>
      <c r="Q495" s="203">
        <v>0.4</v>
      </c>
      <c r="R495" s="204">
        <v>3.3</v>
      </c>
      <c r="S495" s="203">
        <v>3.3</v>
      </c>
      <c r="T495" s="203" t="s">
        <v>84</v>
      </c>
      <c r="V495" s="198">
        <v>2122</v>
      </c>
      <c r="W495" s="202">
        <v>3</v>
      </c>
      <c r="X495" s="203">
        <v>2.8</v>
      </c>
      <c r="Y495" s="203">
        <v>0.2</v>
      </c>
      <c r="Z495" s="204">
        <v>3.3</v>
      </c>
      <c r="AA495" s="203">
        <v>3.3</v>
      </c>
      <c r="AB495" s="203" t="s">
        <v>84</v>
      </c>
      <c r="AD495" s="198">
        <v>2122</v>
      </c>
      <c r="AE495" s="202">
        <v>-0.20000000000000018</v>
      </c>
      <c r="AF495" s="203" t="s">
        <v>82</v>
      </c>
      <c r="AG495" s="203">
        <v>-0.2</v>
      </c>
      <c r="AH495" s="204" t="s">
        <v>82</v>
      </c>
      <c r="AI495" s="203" t="s">
        <v>82</v>
      </c>
      <c r="AJ495" s="203" t="s">
        <v>82</v>
      </c>
    </row>
    <row customFormat="1" r="496" s="205" spans="1:36" x14ac:dyDescent="0.2">
      <c r="A496" s="193">
        <v>492</v>
      </c>
      <c r="B496" s="215">
        <v>13</v>
      </c>
      <c r="C496" s="195" t="s">
        <v>306</v>
      </c>
      <c r="D496" s="195">
        <v>4</v>
      </c>
      <c r="E496" s="195" t="s">
        <v>339</v>
      </c>
      <c r="F496" s="196">
        <v>44349</v>
      </c>
      <c r="G496" s="197" t="s">
        <v>6</v>
      </c>
      <c r="H496" s="198">
        <v>2123</v>
      </c>
      <c r="I496" s="196" t="s">
        <v>341</v>
      </c>
      <c r="J496" s="199">
        <v>1540</v>
      </c>
      <c r="K496" s="198">
        <v>1634</v>
      </c>
      <c r="L496" s="200">
        <v>0</v>
      </c>
      <c r="M496" s="201"/>
      <c r="N496" s="199">
        <v>2123</v>
      </c>
      <c r="O496" s="202">
        <v>3.1</v>
      </c>
      <c r="P496" s="203">
        <v>2.6</v>
      </c>
      <c r="Q496" s="203">
        <v>0.5</v>
      </c>
      <c r="R496" s="204">
        <v>3.1</v>
      </c>
      <c r="S496" s="203">
        <v>3.1</v>
      </c>
      <c r="T496" s="203" t="s">
        <v>84</v>
      </c>
      <c r="V496" s="198">
        <v>2123</v>
      </c>
      <c r="W496" s="202">
        <v>2.9</v>
      </c>
      <c r="X496" s="203">
        <v>2.6</v>
      </c>
      <c r="Y496" s="203">
        <v>0.3</v>
      </c>
      <c r="Z496" s="204">
        <v>3.1</v>
      </c>
      <c r="AA496" s="203">
        <v>3.1</v>
      </c>
      <c r="AB496" s="203" t="s">
        <v>84</v>
      </c>
      <c r="AD496" s="198">
        <v>2123</v>
      </c>
      <c r="AE496" s="202">
        <v>-0.20000000000000018</v>
      </c>
      <c r="AF496" s="203" t="s">
        <v>82</v>
      </c>
      <c r="AG496" s="203">
        <v>-0.2</v>
      </c>
      <c r="AH496" s="204" t="s">
        <v>82</v>
      </c>
      <c r="AI496" s="203" t="s">
        <v>82</v>
      </c>
      <c r="AJ496" s="203" t="s">
        <v>82</v>
      </c>
    </row>
    <row customFormat="1" r="497" s="205" spans="1:36" x14ac:dyDescent="0.2">
      <c r="A497" s="193">
        <v>493</v>
      </c>
      <c r="B497" s="215">
        <v>13</v>
      </c>
      <c r="C497" s="195" t="s">
        <v>306</v>
      </c>
      <c r="D497" s="195">
        <v>4</v>
      </c>
      <c r="E497" s="195" t="s">
        <v>339</v>
      </c>
      <c r="F497" s="196">
        <v>44350</v>
      </c>
      <c r="G497" s="197" t="s">
        <v>7</v>
      </c>
      <c r="H497" s="198">
        <v>2123</v>
      </c>
      <c r="I497" s="196" t="s">
        <v>342</v>
      </c>
      <c r="J497" s="199">
        <v>1030</v>
      </c>
      <c r="K497" s="198">
        <v>1141</v>
      </c>
      <c r="L497" s="200">
        <v>0</v>
      </c>
      <c r="M497" s="201"/>
      <c r="N497" s="199">
        <v>2123</v>
      </c>
      <c r="O497" s="202">
        <v>3.4</v>
      </c>
      <c r="P497" s="203">
        <v>3</v>
      </c>
      <c r="Q497" s="203">
        <v>0.4</v>
      </c>
      <c r="R497" s="204">
        <v>3.6</v>
      </c>
      <c r="S497" s="203">
        <v>3.6</v>
      </c>
      <c r="T497" s="203">
        <v>0</v>
      </c>
      <c r="V497" s="198">
        <v>2123</v>
      </c>
      <c r="W497" s="202">
        <v>3</v>
      </c>
      <c r="X497" s="203">
        <v>3</v>
      </c>
      <c r="Y497" s="203">
        <v>0</v>
      </c>
      <c r="Z497" s="204">
        <v>3.6</v>
      </c>
      <c r="AA497" s="203">
        <v>3.6</v>
      </c>
      <c r="AB497" s="203">
        <v>0</v>
      </c>
      <c r="AD497" s="198">
        <v>2123</v>
      </c>
      <c r="AE497" s="202">
        <v>-0.39999999999999991</v>
      </c>
      <c r="AF497" s="203" t="s">
        <v>82</v>
      </c>
      <c r="AG497" s="203">
        <v>-0.4</v>
      </c>
      <c r="AH497" s="204" t="s">
        <v>82</v>
      </c>
      <c r="AI497" s="203" t="s">
        <v>82</v>
      </c>
      <c r="AJ497" s="203" t="s">
        <v>82</v>
      </c>
    </row>
    <row customFormat="1" r="498" s="205" spans="1:36" x14ac:dyDescent="0.2">
      <c r="A498" s="193">
        <v>494</v>
      </c>
      <c r="B498" s="215">
        <v>13</v>
      </c>
      <c r="C498" s="195" t="s">
        <v>306</v>
      </c>
      <c r="D498" s="195">
        <v>4</v>
      </c>
      <c r="E498" s="195" t="s">
        <v>339</v>
      </c>
      <c r="F498" s="196">
        <v>44357</v>
      </c>
      <c r="G498" s="197" t="s">
        <v>7</v>
      </c>
      <c r="H498" s="198">
        <v>2124</v>
      </c>
      <c r="I498" s="196" t="s">
        <v>342</v>
      </c>
      <c r="J498" s="199">
        <v>1030</v>
      </c>
      <c r="K498" s="198">
        <v>1141</v>
      </c>
      <c r="L498" s="200">
        <v>0</v>
      </c>
      <c r="M498" s="201"/>
      <c r="N498" s="199">
        <v>2124</v>
      </c>
      <c r="O498" s="202">
        <v>3.4</v>
      </c>
      <c r="P498" s="203">
        <v>3</v>
      </c>
      <c r="Q498" s="203">
        <v>0.4</v>
      </c>
      <c r="R498" s="204">
        <v>3.9</v>
      </c>
      <c r="S498" s="203">
        <v>3.9</v>
      </c>
      <c r="T498" s="203">
        <v>0</v>
      </c>
      <c r="V498" s="198">
        <v>2124</v>
      </c>
      <c r="W498" s="202">
        <v>3</v>
      </c>
      <c r="X498" s="203">
        <v>3</v>
      </c>
      <c r="Y498" s="203">
        <v>0</v>
      </c>
      <c r="Z498" s="204">
        <v>3.9</v>
      </c>
      <c r="AA498" s="203">
        <v>3.9</v>
      </c>
      <c r="AB498" s="203">
        <v>0</v>
      </c>
      <c r="AD498" s="198">
        <v>2124</v>
      </c>
      <c r="AE498" s="202">
        <v>-0.39999999999999991</v>
      </c>
      <c r="AF498" s="203" t="s">
        <v>82</v>
      </c>
      <c r="AG498" s="203">
        <v>-0.4</v>
      </c>
      <c r="AH498" s="204" t="s">
        <v>82</v>
      </c>
      <c r="AI498" s="203" t="s">
        <v>82</v>
      </c>
      <c r="AJ498" s="203" t="s">
        <v>82</v>
      </c>
    </row>
    <row customFormat="1" r="499" s="205" spans="1:36" x14ac:dyDescent="0.2">
      <c r="A499" s="193">
        <v>495</v>
      </c>
      <c r="B499" s="215">
        <v>13</v>
      </c>
      <c r="C499" s="195" t="s">
        <v>306</v>
      </c>
      <c r="D499" s="195">
        <v>4</v>
      </c>
      <c r="E499" s="195" t="s">
        <v>339</v>
      </c>
      <c r="F499" s="196">
        <v>44364</v>
      </c>
      <c r="G499" s="197" t="s">
        <v>7</v>
      </c>
      <c r="H499" s="198">
        <v>2125</v>
      </c>
      <c r="I499" s="196" t="s">
        <v>342</v>
      </c>
      <c r="J499" s="199">
        <v>1030</v>
      </c>
      <c r="K499" s="198">
        <v>1141</v>
      </c>
      <c r="L499" s="200">
        <v>0</v>
      </c>
      <c r="M499" s="201"/>
      <c r="N499" s="199">
        <v>2125</v>
      </c>
      <c r="O499" s="202">
        <v>3.6</v>
      </c>
      <c r="P499" s="203">
        <v>3.2</v>
      </c>
      <c r="Q499" s="203">
        <v>0.4</v>
      </c>
      <c r="R499" s="204">
        <v>4.3</v>
      </c>
      <c r="S499" s="203">
        <v>4.3</v>
      </c>
      <c r="T499" s="203">
        <v>0</v>
      </c>
      <c r="V499" s="198">
        <v>2125</v>
      </c>
      <c r="W499" s="202">
        <v>3.2</v>
      </c>
      <c r="X499" s="203">
        <v>3.2</v>
      </c>
      <c r="Y499" s="203">
        <v>0</v>
      </c>
      <c r="Z499" s="204">
        <v>4.3</v>
      </c>
      <c r="AA499" s="203">
        <v>4.3</v>
      </c>
      <c r="AB499" s="203">
        <v>0</v>
      </c>
      <c r="AD499" s="198">
        <v>2125</v>
      </c>
      <c r="AE499" s="202">
        <v>-0.39999999999999991</v>
      </c>
      <c r="AF499" s="203" t="s">
        <v>82</v>
      </c>
      <c r="AG499" s="203">
        <v>-0.4</v>
      </c>
      <c r="AH499" s="204" t="s">
        <v>82</v>
      </c>
      <c r="AI499" s="203" t="s">
        <v>82</v>
      </c>
      <c r="AJ499" s="203" t="s">
        <v>82</v>
      </c>
    </row>
    <row customFormat="1" r="500" s="205" spans="1:36" x14ac:dyDescent="0.2">
      <c r="A500" s="193">
        <v>496</v>
      </c>
      <c r="B500" s="215">
        <v>13</v>
      </c>
      <c r="C500" s="195" t="s">
        <v>306</v>
      </c>
      <c r="D500" s="195">
        <v>4</v>
      </c>
      <c r="E500" s="195" t="s">
        <v>339</v>
      </c>
      <c r="F500" s="196">
        <v>44371</v>
      </c>
      <c r="G500" s="197" t="s">
        <v>7</v>
      </c>
      <c r="H500" s="198">
        <v>2126</v>
      </c>
      <c r="I500" s="196" t="s">
        <v>342</v>
      </c>
      <c r="J500" s="199">
        <v>1030</v>
      </c>
      <c r="K500" s="198">
        <v>1141</v>
      </c>
      <c r="L500" s="200">
        <v>0</v>
      </c>
      <c r="M500" s="201"/>
      <c r="N500" s="199">
        <v>2126</v>
      </c>
      <c r="O500" s="202">
        <v>3.4</v>
      </c>
      <c r="P500" s="203">
        <v>3</v>
      </c>
      <c r="Q500" s="203">
        <v>0.4</v>
      </c>
      <c r="R500" s="204">
        <v>3.9</v>
      </c>
      <c r="S500" s="203">
        <v>3.9</v>
      </c>
      <c r="T500" s="203">
        <v>0</v>
      </c>
      <c r="V500" s="198">
        <v>2126</v>
      </c>
      <c r="W500" s="202">
        <v>3</v>
      </c>
      <c r="X500" s="203">
        <v>3</v>
      </c>
      <c r="Y500" s="203">
        <v>0</v>
      </c>
      <c r="Z500" s="204">
        <v>3.9</v>
      </c>
      <c r="AA500" s="203">
        <v>3.9</v>
      </c>
      <c r="AB500" s="203">
        <v>0</v>
      </c>
      <c r="AD500" s="198">
        <v>2126</v>
      </c>
      <c r="AE500" s="202">
        <v>-0.39999999999999991</v>
      </c>
      <c r="AF500" s="203" t="s">
        <v>82</v>
      </c>
      <c r="AG500" s="203">
        <v>-0.4</v>
      </c>
      <c r="AH500" s="204" t="s">
        <v>82</v>
      </c>
      <c r="AI500" s="203" t="s">
        <v>82</v>
      </c>
      <c r="AJ500" s="203" t="s">
        <v>82</v>
      </c>
    </row>
    <row customFormat="1" r="501" s="205" spans="1:36" x14ac:dyDescent="0.2">
      <c r="A501" s="193">
        <v>497</v>
      </c>
      <c r="B501" s="215">
        <v>13</v>
      </c>
      <c r="C501" s="195" t="s">
        <v>306</v>
      </c>
      <c r="D501" s="195">
        <v>4</v>
      </c>
      <c r="E501" s="195" t="s">
        <v>339</v>
      </c>
      <c r="F501" s="196">
        <v>44451</v>
      </c>
      <c r="G501" s="197" t="s">
        <v>10</v>
      </c>
      <c r="H501" s="198">
        <v>2137</v>
      </c>
      <c r="I501" s="196" t="s">
        <v>343</v>
      </c>
      <c r="J501" s="199">
        <v>1630</v>
      </c>
      <c r="K501" s="198">
        <v>1724</v>
      </c>
      <c r="L501" s="200">
        <v>1</v>
      </c>
      <c r="M501" s="201"/>
      <c r="N501" s="199">
        <v>2137</v>
      </c>
      <c r="O501" s="202">
        <v>5</v>
      </c>
      <c r="P501" s="203">
        <v>4.8</v>
      </c>
      <c r="Q501" s="203">
        <v>0.2</v>
      </c>
      <c r="R501" s="204">
        <v>6.5</v>
      </c>
      <c r="S501" s="203">
        <v>4.5999999999999996</v>
      </c>
      <c r="T501" s="203">
        <v>1.9</v>
      </c>
      <c r="V501" s="198">
        <v>2137</v>
      </c>
      <c r="W501" s="202">
        <v>4.9000000000000004</v>
      </c>
      <c r="X501" s="203">
        <v>4.8</v>
      </c>
      <c r="Y501" s="203">
        <v>0.1</v>
      </c>
      <c r="Z501" s="204">
        <v>4.8</v>
      </c>
      <c r="AA501" s="203">
        <v>4.5999999999999996</v>
      </c>
      <c r="AB501" s="203">
        <v>0.2</v>
      </c>
      <c r="AD501" s="198">
        <v>2137</v>
      </c>
      <c r="AE501" s="202">
        <v>-9.9999999999999645E-2</v>
      </c>
      <c r="AF501" s="203" t="s">
        <v>82</v>
      </c>
      <c r="AG501" s="203">
        <v>-0.1</v>
      </c>
      <c r="AH501" s="204">
        <v>-1.7000000000000002</v>
      </c>
      <c r="AI501" s="203" t="s">
        <v>82</v>
      </c>
      <c r="AJ501" s="203">
        <v>-1.7</v>
      </c>
    </row>
    <row customFormat="1" r="502" s="205" spans="1:36" x14ac:dyDescent="0.2">
      <c r="A502" s="193">
        <v>498</v>
      </c>
      <c r="B502" s="215">
        <v>13</v>
      </c>
      <c r="C502" s="195" t="s">
        <v>306</v>
      </c>
      <c r="D502" s="195">
        <v>4</v>
      </c>
      <c r="E502" s="195" t="s">
        <v>339</v>
      </c>
      <c r="F502" s="196">
        <v>44458</v>
      </c>
      <c r="G502" s="197" t="s">
        <v>10</v>
      </c>
      <c r="H502" s="198">
        <v>2138</v>
      </c>
      <c r="I502" s="196" t="s">
        <v>343</v>
      </c>
      <c r="J502" s="199">
        <v>1630</v>
      </c>
      <c r="K502" s="198">
        <v>1724</v>
      </c>
      <c r="L502" s="200">
        <v>1</v>
      </c>
      <c r="M502" s="201"/>
      <c r="N502" s="199">
        <v>2138</v>
      </c>
      <c r="O502" s="202">
        <v>4.7</v>
      </c>
      <c r="P502" s="203">
        <v>4.5</v>
      </c>
      <c r="Q502" s="203">
        <v>0.2</v>
      </c>
      <c r="R502" s="204">
        <v>5.9</v>
      </c>
      <c r="S502" s="203">
        <v>4</v>
      </c>
      <c r="T502" s="203">
        <v>1.9</v>
      </c>
      <c r="V502" s="198">
        <v>2138</v>
      </c>
      <c r="W502" s="202">
        <v>4.5999999999999996</v>
      </c>
      <c r="X502" s="203">
        <v>4.5</v>
      </c>
      <c r="Y502" s="203">
        <v>0.1</v>
      </c>
      <c r="Z502" s="204">
        <v>4.2</v>
      </c>
      <c r="AA502" s="203">
        <v>4</v>
      </c>
      <c r="AB502" s="203">
        <v>0.2</v>
      </c>
      <c r="AD502" s="198">
        <v>2138</v>
      </c>
      <c r="AE502" s="202">
        <v>-0.10000000000000053</v>
      </c>
      <c r="AF502" s="203" t="s">
        <v>82</v>
      </c>
      <c r="AG502" s="203">
        <v>-0.1</v>
      </c>
      <c r="AH502" s="204">
        <v>-1.7000000000000002</v>
      </c>
      <c r="AI502" s="203" t="s">
        <v>82</v>
      </c>
      <c r="AJ502" s="203">
        <v>-1.7</v>
      </c>
    </row>
    <row customFormat="1" r="503" s="205" spans="1:36" x14ac:dyDescent="0.2">
      <c r="A503" s="193">
        <v>499</v>
      </c>
      <c r="B503" s="215">
        <v>13</v>
      </c>
      <c r="C503" s="195" t="s">
        <v>306</v>
      </c>
      <c r="D503" s="195">
        <v>4</v>
      </c>
      <c r="E503" s="195" t="s">
        <v>339</v>
      </c>
      <c r="F503" s="196">
        <v>44465</v>
      </c>
      <c r="G503" s="197" t="s">
        <v>10</v>
      </c>
      <c r="H503" s="198">
        <v>2139</v>
      </c>
      <c r="I503" s="196" t="s">
        <v>343</v>
      </c>
      <c r="J503" s="199">
        <v>1630</v>
      </c>
      <c r="K503" s="198">
        <v>1724</v>
      </c>
      <c r="L503" s="200">
        <v>1</v>
      </c>
      <c r="M503" s="201"/>
      <c r="N503" s="199">
        <v>2139</v>
      </c>
      <c r="O503" s="202">
        <v>4.5999999999999996</v>
      </c>
      <c r="P503" s="203">
        <v>4.4000000000000004</v>
      </c>
      <c r="Q503" s="203">
        <v>0.2</v>
      </c>
      <c r="R503" s="204">
        <v>6.1</v>
      </c>
      <c r="S503" s="203">
        <v>4.2</v>
      </c>
      <c r="T503" s="203">
        <v>1.9</v>
      </c>
      <c r="V503" s="198">
        <v>2139</v>
      </c>
      <c r="W503" s="202">
        <v>4.5</v>
      </c>
      <c r="X503" s="203">
        <v>4.4000000000000004</v>
      </c>
      <c r="Y503" s="203">
        <v>0.1</v>
      </c>
      <c r="Z503" s="204">
        <v>4.4000000000000004</v>
      </c>
      <c r="AA503" s="203">
        <v>4.2</v>
      </c>
      <c r="AB503" s="203">
        <v>0.2</v>
      </c>
      <c r="AD503" s="198">
        <v>2139</v>
      </c>
      <c r="AE503" s="202">
        <v>-9.9999999999999645E-2</v>
      </c>
      <c r="AF503" s="203" t="s">
        <v>82</v>
      </c>
      <c r="AG503" s="203">
        <v>-0.1</v>
      </c>
      <c r="AH503" s="204">
        <v>-1.6999999999999993</v>
      </c>
      <c r="AI503" s="203" t="s">
        <v>82</v>
      </c>
      <c r="AJ503" s="203">
        <v>-1.7</v>
      </c>
    </row>
    <row customFormat="1" r="504" s="205" spans="1:36" x14ac:dyDescent="0.2">
      <c r="A504" s="193">
        <v>500</v>
      </c>
      <c r="B504" s="215">
        <v>13</v>
      </c>
      <c r="C504" s="195" t="s">
        <v>306</v>
      </c>
      <c r="D504" s="195">
        <v>4</v>
      </c>
      <c r="E504" s="195" t="s">
        <v>339</v>
      </c>
      <c r="F504" s="196">
        <v>44472</v>
      </c>
      <c r="G504" s="197" t="s">
        <v>10</v>
      </c>
      <c r="H504" s="198">
        <v>2140</v>
      </c>
      <c r="I504" s="196" t="s">
        <v>343</v>
      </c>
      <c r="J504" s="199">
        <v>1630</v>
      </c>
      <c r="K504" s="198">
        <v>1724</v>
      </c>
      <c r="L504" s="200">
        <v>1</v>
      </c>
      <c r="M504" s="201"/>
      <c r="N504" s="199">
        <v>2140</v>
      </c>
      <c r="O504" s="202">
        <v>3.8</v>
      </c>
      <c r="P504" s="203">
        <v>3.7</v>
      </c>
      <c r="Q504" s="203">
        <v>0.1</v>
      </c>
      <c r="R504" s="204">
        <v>5</v>
      </c>
      <c r="S504" s="203">
        <v>3.3</v>
      </c>
      <c r="T504" s="203">
        <v>1.7</v>
      </c>
      <c r="V504" s="198">
        <v>2140</v>
      </c>
      <c r="W504" s="202">
        <v>3.7</v>
      </c>
      <c r="X504" s="203">
        <v>3.7</v>
      </c>
      <c r="Y504" s="203">
        <v>0</v>
      </c>
      <c r="Z504" s="204">
        <v>3.3</v>
      </c>
      <c r="AA504" s="203">
        <v>3.3</v>
      </c>
      <c r="AB504" s="203">
        <v>0</v>
      </c>
      <c r="AD504" s="198">
        <v>2140</v>
      </c>
      <c r="AE504" s="202">
        <v>-9.9999999999999645E-2</v>
      </c>
      <c r="AF504" s="203" t="s">
        <v>82</v>
      </c>
      <c r="AG504" s="203">
        <v>-0.1</v>
      </c>
      <c r="AH504" s="204">
        <v>-1.7000000000000002</v>
      </c>
      <c r="AI504" s="203" t="s">
        <v>82</v>
      </c>
      <c r="AJ504" s="203">
        <v>-1.7</v>
      </c>
    </row>
    <row customFormat="1" r="505" s="205" spans="1:36" x14ac:dyDescent="0.2">
      <c r="A505" s="193">
        <v>501</v>
      </c>
      <c r="B505" s="215">
        <v>13</v>
      </c>
      <c r="C505" s="195" t="s">
        <v>306</v>
      </c>
      <c r="D505" s="195">
        <v>4</v>
      </c>
      <c r="E505" s="195" t="s">
        <v>339</v>
      </c>
      <c r="F505" s="196">
        <v>44508</v>
      </c>
      <c r="G505" s="197" t="s">
        <v>4</v>
      </c>
      <c r="H505" s="198">
        <v>2146</v>
      </c>
      <c r="I505" s="196" t="s">
        <v>344</v>
      </c>
      <c r="J505" s="199">
        <v>2030</v>
      </c>
      <c r="K505" s="198">
        <v>2147</v>
      </c>
      <c r="L505" s="200">
        <v>0</v>
      </c>
      <c r="M505" s="201"/>
      <c r="N505" s="199">
        <v>2146</v>
      </c>
      <c r="O505" s="202">
        <v>5.3</v>
      </c>
      <c r="P505" s="203">
        <v>5.2</v>
      </c>
      <c r="Q505" s="203">
        <v>0.1</v>
      </c>
      <c r="R505" s="204">
        <v>3.5</v>
      </c>
      <c r="S505" s="203">
        <v>3.5</v>
      </c>
      <c r="T505" s="203">
        <v>0</v>
      </c>
      <c r="V505" s="198">
        <v>2146</v>
      </c>
      <c r="W505" s="202">
        <v>5.2</v>
      </c>
      <c r="X505" s="203">
        <v>5.2</v>
      </c>
      <c r="Y505" s="203">
        <v>0</v>
      </c>
      <c r="Z505" s="204">
        <v>3.5</v>
      </c>
      <c r="AA505" s="203">
        <v>3.5</v>
      </c>
      <c r="AB505" s="203">
        <v>0</v>
      </c>
      <c r="AD505" s="198">
        <v>2146</v>
      </c>
      <c r="AE505" s="202">
        <v>-9.9999999999999645E-2</v>
      </c>
      <c r="AF505" s="203" t="s">
        <v>82</v>
      </c>
      <c r="AG505" s="203">
        <v>-0.1</v>
      </c>
      <c r="AH505" s="204" t="s">
        <v>82</v>
      </c>
      <c r="AI505" s="203" t="s">
        <v>82</v>
      </c>
      <c r="AJ505" s="203" t="s">
        <v>82</v>
      </c>
    </row>
    <row customFormat="1" r="506" s="205" spans="1:36" x14ac:dyDescent="0.2">
      <c r="A506" s="193">
        <v>502</v>
      </c>
      <c r="B506" s="215">
        <v>13</v>
      </c>
      <c r="C506" s="195" t="s">
        <v>306</v>
      </c>
      <c r="D506" s="195">
        <v>4</v>
      </c>
      <c r="E506" s="195" t="s">
        <v>339</v>
      </c>
      <c r="F506" s="196">
        <v>44515</v>
      </c>
      <c r="G506" s="197" t="s">
        <v>4</v>
      </c>
      <c r="H506" s="198">
        <v>2147</v>
      </c>
      <c r="I506" s="196" t="s">
        <v>345</v>
      </c>
      <c r="J506" s="199">
        <v>2030</v>
      </c>
      <c r="K506" s="198">
        <v>2147</v>
      </c>
      <c r="L506" s="200">
        <v>0</v>
      </c>
      <c r="M506" s="201"/>
      <c r="N506" s="199">
        <v>2147</v>
      </c>
      <c r="O506" s="202">
        <v>5.2</v>
      </c>
      <c r="P506" s="203">
        <v>5</v>
      </c>
      <c r="Q506" s="203">
        <v>0.2</v>
      </c>
      <c r="R506" s="204">
        <v>3.8</v>
      </c>
      <c r="S506" s="203">
        <v>3.8</v>
      </c>
      <c r="T506" s="203">
        <v>0</v>
      </c>
      <c r="V506" s="198">
        <v>2147</v>
      </c>
      <c r="W506" s="202">
        <v>5</v>
      </c>
      <c r="X506" s="203">
        <v>5</v>
      </c>
      <c r="Y506" s="203">
        <v>0</v>
      </c>
      <c r="Z506" s="204">
        <v>3.8</v>
      </c>
      <c r="AA506" s="203">
        <v>3.8</v>
      </c>
      <c r="AB506" s="203">
        <v>0</v>
      </c>
      <c r="AD506" s="198">
        <v>2147</v>
      </c>
      <c r="AE506" s="202">
        <v>-0.20000000000000018</v>
      </c>
      <c r="AF506" s="203" t="s">
        <v>82</v>
      </c>
      <c r="AG506" s="203">
        <v>-0.2</v>
      </c>
      <c r="AH506" s="204" t="s">
        <v>82</v>
      </c>
      <c r="AI506" s="203" t="s">
        <v>82</v>
      </c>
      <c r="AJ506" s="203" t="s">
        <v>82</v>
      </c>
    </row>
    <row customFormat="1" r="507" s="205" spans="1:36" x14ac:dyDescent="0.2">
      <c r="A507" s="193">
        <v>503</v>
      </c>
      <c r="B507" s="215">
        <v>13</v>
      </c>
      <c r="C507" s="195" t="s">
        <v>306</v>
      </c>
      <c r="D507" s="195">
        <v>4</v>
      </c>
      <c r="E507" s="195" t="s">
        <v>339</v>
      </c>
      <c r="F507" s="196">
        <v>44522</v>
      </c>
      <c r="G507" s="197" t="s">
        <v>4</v>
      </c>
      <c r="H507" s="198">
        <v>2148</v>
      </c>
      <c r="I507" s="196" t="s">
        <v>346</v>
      </c>
      <c r="J507" s="199">
        <v>1900</v>
      </c>
      <c r="K507" s="198">
        <v>2147</v>
      </c>
      <c r="L507" s="200">
        <v>0</v>
      </c>
      <c r="M507" s="201"/>
      <c r="N507" s="199">
        <v>2148</v>
      </c>
      <c r="O507" s="202">
        <v>5</v>
      </c>
      <c r="P507" s="203">
        <v>4.9000000000000004</v>
      </c>
      <c r="Q507" s="203">
        <v>0.1</v>
      </c>
      <c r="R507" s="204">
        <v>3.9</v>
      </c>
      <c r="S507" s="203">
        <v>3.9</v>
      </c>
      <c r="T507" s="203">
        <v>0</v>
      </c>
      <c r="V507" s="198">
        <v>2148</v>
      </c>
      <c r="W507" s="202">
        <v>4.9000000000000004</v>
      </c>
      <c r="X507" s="203">
        <v>4.9000000000000004</v>
      </c>
      <c r="Y507" s="203">
        <v>0</v>
      </c>
      <c r="Z507" s="204">
        <v>3.9</v>
      </c>
      <c r="AA507" s="203">
        <v>3.9</v>
      </c>
      <c r="AB507" s="203">
        <v>0</v>
      </c>
      <c r="AD507" s="198">
        <v>2148</v>
      </c>
      <c r="AE507" s="202">
        <v>-9.9999999999999645E-2</v>
      </c>
      <c r="AF507" s="203" t="s">
        <v>82</v>
      </c>
      <c r="AG507" s="203">
        <v>-0.1</v>
      </c>
      <c r="AH507" s="204" t="s">
        <v>82</v>
      </c>
      <c r="AI507" s="203" t="s">
        <v>82</v>
      </c>
      <c r="AJ507" s="203" t="s">
        <v>82</v>
      </c>
    </row>
    <row customFormat="1" r="508" s="205" spans="1:36" x14ac:dyDescent="0.2">
      <c r="A508" s="193">
        <v>504</v>
      </c>
      <c r="B508" s="215">
        <v>13</v>
      </c>
      <c r="C508" s="195" t="s">
        <v>306</v>
      </c>
      <c r="D508" s="195">
        <v>4</v>
      </c>
      <c r="E508" s="195" t="s">
        <v>339</v>
      </c>
      <c r="F508" s="196">
        <v>44529</v>
      </c>
      <c r="G508" s="197" t="s">
        <v>4</v>
      </c>
      <c r="H508" s="198">
        <v>2149</v>
      </c>
      <c r="I508" s="196" t="s">
        <v>345</v>
      </c>
      <c r="J508" s="199">
        <v>2035</v>
      </c>
      <c r="K508" s="198">
        <v>2147</v>
      </c>
      <c r="L508" s="200">
        <v>0</v>
      </c>
      <c r="M508" s="201"/>
      <c r="N508" s="199">
        <v>2149</v>
      </c>
      <c r="O508" s="202">
        <v>4.7</v>
      </c>
      <c r="P508" s="203">
        <v>4.5</v>
      </c>
      <c r="Q508" s="203">
        <v>0.2</v>
      </c>
      <c r="R508" s="204">
        <v>3.8</v>
      </c>
      <c r="S508" s="203">
        <v>3.8</v>
      </c>
      <c r="T508" s="203">
        <v>0</v>
      </c>
      <c r="V508" s="198">
        <v>2149</v>
      </c>
      <c r="W508" s="202">
        <v>4.5999999999999996</v>
      </c>
      <c r="X508" s="203">
        <v>4.5</v>
      </c>
      <c r="Y508" s="203">
        <v>0.1</v>
      </c>
      <c r="Z508" s="204">
        <v>3.8</v>
      </c>
      <c r="AA508" s="203">
        <v>3.8</v>
      </c>
      <c r="AB508" s="203">
        <v>0</v>
      </c>
      <c r="AD508" s="198">
        <v>2149</v>
      </c>
      <c r="AE508" s="202">
        <v>-0.10000000000000053</v>
      </c>
      <c r="AF508" s="203" t="s">
        <v>82</v>
      </c>
      <c r="AG508" s="203">
        <v>-0.1</v>
      </c>
      <c r="AH508" s="204" t="s">
        <v>82</v>
      </c>
      <c r="AI508" s="203" t="s">
        <v>82</v>
      </c>
      <c r="AJ508" s="203" t="s">
        <v>82</v>
      </c>
    </row>
    <row customFormat="1" r="509" s="205" spans="1:36" x14ac:dyDescent="0.2">
      <c r="A509" s="193">
        <v>505</v>
      </c>
      <c r="B509" s="215">
        <v>13</v>
      </c>
      <c r="C509" s="195" t="s">
        <v>306</v>
      </c>
      <c r="D509" s="195">
        <v>4</v>
      </c>
      <c r="E509" s="195" t="s">
        <v>339</v>
      </c>
      <c r="F509" s="196">
        <v>44546</v>
      </c>
      <c r="G509" s="197" t="s">
        <v>7</v>
      </c>
      <c r="H509" s="198">
        <v>2151</v>
      </c>
      <c r="I509" s="196" t="s">
        <v>347</v>
      </c>
      <c r="J509" s="199">
        <v>2204</v>
      </c>
      <c r="K509" s="198">
        <v>2319</v>
      </c>
      <c r="L509" s="200">
        <v>0</v>
      </c>
      <c r="M509" s="201"/>
      <c r="N509" s="199">
        <v>2151</v>
      </c>
      <c r="O509" s="202">
        <v>6.5</v>
      </c>
      <c r="P509" s="203">
        <v>6.3</v>
      </c>
      <c r="Q509" s="203">
        <v>0.2</v>
      </c>
      <c r="R509" s="204">
        <v>2.9</v>
      </c>
      <c r="S509" s="203">
        <v>2.9</v>
      </c>
      <c r="T509" s="203">
        <v>0</v>
      </c>
      <c r="V509" s="198">
        <v>2151</v>
      </c>
      <c r="W509" s="202">
        <v>6.4</v>
      </c>
      <c r="X509" s="203">
        <v>6.3</v>
      </c>
      <c r="Y509" s="203">
        <v>0.1</v>
      </c>
      <c r="Z509" s="204">
        <v>2.9</v>
      </c>
      <c r="AA509" s="203">
        <v>2.9</v>
      </c>
      <c r="AB509" s="203">
        <v>0</v>
      </c>
      <c r="AD509" s="198">
        <v>2151</v>
      </c>
      <c r="AE509" s="202">
        <v>-9.9999999999999645E-2</v>
      </c>
      <c r="AF509" s="203" t="s">
        <v>82</v>
      </c>
      <c r="AG509" s="203">
        <v>-0.1</v>
      </c>
      <c r="AH509" s="204" t="s">
        <v>82</v>
      </c>
      <c r="AI509" s="203" t="s">
        <v>82</v>
      </c>
      <c r="AJ509" s="203" t="s">
        <v>82</v>
      </c>
    </row>
    <row customFormat="1" r="510" s="205" spans="1:36" x14ac:dyDescent="0.2">
      <c r="A510" s="193">
        <v>506</v>
      </c>
      <c r="B510" s="215">
        <v>13</v>
      </c>
      <c r="C510" s="195" t="s">
        <v>306</v>
      </c>
      <c r="D510" s="195">
        <v>4</v>
      </c>
      <c r="E510" s="195" t="s">
        <v>339</v>
      </c>
      <c r="F510" s="196">
        <v>44553</v>
      </c>
      <c r="G510" s="197" t="s">
        <v>7</v>
      </c>
      <c r="H510" s="198">
        <v>2152</v>
      </c>
      <c r="I510" s="196" t="s">
        <v>347</v>
      </c>
      <c r="J510" s="199">
        <v>2154</v>
      </c>
      <c r="K510" s="198">
        <v>2309</v>
      </c>
      <c r="L510" s="200">
        <v>0</v>
      </c>
      <c r="M510" s="201"/>
      <c r="N510" s="199">
        <v>2152</v>
      </c>
      <c r="O510" s="202">
        <v>6.9</v>
      </c>
      <c r="P510" s="203">
        <v>6.9</v>
      </c>
      <c r="Q510" s="203">
        <v>0</v>
      </c>
      <c r="R510" s="204">
        <v>3.3</v>
      </c>
      <c r="S510" s="203">
        <v>3.3</v>
      </c>
      <c r="T510" s="203">
        <v>0</v>
      </c>
      <c r="V510" s="198">
        <v>2152</v>
      </c>
      <c r="W510" s="202">
        <v>6.9</v>
      </c>
      <c r="X510" s="203">
        <v>6.9</v>
      </c>
      <c r="Y510" s="203">
        <v>0</v>
      </c>
      <c r="Z510" s="204">
        <v>3.3</v>
      </c>
      <c r="AA510" s="203">
        <v>3.3</v>
      </c>
      <c r="AB510" s="203">
        <v>0</v>
      </c>
      <c r="AD510" s="198">
        <v>2152</v>
      </c>
      <c r="AE510" s="202" t="s">
        <v>82</v>
      </c>
      <c r="AF510" s="203" t="s">
        <v>82</v>
      </c>
      <c r="AG510" s="203" t="s">
        <v>82</v>
      </c>
      <c r="AH510" s="204" t="s">
        <v>82</v>
      </c>
      <c r="AI510" s="203" t="s">
        <v>82</v>
      </c>
      <c r="AJ510" s="203" t="s">
        <v>82</v>
      </c>
    </row>
    <row customFormat="1" r="511" s="205" spans="1:36" x14ac:dyDescent="0.2">
      <c r="A511" s="193">
        <v>507</v>
      </c>
      <c r="B511" s="215">
        <v>13</v>
      </c>
      <c r="C511" s="195" t="s">
        <v>306</v>
      </c>
      <c r="D511" s="195">
        <v>4</v>
      </c>
      <c r="E511" s="195" t="s">
        <v>339</v>
      </c>
      <c r="F511" s="196">
        <v>44560</v>
      </c>
      <c r="G511" s="197" t="s">
        <v>7</v>
      </c>
      <c r="H511" s="198">
        <v>2201</v>
      </c>
      <c r="I511" s="196" t="s">
        <v>348</v>
      </c>
      <c r="J511" s="199">
        <v>1900</v>
      </c>
      <c r="K511" s="198">
        <v>2339</v>
      </c>
      <c r="L511" s="200">
        <v>0</v>
      </c>
      <c r="M511" s="201"/>
      <c r="N511" s="199">
        <v>2201</v>
      </c>
      <c r="O511" s="202">
        <v>6.7</v>
      </c>
      <c r="P511" s="203">
        <v>5.9</v>
      </c>
      <c r="Q511" s="203">
        <v>0.8</v>
      </c>
      <c r="R511" s="204">
        <v>2.4</v>
      </c>
      <c r="S511" s="203">
        <v>2.4</v>
      </c>
      <c r="T511" s="203" t="s">
        <v>84</v>
      </c>
      <c r="V511" s="198">
        <v>2201</v>
      </c>
      <c r="W511" s="202">
        <v>6.7</v>
      </c>
      <c r="X511" s="203">
        <v>5.9</v>
      </c>
      <c r="Y511" s="203">
        <v>0.8</v>
      </c>
      <c r="Z511" s="204">
        <v>2.4</v>
      </c>
      <c r="AA511" s="203">
        <v>2.4</v>
      </c>
      <c r="AB511" s="203" t="s">
        <v>84</v>
      </c>
      <c r="AD511" s="198">
        <v>2201</v>
      </c>
      <c r="AE511" s="202" t="s">
        <v>82</v>
      </c>
      <c r="AF511" s="203" t="s">
        <v>82</v>
      </c>
      <c r="AG511" s="203" t="s">
        <v>82</v>
      </c>
      <c r="AH511" s="204" t="s">
        <v>82</v>
      </c>
      <c r="AI511" s="203" t="s">
        <v>82</v>
      </c>
      <c r="AJ511" s="203" t="s">
        <v>82</v>
      </c>
    </row>
    <row customFormat="1" r="512" s="205" spans="1:36" x14ac:dyDescent="0.2">
      <c r="A512" s="193">
        <v>508</v>
      </c>
      <c r="B512" s="215">
        <v>13</v>
      </c>
      <c r="C512" s="195" t="s">
        <v>306</v>
      </c>
      <c r="D512" s="195">
        <v>4</v>
      </c>
      <c r="E512" s="195" t="s">
        <v>339</v>
      </c>
      <c r="F512" s="196">
        <v>44567</v>
      </c>
      <c r="G512" s="197" t="s">
        <v>7</v>
      </c>
      <c r="H512" s="198">
        <v>2202</v>
      </c>
      <c r="I512" s="196" t="s">
        <v>347</v>
      </c>
      <c r="J512" s="199">
        <v>2154</v>
      </c>
      <c r="K512" s="198">
        <v>2309</v>
      </c>
      <c r="L512" s="200">
        <v>0</v>
      </c>
      <c r="M512" s="201"/>
      <c r="N512" s="199">
        <v>2202</v>
      </c>
      <c r="O512" s="202">
        <v>7.2</v>
      </c>
      <c r="P512" s="203">
        <v>6.8</v>
      </c>
      <c r="Q512" s="203">
        <v>0.4</v>
      </c>
      <c r="R512" s="204">
        <v>3.7</v>
      </c>
      <c r="S512" s="203">
        <v>3.7</v>
      </c>
      <c r="T512" s="203">
        <v>0</v>
      </c>
      <c r="V512" s="198">
        <v>2202</v>
      </c>
      <c r="W512" s="202">
        <v>7.1</v>
      </c>
      <c r="X512" s="203">
        <v>6.8</v>
      </c>
      <c r="Y512" s="203">
        <v>0.3</v>
      </c>
      <c r="Z512" s="204">
        <v>3.7</v>
      </c>
      <c r="AA512" s="203">
        <v>3.7</v>
      </c>
      <c r="AB512" s="203">
        <v>0</v>
      </c>
      <c r="AD512" s="198">
        <v>2202</v>
      </c>
      <c r="AE512" s="202">
        <v>-0.10000000000000053</v>
      </c>
      <c r="AF512" s="203" t="s">
        <v>82</v>
      </c>
      <c r="AG512" s="203">
        <v>-0.10000000000000003</v>
      </c>
      <c r="AH512" s="204" t="s">
        <v>82</v>
      </c>
      <c r="AI512" s="203" t="s">
        <v>82</v>
      </c>
      <c r="AJ512" s="203" t="s">
        <v>82</v>
      </c>
    </row>
    <row customFormat="1" r="513" s="205" spans="1:36" x14ac:dyDescent="0.2">
      <c r="A513" s="193">
        <v>509</v>
      </c>
      <c r="B513" s="215">
        <v>14</v>
      </c>
      <c r="C513" s="195" t="s">
        <v>349</v>
      </c>
      <c r="D513" s="195">
        <v>2</v>
      </c>
      <c r="E513" s="195" t="s">
        <v>350</v>
      </c>
      <c r="F513" s="196">
        <v>43975</v>
      </c>
      <c r="G513" s="197" t="s">
        <v>10</v>
      </c>
      <c r="H513" s="198">
        <v>2021</v>
      </c>
      <c r="I513" s="196" t="s">
        <v>351</v>
      </c>
      <c r="J513" s="199">
        <v>1605</v>
      </c>
      <c r="K513" s="198">
        <v>1704</v>
      </c>
      <c r="L513" s="200">
        <v>0</v>
      </c>
      <c r="M513" s="201"/>
      <c r="N513" s="199">
        <v>2021</v>
      </c>
      <c r="O513" s="202">
        <v>3</v>
      </c>
      <c r="P513" s="203">
        <v>2.4</v>
      </c>
      <c r="Q513" s="203">
        <v>0.6</v>
      </c>
      <c r="R513" s="204">
        <v>3.3</v>
      </c>
      <c r="S513" s="203">
        <v>3.2</v>
      </c>
      <c r="T513" s="203">
        <v>0.1</v>
      </c>
      <c r="V513" s="198">
        <v>2021</v>
      </c>
      <c r="W513" s="202">
        <v>2.5</v>
      </c>
      <c r="X513" s="203">
        <v>2.4</v>
      </c>
      <c r="Y513" s="203">
        <v>0.1</v>
      </c>
      <c r="Z513" s="204">
        <v>3.3</v>
      </c>
      <c r="AA513" s="203">
        <v>3.2</v>
      </c>
      <c r="AB513" s="203">
        <v>0.1</v>
      </c>
      <c r="AD513" s="198">
        <v>2021</v>
      </c>
      <c r="AE513" s="202">
        <v>-0.5</v>
      </c>
      <c r="AF513" s="203" t="s">
        <v>82</v>
      </c>
      <c r="AG513" s="203">
        <v>-0.5</v>
      </c>
      <c r="AH513" s="204"/>
      <c r="AI513" s="203" t="s">
        <v>82</v>
      </c>
      <c r="AJ513" s="203" t="s">
        <v>82</v>
      </c>
    </row>
    <row customFormat="1" r="514" s="205" spans="1:36" x14ac:dyDescent="0.2">
      <c r="A514" s="193">
        <v>510</v>
      </c>
      <c r="B514" s="215">
        <v>14</v>
      </c>
      <c r="C514" s="195" t="s">
        <v>349</v>
      </c>
      <c r="D514" s="195">
        <v>2</v>
      </c>
      <c r="E514" s="195" t="s">
        <v>350</v>
      </c>
      <c r="F514" s="196">
        <v>43982</v>
      </c>
      <c r="G514" s="197" t="s">
        <v>10</v>
      </c>
      <c r="H514" s="198">
        <v>2022</v>
      </c>
      <c r="I514" s="196" t="s">
        <v>352</v>
      </c>
      <c r="J514" s="199">
        <v>1605</v>
      </c>
      <c r="K514" s="198">
        <v>1719</v>
      </c>
      <c r="L514" s="200">
        <v>0</v>
      </c>
      <c r="M514" s="201"/>
      <c r="N514" s="199">
        <v>2022</v>
      </c>
      <c r="O514" s="202">
        <v>3.4</v>
      </c>
      <c r="P514" s="203">
        <v>2.9</v>
      </c>
      <c r="Q514" s="203">
        <v>0.5</v>
      </c>
      <c r="R514" s="204">
        <v>2.9</v>
      </c>
      <c r="S514" s="203">
        <v>2.9</v>
      </c>
      <c r="T514" s="203">
        <v>0</v>
      </c>
      <c r="V514" s="198">
        <v>2022</v>
      </c>
      <c r="W514" s="202">
        <v>3</v>
      </c>
      <c r="X514" s="203">
        <v>2.9</v>
      </c>
      <c r="Y514" s="203">
        <v>0.1</v>
      </c>
      <c r="Z514" s="204">
        <v>2.9</v>
      </c>
      <c r="AA514" s="203">
        <v>2.9</v>
      </c>
      <c r="AB514" s="203">
        <v>0</v>
      </c>
      <c r="AD514" s="198">
        <v>2022</v>
      </c>
      <c r="AE514" s="202">
        <v>-0.39999999999999991</v>
      </c>
      <c r="AF514" s="203" t="s">
        <v>82</v>
      </c>
      <c r="AG514" s="203">
        <v>-0.4</v>
      </c>
      <c r="AH514" s="204" t="s">
        <v>82</v>
      </c>
      <c r="AI514" s="203" t="s">
        <v>82</v>
      </c>
      <c r="AJ514" s="203" t="s">
        <v>82</v>
      </c>
    </row>
    <row customFormat="1" r="515" s="205" spans="1:36" x14ac:dyDescent="0.2">
      <c r="A515" s="193">
        <v>511</v>
      </c>
      <c r="B515" s="215">
        <v>14</v>
      </c>
      <c r="C515" s="195" t="s">
        <v>349</v>
      </c>
      <c r="D515" s="195">
        <v>2</v>
      </c>
      <c r="E515" s="195" t="s">
        <v>350</v>
      </c>
      <c r="F515" s="196">
        <v>43989</v>
      </c>
      <c r="G515" s="197" t="s">
        <v>10</v>
      </c>
      <c r="H515" s="198">
        <v>2023</v>
      </c>
      <c r="I515" s="196" t="s">
        <v>353</v>
      </c>
      <c r="J515" s="199">
        <v>1600</v>
      </c>
      <c r="K515" s="198">
        <v>1719</v>
      </c>
      <c r="L515" s="200">
        <v>0</v>
      </c>
      <c r="M515" s="201"/>
      <c r="N515" s="199">
        <v>2023</v>
      </c>
      <c r="O515" s="202">
        <v>2.9</v>
      </c>
      <c r="P515" s="203">
        <v>2.5</v>
      </c>
      <c r="Q515" s="203">
        <v>0.4</v>
      </c>
      <c r="R515" s="204">
        <v>2.5</v>
      </c>
      <c r="S515" s="203">
        <v>2.5</v>
      </c>
      <c r="T515" s="203">
        <v>0</v>
      </c>
      <c r="V515" s="198">
        <v>2023</v>
      </c>
      <c r="W515" s="202">
        <v>2.6</v>
      </c>
      <c r="X515" s="203">
        <v>2.5</v>
      </c>
      <c r="Y515" s="203">
        <v>0.1</v>
      </c>
      <c r="Z515" s="204">
        <v>2.5</v>
      </c>
      <c r="AA515" s="203">
        <v>2.5</v>
      </c>
      <c r="AB515" s="203">
        <v>0</v>
      </c>
      <c r="AD515" s="198">
        <v>2023</v>
      </c>
      <c r="AE515" s="202">
        <v>-0.29999999999999982</v>
      </c>
      <c r="AF515" s="203" t="s">
        <v>82</v>
      </c>
      <c r="AG515" s="203">
        <v>-0.30000000000000004</v>
      </c>
      <c r="AH515" s="204" t="s">
        <v>82</v>
      </c>
      <c r="AI515" s="203" t="s">
        <v>82</v>
      </c>
      <c r="AJ515" s="203" t="s">
        <v>82</v>
      </c>
    </row>
    <row customFormat="1" r="516" s="205" spans="1:36" x14ac:dyDescent="0.2">
      <c r="A516" s="193">
        <v>512</v>
      </c>
      <c r="B516" s="215">
        <v>14</v>
      </c>
      <c r="C516" s="195" t="s">
        <v>349</v>
      </c>
      <c r="D516" s="195">
        <v>2</v>
      </c>
      <c r="E516" s="195" t="s">
        <v>350</v>
      </c>
      <c r="F516" s="196">
        <v>43996</v>
      </c>
      <c r="G516" s="197" t="s">
        <v>10</v>
      </c>
      <c r="H516" s="198">
        <v>2024</v>
      </c>
      <c r="I516" s="196" t="s">
        <v>354</v>
      </c>
      <c r="J516" s="199">
        <v>1600</v>
      </c>
      <c r="K516" s="198">
        <v>1724</v>
      </c>
      <c r="L516" s="200">
        <v>0</v>
      </c>
      <c r="M516" s="201"/>
      <c r="N516" s="199">
        <v>2024</v>
      </c>
      <c r="O516" s="202">
        <v>2.9</v>
      </c>
      <c r="P516" s="203">
        <v>2.5</v>
      </c>
      <c r="Q516" s="203">
        <v>0.4</v>
      </c>
      <c r="R516" s="204">
        <v>2.2000000000000002</v>
      </c>
      <c r="S516" s="203">
        <v>2.2000000000000002</v>
      </c>
      <c r="T516" s="203" t="s">
        <v>84</v>
      </c>
      <c r="V516" s="198">
        <v>2024</v>
      </c>
      <c r="W516" s="202">
        <v>2.6</v>
      </c>
      <c r="X516" s="203">
        <v>2.5</v>
      </c>
      <c r="Y516" s="203">
        <v>0.1</v>
      </c>
      <c r="Z516" s="204">
        <v>2.2000000000000002</v>
      </c>
      <c r="AA516" s="203">
        <v>2.2000000000000002</v>
      </c>
      <c r="AB516" s="203" t="s">
        <v>84</v>
      </c>
      <c r="AD516" s="198">
        <v>2024</v>
      </c>
      <c r="AE516" s="202">
        <v>-0.29999999999999982</v>
      </c>
      <c r="AF516" s="203" t="s">
        <v>82</v>
      </c>
      <c r="AG516" s="203">
        <v>-0.30000000000000004</v>
      </c>
      <c r="AH516" s="204" t="s">
        <v>82</v>
      </c>
      <c r="AI516" s="203" t="s">
        <v>82</v>
      </c>
      <c r="AJ516" s="203" t="s">
        <v>82</v>
      </c>
    </row>
    <row customFormat="1" r="517" s="205" spans="1:36" x14ac:dyDescent="0.2">
      <c r="A517" s="193">
        <v>513</v>
      </c>
      <c r="B517" s="215">
        <v>14</v>
      </c>
      <c r="C517" s="195" t="s">
        <v>349</v>
      </c>
      <c r="D517" s="195">
        <v>2</v>
      </c>
      <c r="E517" s="195" t="s">
        <v>350</v>
      </c>
      <c r="F517" s="196">
        <v>44220</v>
      </c>
      <c r="G517" s="197" t="s">
        <v>10</v>
      </c>
      <c r="H517" s="198">
        <v>2104</v>
      </c>
      <c r="I517" s="196" t="s">
        <v>355</v>
      </c>
      <c r="J517" s="199">
        <v>930</v>
      </c>
      <c r="K517" s="198">
        <v>959</v>
      </c>
      <c r="L517" s="200">
        <v>0</v>
      </c>
      <c r="M517" s="201"/>
      <c r="N517" s="199">
        <v>2104</v>
      </c>
      <c r="O517" s="202">
        <v>4.4000000000000004</v>
      </c>
      <c r="P517" s="203">
        <v>2.8</v>
      </c>
      <c r="Q517" s="203">
        <v>1.6</v>
      </c>
      <c r="R517" s="204">
        <v>4.5999999999999996</v>
      </c>
      <c r="S517" s="203">
        <v>4.3</v>
      </c>
      <c r="T517" s="203">
        <v>0.3</v>
      </c>
      <c r="V517" s="198">
        <v>2104</v>
      </c>
      <c r="W517" s="202">
        <v>3.4</v>
      </c>
      <c r="X517" s="203">
        <v>2.8</v>
      </c>
      <c r="Y517" s="203">
        <v>0.6</v>
      </c>
      <c r="Z517" s="204">
        <v>4.5999999999999996</v>
      </c>
      <c r="AA517" s="203">
        <v>4.3</v>
      </c>
      <c r="AB517" s="203">
        <v>0.3</v>
      </c>
      <c r="AD517" s="198">
        <v>2104</v>
      </c>
      <c r="AE517" s="202">
        <v>-1.0000000000000004</v>
      </c>
      <c r="AF517" s="203" t="s">
        <v>82</v>
      </c>
      <c r="AG517" s="203">
        <v>-1</v>
      </c>
      <c r="AH517" s="204" t="s">
        <v>82</v>
      </c>
      <c r="AI517" s="203" t="s">
        <v>82</v>
      </c>
      <c r="AJ517" s="203" t="s">
        <v>82</v>
      </c>
    </row>
    <row customFormat="1" r="518" s="205" spans="1:36" x14ac:dyDescent="0.2">
      <c r="A518" s="193">
        <v>514</v>
      </c>
      <c r="B518" s="215">
        <v>14</v>
      </c>
      <c r="C518" s="195" t="s">
        <v>349</v>
      </c>
      <c r="D518" s="195">
        <v>2</v>
      </c>
      <c r="E518" s="195" t="s">
        <v>350</v>
      </c>
      <c r="F518" s="196">
        <v>44227</v>
      </c>
      <c r="G518" s="197" t="s">
        <v>10</v>
      </c>
      <c r="H518" s="198">
        <v>2105</v>
      </c>
      <c r="I518" s="196" t="s">
        <v>355</v>
      </c>
      <c r="J518" s="199">
        <v>930</v>
      </c>
      <c r="K518" s="198">
        <v>959</v>
      </c>
      <c r="L518" s="200">
        <v>0</v>
      </c>
      <c r="M518" s="201"/>
      <c r="N518" s="199">
        <v>2105</v>
      </c>
      <c r="O518" s="202">
        <v>4.4000000000000004</v>
      </c>
      <c r="P518" s="203">
        <v>2.8</v>
      </c>
      <c r="Q518" s="203">
        <v>1.6</v>
      </c>
      <c r="R518" s="204">
        <v>4.2</v>
      </c>
      <c r="S518" s="203">
        <v>3.6</v>
      </c>
      <c r="T518" s="203">
        <v>0.6</v>
      </c>
      <c r="V518" s="198">
        <v>2105</v>
      </c>
      <c r="W518" s="202">
        <v>3.4</v>
      </c>
      <c r="X518" s="203">
        <v>2.8</v>
      </c>
      <c r="Y518" s="203">
        <v>0.6</v>
      </c>
      <c r="Z518" s="204">
        <v>4.2</v>
      </c>
      <c r="AA518" s="203">
        <v>3.6</v>
      </c>
      <c r="AB518" s="203">
        <v>0.6</v>
      </c>
      <c r="AD518" s="198">
        <v>2105</v>
      </c>
      <c r="AE518" s="202">
        <v>-1.0000000000000004</v>
      </c>
      <c r="AF518" s="203" t="s">
        <v>82</v>
      </c>
      <c r="AG518" s="203">
        <v>-1</v>
      </c>
      <c r="AH518" s="204" t="s">
        <v>82</v>
      </c>
      <c r="AI518" s="203" t="s">
        <v>82</v>
      </c>
      <c r="AJ518" s="203" t="s">
        <v>82</v>
      </c>
    </row>
    <row customFormat="1" r="519" s="205" spans="1:36" x14ac:dyDescent="0.2">
      <c r="A519" s="193">
        <v>515</v>
      </c>
      <c r="B519" s="215">
        <v>14</v>
      </c>
      <c r="C519" s="195" t="s">
        <v>349</v>
      </c>
      <c r="D519" s="195">
        <v>2</v>
      </c>
      <c r="E519" s="195" t="s">
        <v>350</v>
      </c>
      <c r="F519" s="196">
        <v>44234</v>
      </c>
      <c r="G519" s="197" t="s">
        <v>10</v>
      </c>
      <c r="H519" s="198">
        <v>2106</v>
      </c>
      <c r="I519" s="196" t="s">
        <v>355</v>
      </c>
      <c r="J519" s="199">
        <v>930</v>
      </c>
      <c r="K519" s="198">
        <v>959</v>
      </c>
      <c r="L519" s="200">
        <v>0</v>
      </c>
      <c r="M519" s="201"/>
      <c r="N519" s="199">
        <v>2106</v>
      </c>
      <c r="O519" s="202">
        <v>4.4000000000000004</v>
      </c>
      <c r="P519" s="203">
        <v>2.4</v>
      </c>
      <c r="Q519" s="203">
        <v>2</v>
      </c>
      <c r="R519" s="204">
        <v>4.2</v>
      </c>
      <c r="S519" s="203">
        <v>3.6</v>
      </c>
      <c r="T519" s="203">
        <v>0.6</v>
      </c>
      <c r="V519" s="198">
        <v>2106</v>
      </c>
      <c r="W519" s="202">
        <v>3.3</v>
      </c>
      <c r="X519" s="203">
        <v>2.4</v>
      </c>
      <c r="Y519" s="203">
        <v>0.9</v>
      </c>
      <c r="Z519" s="204">
        <v>4.2</v>
      </c>
      <c r="AA519" s="203">
        <v>3.6</v>
      </c>
      <c r="AB519" s="203">
        <v>0.6</v>
      </c>
      <c r="AD519" s="198">
        <v>2106</v>
      </c>
      <c r="AE519" s="202">
        <v>-1.1000000000000005</v>
      </c>
      <c r="AF519" s="203" t="s">
        <v>82</v>
      </c>
      <c r="AG519" s="203">
        <v>-1.1000000000000001</v>
      </c>
      <c r="AH519" s="204" t="s">
        <v>82</v>
      </c>
      <c r="AI519" s="203" t="s">
        <v>82</v>
      </c>
      <c r="AJ519" s="203" t="s">
        <v>82</v>
      </c>
    </row>
    <row customFormat="1" r="520" s="205" spans="1:36" x14ac:dyDescent="0.2">
      <c r="A520" s="193">
        <v>516</v>
      </c>
      <c r="B520" s="215">
        <v>14</v>
      </c>
      <c r="C520" s="195" t="s">
        <v>349</v>
      </c>
      <c r="D520" s="195">
        <v>2</v>
      </c>
      <c r="E520" s="195" t="s">
        <v>350</v>
      </c>
      <c r="F520" s="196">
        <v>44241</v>
      </c>
      <c r="G520" s="197" t="s">
        <v>10</v>
      </c>
      <c r="H520" s="198">
        <v>2107</v>
      </c>
      <c r="I520" s="196" t="s">
        <v>355</v>
      </c>
      <c r="J520" s="199">
        <v>930</v>
      </c>
      <c r="K520" s="198">
        <v>959</v>
      </c>
      <c r="L520" s="200">
        <v>0</v>
      </c>
      <c r="M520" s="201"/>
      <c r="N520" s="199">
        <v>2107</v>
      </c>
      <c r="O520" s="202">
        <v>4.3</v>
      </c>
      <c r="P520" s="203">
        <v>2.2000000000000002</v>
      </c>
      <c r="Q520" s="203">
        <v>2.1</v>
      </c>
      <c r="R520" s="204">
        <v>4.5</v>
      </c>
      <c r="S520" s="203">
        <v>3.7</v>
      </c>
      <c r="T520" s="203">
        <v>0.8</v>
      </c>
      <c r="V520" s="198">
        <v>2107</v>
      </c>
      <c r="W520" s="202">
        <v>3.2</v>
      </c>
      <c r="X520" s="203">
        <v>2.2000000000000002</v>
      </c>
      <c r="Y520" s="203">
        <v>1</v>
      </c>
      <c r="Z520" s="204">
        <v>4.5</v>
      </c>
      <c r="AA520" s="203">
        <v>3.7</v>
      </c>
      <c r="AB520" s="203">
        <v>0.8</v>
      </c>
      <c r="AD520" s="198">
        <v>2107</v>
      </c>
      <c r="AE520" s="202">
        <v>-1.0999999999999996</v>
      </c>
      <c r="AF520" s="203" t="s">
        <v>82</v>
      </c>
      <c r="AG520" s="203">
        <v>-1.1000000000000001</v>
      </c>
      <c r="AH520" s="204" t="s">
        <v>82</v>
      </c>
      <c r="AI520" s="203" t="s">
        <v>82</v>
      </c>
      <c r="AJ520" s="203" t="s">
        <v>82</v>
      </c>
    </row>
    <row customFormat="1" r="521" s="205" spans="1:36" x14ac:dyDescent="0.2">
      <c r="A521" s="193">
        <v>517</v>
      </c>
      <c r="B521" s="215">
        <v>14</v>
      </c>
      <c r="C521" s="195" t="s">
        <v>349</v>
      </c>
      <c r="D521" s="195">
        <v>2</v>
      </c>
      <c r="E521" s="195" t="s">
        <v>350</v>
      </c>
      <c r="F521" s="196">
        <v>44559</v>
      </c>
      <c r="G521" s="197" t="s">
        <v>6</v>
      </c>
      <c r="H521" s="198">
        <v>2201</v>
      </c>
      <c r="I521" s="196" t="s">
        <v>356</v>
      </c>
      <c r="J521" s="199">
        <v>525</v>
      </c>
      <c r="K521" s="198">
        <v>609</v>
      </c>
      <c r="L521" s="200">
        <v>0</v>
      </c>
      <c r="M521" s="201"/>
      <c r="N521" s="199">
        <v>2201</v>
      </c>
      <c r="O521" s="202">
        <v>1.6</v>
      </c>
      <c r="P521" s="203">
        <v>1.5</v>
      </c>
      <c r="Q521" s="203">
        <v>0.1</v>
      </c>
      <c r="R521" s="204">
        <v>3.1</v>
      </c>
      <c r="S521" s="203">
        <v>3.1</v>
      </c>
      <c r="T521" s="203" t="s">
        <v>84</v>
      </c>
      <c r="V521" s="198">
        <v>2201</v>
      </c>
      <c r="W521" s="202">
        <v>1.5</v>
      </c>
      <c r="X521" s="203">
        <v>1.5</v>
      </c>
      <c r="Y521" s="203">
        <v>0</v>
      </c>
      <c r="Z521" s="204">
        <v>3.1</v>
      </c>
      <c r="AA521" s="203">
        <v>3.1</v>
      </c>
      <c r="AB521" s="203" t="s">
        <v>84</v>
      </c>
      <c r="AD521" s="198">
        <v>2201</v>
      </c>
      <c r="AE521" s="202">
        <v>-0.10000000000000009</v>
      </c>
      <c r="AF521" s="203" t="s">
        <v>82</v>
      </c>
      <c r="AG521" s="203">
        <v>-0.1</v>
      </c>
      <c r="AH521" s="204" t="s">
        <v>82</v>
      </c>
      <c r="AI521" s="203" t="s">
        <v>82</v>
      </c>
      <c r="AJ521" s="203" t="s">
        <v>82</v>
      </c>
    </row>
    <row customFormat="1" r="522" s="205" spans="1:36" x14ac:dyDescent="0.2">
      <c r="A522" s="193">
        <v>518</v>
      </c>
      <c r="B522" s="215">
        <v>14</v>
      </c>
      <c r="C522" s="195" t="s">
        <v>349</v>
      </c>
      <c r="D522" s="195">
        <v>2</v>
      </c>
      <c r="E522" s="195" t="s">
        <v>350</v>
      </c>
      <c r="F522" s="196">
        <v>44566</v>
      </c>
      <c r="G522" s="197" t="s">
        <v>6</v>
      </c>
      <c r="H522" s="198">
        <v>2202</v>
      </c>
      <c r="I522" s="196" t="s">
        <v>356</v>
      </c>
      <c r="J522" s="199">
        <v>525</v>
      </c>
      <c r="K522" s="198">
        <v>609</v>
      </c>
      <c r="L522" s="200">
        <v>0</v>
      </c>
      <c r="M522" s="201"/>
      <c r="N522" s="199">
        <v>2202</v>
      </c>
      <c r="O522" s="202">
        <v>1.5</v>
      </c>
      <c r="P522" s="203">
        <v>1.4</v>
      </c>
      <c r="Q522" s="203">
        <v>0.1</v>
      </c>
      <c r="R522" s="204">
        <v>2.8</v>
      </c>
      <c r="S522" s="203">
        <v>2.8</v>
      </c>
      <c r="T522" s="203" t="s">
        <v>84</v>
      </c>
      <c r="V522" s="198">
        <v>2202</v>
      </c>
      <c r="W522" s="202">
        <v>1.4</v>
      </c>
      <c r="X522" s="203">
        <v>1.4</v>
      </c>
      <c r="Y522" s="203">
        <v>0</v>
      </c>
      <c r="Z522" s="204">
        <v>2.8</v>
      </c>
      <c r="AA522" s="203">
        <v>2.8</v>
      </c>
      <c r="AB522" s="203" t="s">
        <v>84</v>
      </c>
      <c r="AD522" s="198">
        <v>2202</v>
      </c>
      <c r="AE522" s="202">
        <v>-0.10000000000000009</v>
      </c>
      <c r="AF522" s="203" t="s">
        <v>82</v>
      </c>
      <c r="AG522" s="203">
        <v>-0.1</v>
      </c>
      <c r="AH522" s="204" t="s">
        <v>82</v>
      </c>
      <c r="AI522" s="203" t="s">
        <v>82</v>
      </c>
      <c r="AJ522" s="203" t="s">
        <v>82</v>
      </c>
    </row>
    <row customFormat="1" r="523" s="205" spans="1:36" x14ac:dyDescent="0.2">
      <c r="A523" s="193">
        <v>519</v>
      </c>
      <c r="B523" s="215">
        <v>14</v>
      </c>
      <c r="C523" s="195" t="s">
        <v>349</v>
      </c>
      <c r="D523" s="195">
        <v>2</v>
      </c>
      <c r="E523" s="195" t="s">
        <v>350</v>
      </c>
      <c r="F523" s="196">
        <v>44573</v>
      </c>
      <c r="G523" s="197" t="s">
        <v>6</v>
      </c>
      <c r="H523" s="198">
        <v>2203</v>
      </c>
      <c r="I523" s="196" t="s">
        <v>356</v>
      </c>
      <c r="J523" s="199">
        <v>525</v>
      </c>
      <c r="K523" s="198">
        <v>609</v>
      </c>
      <c r="L523" s="200">
        <v>0</v>
      </c>
      <c r="M523" s="201"/>
      <c r="N523" s="199">
        <v>2203</v>
      </c>
      <c r="O523" s="202">
        <v>1.6</v>
      </c>
      <c r="P523" s="203">
        <v>1.5</v>
      </c>
      <c r="Q523" s="203">
        <v>0.1</v>
      </c>
      <c r="R523" s="204">
        <v>2.7</v>
      </c>
      <c r="S523" s="203">
        <v>2.7</v>
      </c>
      <c r="T523" s="203" t="s">
        <v>84</v>
      </c>
      <c r="V523" s="198">
        <v>2203</v>
      </c>
      <c r="W523" s="202">
        <v>1.5</v>
      </c>
      <c r="X523" s="203">
        <v>1.5</v>
      </c>
      <c r="Y523" s="203">
        <v>0</v>
      </c>
      <c r="Z523" s="204">
        <v>2.7</v>
      </c>
      <c r="AA523" s="203">
        <v>2.7</v>
      </c>
      <c r="AB523" s="203" t="s">
        <v>84</v>
      </c>
      <c r="AD523" s="198">
        <v>2203</v>
      </c>
      <c r="AE523" s="202">
        <v>-0.10000000000000009</v>
      </c>
      <c r="AF523" s="203" t="s">
        <v>82</v>
      </c>
      <c r="AG523" s="203">
        <v>-0.1</v>
      </c>
      <c r="AH523" s="204" t="s">
        <v>82</v>
      </c>
      <c r="AI523" s="203" t="s">
        <v>82</v>
      </c>
      <c r="AJ523" s="203" t="s">
        <v>82</v>
      </c>
    </row>
    <row customFormat="1" r="524" s="205" spans="1:36" x14ac:dyDescent="0.2">
      <c r="A524" s="193">
        <v>520</v>
      </c>
      <c r="B524" s="215">
        <v>14</v>
      </c>
      <c r="C524" s="195" t="s">
        <v>349</v>
      </c>
      <c r="D524" s="195">
        <v>2</v>
      </c>
      <c r="E524" s="195" t="s">
        <v>350</v>
      </c>
      <c r="F524" s="196">
        <v>44580</v>
      </c>
      <c r="G524" s="197" t="s">
        <v>6</v>
      </c>
      <c r="H524" s="198">
        <v>2204</v>
      </c>
      <c r="I524" s="196" t="s">
        <v>356</v>
      </c>
      <c r="J524" s="199">
        <v>525</v>
      </c>
      <c r="K524" s="198">
        <v>609</v>
      </c>
      <c r="L524" s="200">
        <v>0</v>
      </c>
      <c r="M524" s="201"/>
      <c r="N524" s="199">
        <v>2204</v>
      </c>
      <c r="O524" s="202">
        <v>1.7</v>
      </c>
      <c r="P524" s="203">
        <v>1.6</v>
      </c>
      <c r="Q524" s="203">
        <v>0.1</v>
      </c>
      <c r="R524" s="204">
        <v>2.7</v>
      </c>
      <c r="S524" s="203">
        <v>2.7</v>
      </c>
      <c r="T524" s="203" t="s">
        <v>84</v>
      </c>
      <c r="V524" s="198">
        <v>2204</v>
      </c>
      <c r="W524" s="202">
        <v>1.6</v>
      </c>
      <c r="X524" s="203">
        <v>1.6</v>
      </c>
      <c r="Y524" s="203">
        <v>0</v>
      </c>
      <c r="Z524" s="204">
        <v>2.7</v>
      </c>
      <c r="AA524" s="203">
        <v>2.7</v>
      </c>
      <c r="AB524" s="203" t="s">
        <v>84</v>
      </c>
      <c r="AD524" s="198">
        <v>2204</v>
      </c>
      <c r="AE524" s="202">
        <v>-9.9999999999999867E-2</v>
      </c>
      <c r="AF524" s="203" t="s">
        <v>82</v>
      </c>
      <c r="AG524" s="203">
        <v>-0.1</v>
      </c>
      <c r="AH524" s="204" t="s">
        <v>82</v>
      </c>
      <c r="AI524" s="203" t="s">
        <v>82</v>
      </c>
      <c r="AJ524" s="203" t="s">
        <v>82</v>
      </c>
    </row>
    <row customFormat="1" r="525" s="205" spans="1:36" x14ac:dyDescent="0.2">
      <c r="A525" s="193">
        <v>521</v>
      </c>
      <c r="B525" s="215">
        <v>14</v>
      </c>
      <c r="C525" s="195" t="s">
        <v>349</v>
      </c>
      <c r="D525" s="195">
        <v>2</v>
      </c>
      <c r="E525" s="195" t="s">
        <v>350</v>
      </c>
      <c r="F525" s="196">
        <v>44597</v>
      </c>
      <c r="G525" s="197" t="s">
        <v>9</v>
      </c>
      <c r="H525" s="198">
        <v>2206</v>
      </c>
      <c r="I525" s="196" t="s">
        <v>281</v>
      </c>
      <c r="J525" s="199">
        <v>1900</v>
      </c>
      <c r="K525" s="198">
        <v>1959</v>
      </c>
      <c r="L525" s="200">
        <v>0</v>
      </c>
      <c r="M525" s="201"/>
      <c r="N525" s="199">
        <v>2206</v>
      </c>
      <c r="O525" s="202">
        <v>6.6</v>
      </c>
      <c r="P525" s="203">
        <v>6</v>
      </c>
      <c r="Q525" s="203">
        <v>0.6</v>
      </c>
      <c r="R525" s="204">
        <v>7.1</v>
      </c>
      <c r="S525" s="203">
        <v>7.1</v>
      </c>
      <c r="T525" s="203" t="s">
        <v>84</v>
      </c>
      <c r="V525" s="198">
        <v>2206</v>
      </c>
      <c r="W525" s="202">
        <v>6.3</v>
      </c>
      <c r="X525" s="203">
        <v>6</v>
      </c>
      <c r="Y525" s="203">
        <v>0.3</v>
      </c>
      <c r="Z525" s="204">
        <v>7.1</v>
      </c>
      <c r="AA525" s="203">
        <v>7.1</v>
      </c>
      <c r="AB525" s="203" t="s">
        <v>84</v>
      </c>
      <c r="AD525" s="198">
        <v>2206</v>
      </c>
      <c r="AE525" s="202">
        <v>-0.29999999999999982</v>
      </c>
      <c r="AF525" s="203" t="s">
        <v>82</v>
      </c>
      <c r="AG525" s="203">
        <v>-0.3</v>
      </c>
      <c r="AH525" s="204" t="s">
        <v>82</v>
      </c>
      <c r="AI525" s="203" t="s">
        <v>82</v>
      </c>
      <c r="AJ525" s="203" t="s">
        <v>82</v>
      </c>
    </row>
    <row customFormat="1" r="526" s="205" spans="1:36" x14ac:dyDescent="0.2">
      <c r="A526" s="193">
        <v>522</v>
      </c>
      <c r="B526" s="215">
        <v>14</v>
      </c>
      <c r="C526" s="195" t="s">
        <v>349</v>
      </c>
      <c r="D526" s="195">
        <v>2</v>
      </c>
      <c r="E526" s="195" t="s">
        <v>350</v>
      </c>
      <c r="F526" s="196">
        <v>44604</v>
      </c>
      <c r="G526" s="197" t="s">
        <v>9</v>
      </c>
      <c r="H526" s="198">
        <v>2207</v>
      </c>
      <c r="I526" s="196" t="s">
        <v>357</v>
      </c>
      <c r="J526" s="199">
        <v>1900</v>
      </c>
      <c r="K526" s="198">
        <v>1949</v>
      </c>
      <c r="L526" s="200">
        <v>0</v>
      </c>
      <c r="M526" s="201"/>
      <c r="N526" s="199">
        <v>2207</v>
      </c>
      <c r="O526" s="202">
        <v>7.1</v>
      </c>
      <c r="P526" s="203">
        <v>6.5</v>
      </c>
      <c r="Q526" s="203">
        <v>0.6</v>
      </c>
      <c r="R526" s="204">
        <v>8.1</v>
      </c>
      <c r="S526" s="203">
        <v>7.6</v>
      </c>
      <c r="T526" s="203">
        <v>0.5</v>
      </c>
      <c r="V526" s="198">
        <v>2207</v>
      </c>
      <c r="W526" s="202">
        <v>6.7</v>
      </c>
      <c r="X526" s="203">
        <v>6.5</v>
      </c>
      <c r="Y526" s="203">
        <v>0.2</v>
      </c>
      <c r="Z526" s="204">
        <v>8.1</v>
      </c>
      <c r="AA526" s="203">
        <v>7.6</v>
      </c>
      <c r="AB526" s="203">
        <v>0.5</v>
      </c>
      <c r="AD526" s="198">
        <v>2207</v>
      </c>
      <c r="AE526" s="202">
        <v>-0.39999999999999947</v>
      </c>
      <c r="AF526" s="203" t="s">
        <v>82</v>
      </c>
      <c r="AG526" s="203">
        <v>-0.39999999999999997</v>
      </c>
      <c r="AH526" s="204" t="s">
        <v>82</v>
      </c>
      <c r="AI526" s="203" t="s">
        <v>82</v>
      </c>
      <c r="AJ526" s="203" t="s">
        <v>82</v>
      </c>
    </row>
    <row customFormat="1" r="527" s="205" spans="1:36" x14ac:dyDescent="0.2">
      <c r="A527" s="193">
        <v>523</v>
      </c>
      <c r="B527" s="215">
        <v>14</v>
      </c>
      <c r="C527" s="195" t="s">
        <v>349</v>
      </c>
      <c r="D527" s="195">
        <v>2</v>
      </c>
      <c r="E527" s="195" t="s">
        <v>350</v>
      </c>
      <c r="F527" s="196">
        <v>44611</v>
      </c>
      <c r="G527" s="197" t="s">
        <v>9</v>
      </c>
      <c r="H527" s="198">
        <v>2208</v>
      </c>
      <c r="I527" s="196" t="s">
        <v>281</v>
      </c>
      <c r="J527" s="199">
        <v>1900</v>
      </c>
      <c r="K527" s="198">
        <v>1959</v>
      </c>
      <c r="L527" s="200">
        <v>0</v>
      </c>
      <c r="M527" s="201"/>
      <c r="N527" s="199">
        <v>2208</v>
      </c>
      <c r="O527" s="202">
        <v>7.3</v>
      </c>
      <c r="P527" s="203">
        <v>6.9</v>
      </c>
      <c r="Q527" s="203">
        <v>0.4</v>
      </c>
      <c r="R527" s="204">
        <v>7.5</v>
      </c>
      <c r="S527" s="203">
        <v>7.5</v>
      </c>
      <c r="T527" s="203" t="s">
        <v>84</v>
      </c>
      <c r="V527" s="198">
        <v>2208</v>
      </c>
      <c r="W527" s="202">
        <v>7</v>
      </c>
      <c r="X527" s="203">
        <v>6.9</v>
      </c>
      <c r="Y527" s="203">
        <v>0.1</v>
      </c>
      <c r="Z527" s="204">
        <v>7.5</v>
      </c>
      <c r="AA527" s="203">
        <v>7.5</v>
      </c>
      <c r="AB527" s="203" t="s">
        <v>84</v>
      </c>
      <c r="AD527" s="198">
        <v>2208</v>
      </c>
      <c r="AE527" s="202">
        <v>-0.29999999999999982</v>
      </c>
      <c r="AF527" s="203" t="s">
        <v>82</v>
      </c>
      <c r="AG527" s="203">
        <v>-0.30000000000000004</v>
      </c>
      <c r="AH527" s="204" t="s">
        <v>82</v>
      </c>
      <c r="AI527" s="203" t="s">
        <v>82</v>
      </c>
      <c r="AJ527" s="203" t="s">
        <v>82</v>
      </c>
    </row>
    <row customFormat="1" r="528" s="205" spans="1:36" x14ac:dyDescent="0.2">
      <c r="A528" s="193">
        <v>524</v>
      </c>
      <c r="B528" s="215">
        <v>14</v>
      </c>
      <c r="C528" s="195" t="s">
        <v>349</v>
      </c>
      <c r="D528" s="195">
        <v>2</v>
      </c>
      <c r="E528" s="195" t="s">
        <v>350</v>
      </c>
      <c r="F528" s="196">
        <v>44618</v>
      </c>
      <c r="G528" s="197" t="s">
        <v>9</v>
      </c>
      <c r="H528" s="198">
        <v>2209</v>
      </c>
      <c r="I528" s="196" t="s">
        <v>224</v>
      </c>
      <c r="J528" s="199">
        <v>1900</v>
      </c>
      <c r="K528" s="198">
        <v>2309</v>
      </c>
      <c r="L528" s="200">
        <v>0</v>
      </c>
      <c r="M528" s="201"/>
      <c r="N528" s="199">
        <v>2209</v>
      </c>
      <c r="O528" s="202">
        <v>8</v>
      </c>
      <c r="P528" s="203">
        <v>7.4</v>
      </c>
      <c r="Q528" s="203">
        <v>0.6</v>
      </c>
      <c r="R528" s="204">
        <v>6.1</v>
      </c>
      <c r="S528" s="203">
        <v>5.4</v>
      </c>
      <c r="T528" s="203">
        <v>0.7</v>
      </c>
      <c r="V528" s="198">
        <v>2209</v>
      </c>
      <c r="W528" s="202">
        <v>7.9</v>
      </c>
      <c r="X528" s="203">
        <v>7.4</v>
      </c>
      <c r="Y528" s="203">
        <v>0.5</v>
      </c>
      <c r="Z528" s="204">
        <v>6.1</v>
      </c>
      <c r="AA528" s="203">
        <v>5.4</v>
      </c>
      <c r="AB528" s="203">
        <v>0.7</v>
      </c>
      <c r="AD528" s="198">
        <v>2209</v>
      </c>
      <c r="AE528" s="202">
        <v>-9.9999999999999645E-2</v>
      </c>
      <c r="AF528" s="203" t="s">
        <v>82</v>
      </c>
      <c r="AG528" s="203">
        <v>-9.9999999999999978E-2</v>
      </c>
      <c r="AH528" s="204"/>
      <c r="AI528" s="203" t="s">
        <v>82</v>
      </c>
      <c r="AJ528" s="203" t="s">
        <v>82</v>
      </c>
    </row>
    <row customFormat="1" r="529" s="205" spans="1:36" x14ac:dyDescent="0.2">
      <c r="A529" s="193">
        <v>525</v>
      </c>
      <c r="B529" s="215">
        <v>14</v>
      </c>
      <c r="C529" s="195" t="s">
        <v>349</v>
      </c>
      <c r="D529" s="195">
        <v>3</v>
      </c>
      <c r="E529" s="195" t="s">
        <v>358</v>
      </c>
      <c r="F529" s="196">
        <v>44226</v>
      </c>
      <c r="G529" s="197" t="s">
        <v>9</v>
      </c>
      <c r="H529" s="198">
        <v>2105</v>
      </c>
      <c r="I529" s="196" t="s">
        <v>359</v>
      </c>
      <c r="J529" s="199">
        <v>2054</v>
      </c>
      <c r="K529" s="198">
        <v>2154</v>
      </c>
      <c r="L529" s="200">
        <v>0</v>
      </c>
      <c r="M529" s="201"/>
      <c r="N529" s="199">
        <v>2105</v>
      </c>
      <c r="O529" s="202">
        <v>7.2</v>
      </c>
      <c r="P529" s="203">
        <v>6.9</v>
      </c>
      <c r="Q529" s="203">
        <v>0.3</v>
      </c>
      <c r="R529" s="204">
        <v>5</v>
      </c>
      <c r="S529" s="203">
        <v>5</v>
      </c>
      <c r="T529" s="203">
        <v>0</v>
      </c>
      <c r="V529" s="198">
        <v>2105</v>
      </c>
      <c r="W529" s="202">
        <v>7.1</v>
      </c>
      <c r="X529" s="203">
        <v>6.9</v>
      </c>
      <c r="Y529" s="203">
        <v>0.2</v>
      </c>
      <c r="Z529" s="204">
        <v>5</v>
      </c>
      <c r="AA529" s="203">
        <v>5</v>
      </c>
      <c r="AB529" s="203">
        <v>0</v>
      </c>
      <c r="AD529" s="198">
        <v>2105</v>
      </c>
      <c r="AE529" s="202">
        <v>-0.10000000000000053</v>
      </c>
      <c r="AF529" s="203" t="s">
        <v>82</v>
      </c>
      <c r="AG529" s="203">
        <v>-9.9999999999999978E-2</v>
      </c>
      <c r="AH529" s="204" t="s">
        <v>82</v>
      </c>
      <c r="AI529" s="203" t="s">
        <v>82</v>
      </c>
      <c r="AJ529" s="203" t="s">
        <v>82</v>
      </c>
    </row>
    <row customFormat="1" r="530" s="205" spans="1:36" x14ac:dyDescent="0.2">
      <c r="A530" s="193">
        <v>526</v>
      </c>
      <c r="B530" s="215">
        <v>14</v>
      </c>
      <c r="C530" s="195" t="s">
        <v>349</v>
      </c>
      <c r="D530" s="195">
        <v>3</v>
      </c>
      <c r="E530" s="195" t="s">
        <v>358</v>
      </c>
      <c r="F530" s="196">
        <v>44233</v>
      </c>
      <c r="G530" s="197" t="s">
        <v>9</v>
      </c>
      <c r="H530" s="198">
        <v>2106</v>
      </c>
      <c r="I530" s="196" t="s">
        <v>359</v>
      </c>
      <c r="J530" s="199">
        <v>2054</v>
      </c>
      <c r="K530" s="198">
        <v>2154</v>
      </c>
      <c r="L530" s="200">
        <v>0</v>
      </c>
      <c r="M530" s="201"/>
      <c r="N530" s="199">
        <v>2106</v>
      </c>
      <c r="O530" s="202">
        <v>6.7</v>
      </c>
      <c r="P530" s="203">
        <v>6.5</v>
      </c>
      <c r="Q530" s="203">
        <v>0.2</v>
      </c>
      <c r="R530" s="204">
        <v>4.7</v>
      </c>
      <c r="S530" s="203">
        <v>4.5999999999999996</v>
      </c>
      <c r="T530" s="203">
        <v>0.1</v>
      </c>
      <c r="V530" s="198">
        <v>2106</v>
      </c>
      <c r="W530" s="202">
        <v>6.6</v>
      </c>
      <c r="X530" s="203">
        <v>6.5</v>
      </c>
      <c r="Y530" s="203">
        <v>0.1</v>
      </c>
      <c r="Z530" s="204">
        <v>4.7</v>
      </c>
      <c r="AA530" s="203">
        <v>4.5999999999999996</v>
      </c>
      <c r="AB530" s="203">
        <v>0.1</v>
      </c>
      <c r="AD530" s="198">
        <v>2106</v>
      </c>
      <c r="AE530" s="202">
        <v>-0.10000000000000053</v>
      </c>
      <c r="AF530" s="203" t="s">
        <v>82</v>
      </c>
      <c r="AG530" s="203">
        <v>-0.1</v>
      </c>
      <c r="AH530" s="204"/>
      <c r="AI530" s="203" t="s">
        <v>82</v>
      </c>
      <c r="AJ530" s="203" t="s">
        <v>82</v>
      </c>
    </row>
    <row customFormat="1" r="531" s="205" spans="1:36" x14ac:dyDescent="0.2">
      <c r="A531" s="193">
        <v>527</v>
      </c>
      <c r="B531" s="215">
        <v>14</v>
      </c>
      <c r="C531" s="195" t="s">
        <v>349</v>
      </c>
      <c r="D531" s="195">
        <v>3</v>
      </c>
      <c r="E531" s="195" t="s">
        <v>358</v>
      </c>
      <c r="F531" s="196">
        <v>44240</v>
      </c>
      <c r="G531" s="197" t="s">
        <v>9</v>
      </c>
      <c r="H531" s="198">
        <v>2107</v>
      </c>
      <c r="I531" s="196" t="s">
        <v>359</v>
      </c>
      <c r="J531" s="199">
        <v>2054</v>
      </c>
      <c r="K531" s="198">
        <v>2154</v>
      </c>
      <c r="L531" s="200">
        <v>0</v>
      </c>
      <c r="M531" s="201"/>
      <c r="N531" s="199">
        <v>2107</v>
      </c>
      <c r="O531" s="202">
        <v>6.3</v>
      </c>
      <c r="P531" s="203">
        <v>6.1</v>
      </c>
      <c r="Q531" s="203">
        <v>0.2</v>
      </c>
      <c r="R531" s="204">
        <v>4.4000000000000004</v>
      </c>
      <c r="S531" s="203">
        <v>4.3</v>
      </c>
      <c r="T531" s="203">
        <v>0.1</v>
      </c>
      <c r="V531" s="198">
        <v>2107</v>
      </c>
      <c r="W531" s="202">
        <v>6.2</v>
      </c>
      <c r="X531" s="203">
        <v>6.1</v>
      </c>
      <c r="Y531" s="203">
        <v>0.1</v>
      </c>
      <c r="Z531" s="204">
        <v>4.4000000000000004</v>
      </c>
      <c r="AA531" s="203">
        <v>4.3</v>
      </c>
      <c r="AB531" s="203">
        <v>0.1</v>
      </c>
      <c r="AD531" s="198">
        <v>2107</v>
      </c>
      <c r="AE531" s="202">
        <v>-9.9999999999999645E-2</v>
      </c>
      <c r="AF531" s="203" t="s">
        <v>82</v>
      </c>
      <c r="AG531" s="203">
        <v>-0.1</v>
      </c>
      <c r="AH531" s="204"/>
      <c r="AI531" s="203" t="s">
        <v>82</v>
      </c>
      <c r="AJ531" s="203" t="s">
        <v>82</v>
      </c>
    </row>
    <row customFormat="1" r="532" s="205" spans="1:36" x14ac:dyDescent="0.2">
      <c r="A532" s="193">
        <v>528</v>
      </c>
      <c r="B532" s="215">
        <v>14</v>
      </c>
      <c r="C532" s="195" t="s">
        <v>349</v>
      </c>
      <c r="D532" s="195">
        <v>3</v>
      </c>
      <c r="E532" s="195" t="s">
        <v>358</v>
      </c>
      <c r="F532" s="196">
        <v>44247</v>
      </c>
      <c r="G532" s="197" t="s">
        <v>9</v>
      </c>
      <c r="H532" s="198">
        <v>2108</v>
      </c>
      <c r="I532" s="196" t="s">
        <v>359</v>
      </c>
      <c r="J532" s="199">
        <v>2054</v>
      </c>
      <c r="K532" s="198">
        <v>2154</v>
      </c>
      <c r="L532" s="200">
        <v>0</v>
      </c>
      <c r="M532" s="201"/>
      <c r="N532" s="199">
        <v>2108</v>
      </c>
      <c r="O532" s="202">
        <v>6.2</v>
      </c>
      <c r="P532" s="203">
        <v>6.1</v>
      </c>
      <c r="Q532" s="203">
        <v>0.1</v>
      </c>
      <c r="R532" s="204">
        <v>4</v>
      </c>
      <c r="S532" s="203">
        <v>3.9</v>
      </c>
      <c r="T532" s="203">
        <v>0.1</v>
      </c>
      <c r="V532" s="198">
        <v>2108</v>
      </c>
      <c r="W532" s="202">
        <v>6.2</v>
      </c>
      <c r="X532" s="203">
        <v>6.1</v>
      </c>
      <c r="Y532" s="203">
        <v>0.1</v>
      </c>
      <c r="Z532" s="204">
        <v>4</v>
      </c>
      <c r="AA532" s="203">
        <v>3.9</v>
      </c>
      <c r="AB532" s="203">
        <v>0.1</v>
      </c>
      <c r="AD532" s="198">
        <v>2108</v>
      </c>
      <c r="AE532" s="202"/>
      <c r="AF532" s="203" t="s">
        <v>82</v>
      </c>
      <c r="AG532" s="203" t="s">
        <v>82</v>
      </c>
      <c r="AH532" s="204" t="s">
        <v>82</v>
      </c>
      <c r="AI532" s="203" t="s">
        <v>82</v>
      </c>
      <c r="AJ532" s="203" t="s">
        <v>82</v>
      </c>
    </row>
    <row customFormat="1" r="533" s="205" spans="1:36" x14ac:dyDescent="0.2">
      <c r="A533" s="193">
        <v>529</v>
      </c>
      <c r="B533" s="215">
        <v>14</v>
      </c>
      <c r="C533" s="195" t="s">
        <v>349</v>
      </c>
      <c r="D533" s="195">
        <v>3</v>
      </c>
      <c r="E533" s="195" t="s">
        <v>358</v>
      </c>
      <c r="F533" s="196">
        <v>44327</v>
      </c>
      <c r="G533" s="197" t="s">
        <v>5</v>
      </c>
      <c r="H533" s="198">
        <v>2120</v>
      </c>
      <c r="I533" s="196" t="s">
        <v>360</v>
      </c>
      <c r="J533" s="199">
        <v>1330</v>
      </c>
      <c r="K533" s="198">
        <v>1344</v>
      </c>
      <c r="L533" s="200">
        <v>1</v>
      </c>
      <c r="M533" s="201"/>
      <c r="N533" s="199">
        <v>2120</v>
      </c>
      <c r="O533" s="202">
        <v>2.4</v>
      </c>
      <c r="P533" s="203">
        <v>1.7</v>
      </c>
      <c r="Q533" s="203">
        <v>0.7</v>
      </c>
      <c r="R533" s="204">
        <v>4</v>
      </c>
      <c r="S533" s="203">
        <v>1.1000000000000001</v>
      </c>
      <c r="T533" s="203">
        <v>2.9</v>
      </c>
      <c r="V533" s="198">
        <v>2120</v>
      </c>
      <c r="W533" s="202">
        <v>1.7</v>
      </c>
      <c r="X533" s="203">
        <v>1.7</v>
      </c>
      <c r="Y533" s="203">
        <v>0</v>
      </c>
      <c r="Z533" s="204">
        <v>1.1000000000000001</v>
      </c>
      <c r="AA533" s="203">
        <v>1.1000000000000001</v>
      </c>
      <c r="AB533" s="203">
        <v>0</v>
      </c>
      <c r="AD533" s="198">
        <v>2120</v>
      </c>
      <c r="AE533" s="202">
        <v>-0.7</v>
      </c>
      <c r="AF533" s="203" t="s">
        <v>82</v>
      </c>
      <c r="AG533" s="203">
        <v>-0.7</v>
      </c>
      <c r="AH533" s="204">
        <v>-2.9</v>
      </c>
      <c r="AI533" s="203" t="s">
        <v>82</v>
      </c>
      <c r="AJ533" s="203">
        <v>-2.9</v>
      </c>
    </row>
    <row customFormat="1" r="534" s="205" spans="1:36" x14ac:dyDescent="0.2">
      <c r="A534" s="193">
        <v>530</v>
      </c>
      <c r="B534" s="215">
        <v>14</v>
      </c>
      <c r="C534" s="195" t="s">
        <v>349</v>
      </c>
      <c r="D534" s="195">
        <v>3</v>
      </c>
      <c r="E534" s="195" t="s">
        <v>358</v>
      </c>
      <c r="F534" s="196">
        <v>44331</v>
      </c>
      <c r="G534" s="197" t="s">
        <v>9</v>
      </c>
      <c r="H534" s="198">
        <v>2120</v>
      </c>
      <c r="I534" s="196" t="s">
        <v>361</v>
      </c>
      <c r="J534" s="199">
        <v>1200</v>
      </c>
      <c r="K534" s="198">
        <v>1429</v>
      </c>
      <c r="L534" s="200">
        <v>0</v>
      </c>
      <c r="M534" s="201"/>
      <c r="N534" s="199">
        <v>2120</v>
      </c>
      <c r="O534" s="202">
        <v>4.2</v>
      </c>
      <c r="P534" s="203">
        <v>4.0999999999999996</v>
      </c>
      <c r="Q534" s="203">
        <v>0.1</v>
      </c>
      <c r="R534" s="204">
        <v>3.7</v>
      </c>
      <c r="S534" s="203">
        <v>3.7</v>
      </c>
      <c r="T534" s="203">
        <v>0</v>
      </c>
      <c r="V534" s="198">
        <v>2120</v>
      </c>
      <c r="W534" s="202">
        <v>4.2</v>
      </c>
      <c r="X534" s="203">
        <v>4.0999999999999996</v>
      </c>
      <c r="Y534" s="203">
        <v>0.1</v>
      </c>
      <c r="Z534" s="204">
        <v>3.7</v>
      </c>
      <c r="AA534" s="203">
        <v>3.7</v>
      </c>
      <c r="AB534" s="203">
        <v>0</v>
      </c>
      <c r="AD534" s="198">
        <v>2120</v>
      </c>
      <c r="AE534" s="202"/>
      <c r="AF534" s="203" t="s">
        <v>82</v>
      </c>
      <c r="AG534" s="203" t="s">
        <v>82</v>
      </c>
      <c r="AH534" s="204" t="s">
        <v>82</v>
      </c>
      <c r="AI534" s="203" t="s">
        <v>82</v>
      </c>
      <c r="AJ534" s="203" t="s">
        <v>82</v>
      </c>
    </row>
    <row customFormat="1" r="535" s="205" spans="1:36" x14ac:dyDescent="0.2">
      <c r="A535" s="193">
        <v>531</v>
      </c>
      <c r="B535" s="215">
        <v>14</v>
      </c>
      <c r="C535" s="195" t="s">
        <v>349</v>
      </c>
      <c r="D535" s="195">
        <v>3</v>
      </c>
      <c r="E535" s="195" t="s">
        <v>358</v>
      </c>
      <c r="F535" s="196">
        <v>44334</v>
      </c>
      <c r="G535" s="197" t="s">
        <v>5</v>
      </c>
      <c r="H535" s="198">
        <v>2121</v>
      </c>
      <c r="I535" s="196" t="s">
        <v>360</v>
      </c>
      <c r="J535" s="199">
        <v>1330</v>
      </c>
      <c r="K535" s="198">
        <v>1344</v>
      </c>
      <c r="L535" s="200">
        <v>1</v>
      </c>
      <c r="M535" s="201"/>
      <c r="N535" s="199">
        <v>2121</v>
      </c>
      <c r="O535" s="202">
        <v>2.2000000000000002</v>
      </c>
      <c r="P535" s="203">
        <v>1.6</v>
      </c>
      <c r="Q535" s="203">
        <v>0.6</v>
      </c>
      <c r="R535" s="204">
        <v>4.0999999999999996</v>
      </c>
      <c r="S535" s="203">
        <v>1.2</v>
      </c>
      <c r="T535" s="203">
        <v>2.9</v>
      </c>
      <c r="V535" s="198">
        <v>2121</v>
      </c>
      <c r="W535" s="202">
        <v>1.6</v>
      </c>
      <c r="X535" s="203">
        <v>1.6</v>
      </c>
      <c r="Y535" s="203">
        <v>0</v>
      </c>
      <c r="Z535" s="204">
        <v>1.2</v>
      </c>
      <c r="AA535" s="203">
        <v>1.2</v>
      </c>
      <c r="AB535" s="203">
        <v>0</v>
      </c>
      <c r="AD535" s="198">
        <v>2121</v>
      </c>
      <c r="AE535" s="202">
        <v>-0.60000000000000009</v>
      </c>
      <c r="AF535" s="203" t="s">
        <v>82</v>
      </c>
      <c r="AG535" s="203">
        <v>-0.6</v>
      </c>
      <c r="AH535" s="204">
        <v>-2.8999999999999995</v>
      </c>
      <c r="AI535" s="203" t="s">
        <v>82</v>
      </c>
      <c r="AJ535" s="203">
        <v>-2.9</v>
      </c>
    </row>
    <row customFormat="1" r="536" s="205" spans="1:36" x14ac:dyDescent="0.2">
      <c r="A536" s="193">
        <v>532</v>
      </c>
      <c r="B536" s="215">
        <v>14</v>
      </c>
      <c r="C536" s="195" t="s">
        <v>349</v>
      </c>
      <c r="D536" s="195">
        <v>3</v>
      </c>
      <c r="E536" s="195" t="s">
        <v>358</v>
      </c>
      <c r="F536" s="196">
        <v>44338</v>
      </c>
      <c r="G536" s="197" t="s">
        <v>9</v>
      </c>
      <c r="H536" s="198">
        <v>2121</v>
      </c>
      <c r="I536" s="196" t="s">
        <v>362</v>
      </c>
      <c r="J536" s="199">
        <v>1200</v>
      </c>
      <c r="K536" s="198">
        <v>1524</v>
      </c>
      <c r="L536" s="200">
        <v>0</v>
      </c>
      <c r="M536" s="201"/>
      <c r="N536" s="199">
        <v>2121</v>
      </c>
      <c r="O536" s="202">
        <v>4</v>
      </c>
      <c r="P536" s="203">
        <v>3.9</v>
      </c>
      <c r="Q536" s="203">
        <v>0.1</v>
      </c>
      <c r="R536" s="204">
        <v>4.0999999999999996</v>
      </c>
      <c r="S536" s="203">
        <v>4.0999999999999996</v>
      </c>
      <c r="T536" s="203">
        <v>0</v>
      </c>
      <c r="V536" s="198">
        <v>2121</v>
      </c>
      <c r="W536" s="202">
        <v>4</v>
      </c>
      <c r="X536" s="203">
        <v>3.9</v>
      </c>
      <c r="Y536" s="203">
        <v>0.1</v>
      </c>
      <c r="Z536" s="204">
        <v>4.0999999999999996</v>
      </c>
      <c r="AA536" s="203">
        <v>4.0999999999999996</v>
      </c>
      <c r="AB536" s="203">
        <v>0</v>
      </c>
      <c r="AD536" s="198">
        <v>2121</v>
      </c>
      <c r="AE536" s="202" t="s">
        <v>82</v>
      </c>
      <c r="AF536" s="203" t="s">
        <v>82</v>
      </c>
      <c r="AG536" s="203" t="s">
        <v>82</v>
      </c>
      <c r="AH536" s="204" t="s">
        <v>82</v>
      </c>
      <c r="AI536" s="203" t="s">
        <v>82</v>
      </c>
      <c r="AJ536" s="203" t="s">
        <v>82</v>
      </c>
    </row>
    <row customFormat="1" r="537" s="205" spans="1:36" x14ac:dyDescent="0.2">
      <c r="A537" s="193">
        <v>533</v>
      </c>
      <c r="B537" s="215">
        <v>14</v>
      </c>
      <c r="C537" s="195" t="s">
        <v>349</v>
      </c>
      <c r="D537" s="195">
        <v>3</v>
      </c>
      <c r="E537" s="195" t="s">
        <v>358</v>
      </c>
      <c r="F537" s="196">
        <v>44341</v>
      </c>
      <c r="G537" s="197" t="s">
        <v>5</v>
      </c>
      <c r="H537" s="198">
        <v>2122</v>
      </c>
      <c r="I537" s="196" t="s">
        <v>360</v>
      </c>
      <c r="J537" s="199">
        <v>1330</v>
      </c>
      <c r="K537" s="198">
        <v>1344</v>
      </c>
      <c r="L537" s="200">
        <v>1</v>
      </c>
      <c r="M537" s="201"/>
      <c r="N537" s="199">
        <v>2122</v>
      </c>
      <c r="O537" s="202">
        <v>2.4</v>
      </c>
      <c r="P537" s="203">
        <v>1.7</v>
      </c>
      <c r="Q537" s="203">
        <v>0.7</v>
      </c>
      <c r="R537" s="204">
        <v>4.0999999999999996</v>
      </c>
      <c r="S537" s="203">
        <v>1.2</v>
      </c>
      <c r="T537" s="203">
        <v>2.9</v>
      </c>
      <c r="V537" s="198">
        <v>2122</v>
      </c>
      <c r="W537" s="202">
        <v>1.7</v>
      </c>
      <c r="X537" s="203">
        <v>1.7</v>
      </c>
      <c r="Y537" s="203">
        <v>0</v>
      </c>
      <c r="Z537" s="204">
        <v>1.2</v>
      </c>
      <c r="AA537" s="203">
        <v>1.2</v>
      </c>
      <c r="AB537" s="203">
        <v>0</v>
      </c>
      <c r="AD537" s="198">
        <v>2122</v>
      </c>
      <c r="AE537" s="202">
        <v>-0.7</v>
      </c>
      <c r="AF537" s="203" t="s">
        <v>82</v>
      </c>
      <c r="AG537" s="203">
        <v>-0.7</v>
      </c>
      <c r="AH537" s="204">
        <v>-2.8999999999999995</v>
      </c>
      <c r="AI537" s="203" t="s">
        <v>82</v>
      </c>
      <c r="AJ537" s="203">
        <v>-2.9</v>
      </c>
    </row>
    <row customFormat="1" r="538" s="205" spans="1:36" x14ac:dyDescent="0.2">
      <c r="A538" s="193">
        <v>534</v>
      </c>
      <c r="B538" s="215">
        <v>14</v>
      </c>
      <c r="C538" s="195" t="s">
        <v>349</v>
      </c>
      <c r="D538" s="195">
        <v>3</v>
      </c>
      <c r="E538" s="195" t="s">
        <v>358</v>
      </c>
      <c r="F538" s="196">
        <v>44345</v>
      </c>
      <c r="G538" s="197" t="s">
        <v>9</v>
      </c>
      <c r="H538" s="198">
        <v>2122</v>
      </c>
      <c r="I538" s="196" t="s">
        <v>361</v>
      </c>
      <c r="J538" s="199">
        <v>1200</v>
      </c>
      <c r="K538" s="198">
        <v>1429</v>
      </c>
      <c r="L538" s="200">
        <v>0</v>
      </c>
      <c r="M538" s="201"/>
      <c r="N538" s="199">
        <v>2122</v>
      </c>
      <c r="O538" s="202">
        <v>4.3</v>
      </c>
      <c r="P538" s="203">
        <v>4.0999999999999996</v>
      </c>
      <c r="Q538" s="203">
        <v>0.2</v>
      </c>
      <c r="R538" s="204">
        <v>4.5</v>
      </c>
      <c r="S538" s="203">
        <v>4.5</v>
      </c>
      <c r="T538" s="203">
        <v>0</v>
      </c>
      <c r="V538" s="198">
        <v>2122</v>
      </c>
      <c r="W538" s="202">
        <v>4.2</v>
      </c>
      <c r="X538" s="203">
        <v>4.0999999999999996</v>
      </c>
      <c r="Y538" s="203">
        <v>0.1</v>
      </c>
      <c r="Z538" s="204">
        <v>4.5</v>
      </c>
      <c r="AA538" s="203">
        <v>4.5</v>
      </c>
      <c r="AB538" s="203">
        <v>0</v>
      </c>
      <c r="AD538" s="198">
        <v>2122</v>
      </c>
      <c r="AE538" s="202">
        <v>-9.9999999999999645E-2</v>
      </c>
      <c r="AF538" s="203" t="s">
        <v>82</v>
      </c>
      <c r="AG538" s="203">
        <v>-0.1</v>
      </c>
      <c r="AH538" s="204" t="s">
        <v>82</v>
      </c>
      <c r="AI538" s="203" t="s">
        <v>82</v>
      </c>
      <c r="AJ538" s="203" t="s">
        <v>82</v>
      </c>
    </row>
    <row customFormat="1" r="539" s="205" spans="1:36" x14ac:dyDescent="0.2">
      <c r="A539" s="193">
        <v>535</v>
      </c>
      <c r="B539" s="215">
        <v>14</v>
      </c>
      <c r="C539" s="195" t="s">
        <v>349</v>
      </c>
      <c r="D539" s="195">
        <v>3</v>
      </c>
      <c r="E539" s="195" t="s">
        <v>358</v>
      </c>
      <c r="F539" s="196">
        <v>44348</v>
      </c>
      <c r="G539" s="197" t="s">
        <v>5</v>
      </c>
      <c r="H539" s="198">
        <v>2123</v>
      </c>
      <c r="I539" s="196" t="s">
        <v>360</v>
      </c>
      <c r="J539" s="199">
        <v>1330</v>
      </c>
      <c r="K539" s="198">
        <v>1344</v>
      </c>
      <c r="L539" s="200">
        <v>1</v>
      </c>
      <c r="M539" s="201"/>
      <c r="N539" s="199">
        <v>2123</v>
      </c>
      <c r="O539" s="202">
        <v>2.8</v>
      </c>
      <c r="P539" s="203">
        <v>2.1</v>
      </c>
      <c r="Q539" s="203">
        <v>0.7</v>
      </c>
      <c r="R539" s="204">
        <v>4.7</v>
      </c>
      <c r="S539" s="203">
        <v>1.8</v>
      </c>
      <c r="T539" s="203">
        <v>2.9</v>
      </c>
      <c r="V539" s="198">
        <v>2123</v>
      </c>
      <c r="W539" s="202">
        <v>2.1</v>
      </c>
      <c r="X539" s="203">
        <v>2.1</v>
      </c>
      <c r="Y539" s="203">
        <v>0</v>
      </c>
      <c r="Z539" s="204">
        <v>1.8</v>
      </c>
      <c r="AA539" s="203">
        <v>1.8</v>
      </c>
      <c r="AB539" s="203">
        <v>0</v>
      </c>
      <c r="AD539" s="198">
        <v>2123</v>
      </c>
      <c r="AE539" s="202">
        <v>-0.69999999999999973</v>
      </c>
      <c r="AF539" s="203" t="s">
        <v>82</v>
      </c>
      <c r="AG539" s="203">
        <v>-0.7</v>
      </c>
      <c r="AH539" s="204">
        <v>-2.9000000000000004</v>
      </c>
      <c r="AI539" s="203" t="s">
        <v>82</v>
      </c>
      <c r="AJ539" s="203">
        <v>-2.9</v>
      </c>
    </row>
    <row customFormat="1" r="540" s="205" spans="1:36" x14ac:dyDescent="0.2">
      <c r="A540" s="193">
        <v>536</v>
      </c>
      <c r="B540" s="215">
        <v>14</v>
      </c>
      <c r="C540" s="195" t="s">
        <v>349</v>
      </c>
      <c r="D540" s="195">
        <v>3</v>
      </c>
      <c r="E540" s="195" t="s">
        <v>358</v>
      </c>
      <c r="F540" s="196">
        <v>44352</v>
      </c>
      <c r="G540" s="197" t="s">
        <v>9</v>
      </c>
      <c r="H540" s="198">
        <v>2123</v>
      </c>
      <c r="I540" s="196" t="s">
        <v>363</v>
      </c>
      <c r="J540" s="199">
        <v>1200</v>
      </c>
      <c r="K540" s="198">
        <v>1354</v>
      </c>
      <c r="L540" s="200">
        <v>0</v>
      </c>
      <c r="M540" s="201"/>
      <c r="N540" s="199">
        <v>2123</v>
      </c>
      <c r="O540" s="202">
        <v>4.2</v>
      </c>
      <c r="P540" s="203">
        <v>4</v>
      </c>
      <c r="Q540" s="203">
        <v>0.2</v>
      </c>
      <c r="R540" s="204">
        <v>4.9000000000000004</v>
      </c>
      <c r="S540" s="203">
        <v>4.9000000000000004</v>
      </c>
      <c r="T540" s="203">
        <v>0</v>
      </c>
      <c r="V540" s="198">
        <v>2123</v>
      </c>
      <c r="W540" s="202">
        <v>4.0999999999999996</v>
      </c>
      <c r="X540" s="203">
        <v>4</v>
      </c>
      <c r="Y540" s="203">
        <v>0.1</v>
      </c>
      <c r="Z540" s="204">
        <v>4.9000000000000004</v>
      </c>
      <c r="AA540" s="203">
        <v>4.9000000000000004</v>
      </c>
      <c r="AB540" s="203">
        <v>0</v>
      </c>
      <c r="AD540" s="198">
        <v>2123</v>
      </c>
      <c r="AE540" s="202">
        <v>-0.10000000000000053</v>
      </c>
      <c r="AF540" s="203" t="s">
        <v>82</v>
      </c>
      <c r="AG540" s="203">
        <v>-0.1</v>
      </c>
      <c r="AH540" s="204" t="s">
        <v>82</v>
      </c>
      <c r="AI540" s="203" t="s">
        <v>82</v>
      </c>
      <c r="AJ540" s="203" t="s">
        <v>82</v>
      </c>
    </row>
    <row customFormat="1" r="541" s="205" spans="1:36" x14ac:dyDescent="0.2">
      <c r="A541" s="193">
        <v>537</v>
      </c>
      <c r="B541" s="215">
        <v>14</v>
      </c>
      <c r="C541" s="195" t="s">
        <v>349</v>
      </c>
      <c r="D541" s="195">
        <v>3</v>
      </c>
      <c r="E541" s="195" t="s">
        <v>358</v>
      </c>
      <c r="F541" s="196">
        <v>44378</v>
      </c>
      <c r="G541" s="197" t="s">
        <v>7</v>
      </c>
      <c r="H541" s="198">
        <v>2127</v>
      </c>
      <c r="I541" s="196" t="s">
        <v>364</v>
      </c>
      <c r="J541" s="199">
        <v>1444</v>
      </c>
      <c r="K541" s="198">
        <v>1637</v>
      </c>
      <c r="L541" s="200">
        <v>0</v>
      </c>
      <c r="M541" s="201"/>
      <c r="N541" s="199">
        <v>2127</v>
      </c>
      <c r="O541" s="202">
        <v>3.3</v>
      </c>
      <c r="P541" s="203">
        <v>3</v>
      </c>
      <c r="Q541" s="203">
        <v>0.3</v>
      </c>
      <c r="R541" s="204">
        <v>3.4</v>
      </c>
      <c r="S541" s="203">
        <v>3.4</v>
      </c>
      <c r="T541" s="203" t="s">
        <v>84</v>
      </c>
      <c r="V541" s="198">
        <v>2127</v>
      </c>
      <c r="W541" s="202">
        <v>3.2</v>
      </c>
      <c r="X541" s="203">
        <v>3</v>
      </c>
      <c r="Y541" s="203">
        <v>0.2</v>
      </c>
      <c r="Z541" s="204">
        <v>3.4</v>
      </c>
      <c r="AA541" s="203">
        <v>3.4</v>
      </c>
      <c r="AB541" s="203" t="s">
        <v>84</v>
      </c>
      <c r="AD541" s="198">
        <v>2127</v>
      </c>
      <c r="AE541" s="202">
        <v>-9.9999999999999645E-2</v>
      </c>
      <c r="AF541" s="203" t="s">
        <v>82</v>
      </c>
      <c r="AG541" s="203">
        <v>-9.9999999999999978E-2</v>
      </c>
      <c r="AH541" s="204" t="s">
        <v>82</v>
      </c>
      <c r="AI541" s="203" t="s">
        <v>82</v>
      </c>
      <c r="AJ541" s="203" t="s">
        <v>82</v>
      </c>
    </row>
    <row customFormat="1" r="542" s="205" spans="1:36" x14ac:dyDescent="0.2">
      <c r="A542" s="193">
        <v>538</v>
      </c>
      <c r="B542" s="215">
        <v>14</v>
      </c>
      <c r="C542" s="195" t="s">
        <v>349</v>
      </c>
      <c r="D542" s="195">
        <v>3</v>
      </c>
      <c r="E542" s="195" t="s">
        <v>358</v>
      </c>
      <c r="F542" s="196">
        <v>44385</v>
      </c>
      <c r="G542" s="197" t="s">
        <v>7</v>
      </c>
      <c r="H542" s="198">
        <v>2128</v>
      </c>
      <c r="I542" s="196" t="s">
        <v>365</v>
      </c>
      <c r="J542" s="199">
        <v>1444</v>
      </c>
      <c r="K542" s="198">
        <v>1637</v>
      </c>
      <c r="L542" s="200">
        <v>0</v>
      </c>
      <c r="M542" s="201"/>
      <c r="N542" s="199">
        <v>2128</v>
      </c>
      <c r="O542" s="202">
        <v>3</v>
      </c>
      <c r="P542" s="203">
        <v>2.7</v>
      </c>
      <c r="Q542" s="203">
        <v>0.3</v>
      </c>
      <c r="R542" s="204">
        <v>3.4</v>
      </c>
      <c r="S542" s="203">
        <v>3.4</v>
      </c>
      <c r="T542" s="203" t="s">
        <v>84</v>
      </c>
      <c r="V542" s="198">
        <v>2128</v>
      </c>
      <c r="W542" s="202">
        <v>2.9</v>
      </c>
      <c r="X542" s="203">
        <v>2.7</v>
      </c>
      <c r="Y542" s="203">
        <v>0.2</v>
      </c>
      <c r="Z542" s="204">
        <v>3.4</v>
      </c>
      <c r="AA542" s="203">
        <v>3.4</v>
      </c>
      <c r="AB542" s="203" t="s">
        <v>84</v>
      </c>
      <c r="AD542" s="198">
        <v>2128</v>
      </c>
      <c r="AE542" s="202">
        <v>-0.10000000000000009</v>
      </c>
      <c r="AF542" s="203" t="s">
        <v>82</v>
      </c>
      <c r="AG542" s="203">
        <v>-9.9999999999999978E-2</v>
      </c>
      <c r="AH542" s="204" t="s">
        <v>82</v>
      </c>
      <c r="AI542" s="203" t="s">
        <v>82</v>
      </c>
      <c r="AJ542" s="203" t="s">
        <v>82</v>
      </c>
    </row>
    <row customFormat="1" r="543" s="205" spans="1:36" x14ac:dyDescent="0.2">
      <c r="A543" s="193">
        <v>539</v>
      </c>
      <c r="B543" s="215">
        <v>14</v>
      </c>
      <c r="C543" s="195" t="s">
        <v>349</v>
      </c>
      <c r="D543" s="195">
        <v>3</v>
      </c>
      <c r="E543" s="195" t="s">
        <v>358</v>
      </c>
      <c r="F543" s="196">
        <v>44392</v>
      </c>
      <c r="G543" s="197" t="s">
        <v>7</v>
      </c>
      <c r="H543" s="198">
        <v>2129</v>
      </c>
      <c r="I543" s="196" t="s">
        <v>366</v>
      </c>
      <c r="J543" s="199">
        <v>1540</v>
      </c>
      <c r="K543" s="198">
        <v>1637</v>
      </c>
      <c r="L543" s="200">
        <v>0</v>
      </c>
      <c r="M543" s="201"/>
      <c r="N543" s="199">
        <v>2129</v>
      </c>
      <c r="O543" s="202">
        <v>3.4</v>
      </c>
      <c r="P543" s="203">
        <v>3.1</v>
      </c>
      <c r="Q543" s="203">
        <v>0.3</v>
      </c>
      <c r="R543" s="204">
        <v>3.3</v>
      </c>
      <c r="S543" s="203">
        <v>3.3</v>
      </c>
      <c r="T543" s="203" t="s">
        <v>84</v>
      </c>
      <c r="V543" s="198">
        <v>2129</v>
      </c>
      <c r="W543" s="202">
        <v>3.2</v>
      </c>
      <c r="X543" s="203">
        <v>3.1</v>
      </c>
      <c r="Y543" s="203">
        <v>0.1</v>
      </c>
      <c r="Z543" s="204">
        <v>3.3</v>
      </c>
      <c r="AA543" s="203">
        <v>3.3</v>
      </c>
      <c r="AB543" s="203" t="s">
        <v>84</v>
      </c>
      <c r="AD543" s="198">
        <v>2129</v>
      </c>
      <c r="AE543" s="202">
        <v>-0.19999999999999973</v>
      </c>
      <c r="AF543" s="203" t="s">
        <v>82</v>
      </c>
      <c r="AG543" s="203">
        <v>-0.19999999999999998</v>
      </c>
      <c r="AH543" s="204" t="s">
        <v>82</v>
      </c>
      <c r="AI543" s="203" t="s">
        <v>82</v>
      </c>
      <c r="AJ543" s="203" t="s">
        <v>82</v>
      </c>
    </row>
    <row customFormat="1" r="544" s="205" spans="1:36" x14ac:dyDescent="0.2">
      <c r="A544" s="193">
        <v>540</v>
      </c>
      <c r="B544" s="215">
        <v>14</v>
      </c>
      <c r="C544" s="195" t="s">
        <v>349</v>
      </c>
      <c r="D544" s="195">
        <v>3</v>
      </c>
      <c r="E544" s="195" t="s">
        <v>358</v>
      </c>
      <c r="F544" s="196">
        <v>44399</v>
      </c>
      <c r="G544" s="197" t="s">
        <v>7</v>
      </c>
      <c r="H544" s="198">
        <v>2130</v>
      </c>
      <c r="I544" s="196" t="s">
        <v>367</v>
      </c>
      <c r="J544" s="199">
        <v>1442</v>
      </c>
      <c r="K544" s="198">
        <v>1637</v>
      </c>
      <c r="L544" s="200">
        <v>0</v>
      </c>
      <c r="M544" s="201"/>
      <c r="N544" s="199">
        <v>2130</v>
      </c>
      <c r="O544" s="202">
        <v>3</v>
      </c>
      <c r="P544" s="203">
        <v>2.7</v>
      </c>
      <c r="Q544" s="203">
        <v>0.3</v>
      </c>
      <c r="R544" s="204">
        <v>3.6</v>
      </c>
      <c r="S544" s="203">
        <v>3.6</v>
      </c>
      <c r="T544" s="203" t="s">
        <v>84</v>
      </c>
      <c r="V544" s="198">
        <v>2130</v>
      </c>
      <c r="W544" s="202">
        <v>2.9</v>
      </c>
      <c r="X544" s="203">
        <v>2.7</v>
      </c>
      <c r="Y544" s="203">
        <v>0.2</v>
      </c>
      <c r="Z544" s="204">
        <v>3.6</v>
      </c>
      <c r="AA544" s="203">
        <v>3.6</v>
      </c>
      <c r="AB544" s="203" t="s">
        <v>84</v>
      </c>
      <c r="AD544" s="198">
        <v>2130</v>
      </c>
      <c r="AE544" s="202">
        <v>-0.10000000000000009</v>
      </c>
      <c r="AF544" s="203" t="s">
        <v>82</v>
      </c>
      <c r="AG544" s="203">
        <v>-9.9999999999999978E-2</v>
      </c>
      <c r="AH544" s="204" t="s">
        <v>82</v>
      </c>
      <c r="AI544" s="203" t="s">
        <v>82</v>
      </c>
      <c r="AJ544" s="203" t="s">
        <v>82</v>
      </c>
    </row>
    <row customFormat="1" r="545" s="205" spans="1:36" x14ac:dyDescent="0.2">
      <c r="A545" s="193">
        <v>541</v>
      </c>
      <c r="B545" s="215">
        <v>14</v>
      </c>
      <c r="C545" s="195" t="s">
        <v>349</v>
      </c>
      <c r="D545" s="195">
        <v>3</v>
      </c>
      <c r="E545" s="195" t="s">
        <v>358</v>
      </c>
      <c r="F545" s="196">
        <v>44554</v>
      </c>
      <c r="G545" s="197" t="s">
        <v>8</v>
      </c>
      <c r="H545" s="198">
        <v>2152</v>
      </c>
      <c r="I545" s="196" t="s">
        <v>360</v>
      </c>
      <c r="J545" s="199">
        <v>1330</v>
      </c>
      <c r="K545" s="198">
        <v>1344</v>
      </c>
      <c r="L545" s="200">
        <v>1</v>
      </c>
      <c r="M545" s="201"/>
      <c r="N545" s="199">
        <v>2152</v>
      </c>
      <c r="O545" s="202">
        <v>1.2</v>
      </c>
      <c r="P545" s="203">
        <v>1</v>
      </c>
      <c r="Q545" s="203">
        <v>0.2</v>
      </c>
      <c r="R545" s="204">
        <v>1.9</v>
      </c>
      <c r="S545" s="203">
        <v>1.1000000000000001</v>
      </c>
      <c r="T545" s="203">
        <v>0.8</v>
      </c>
      <c r="V545" s="198">
        <v>2152</v>
      </c>
      <c r="W545" s="202">
        <v>1</v>
      </c>
      <c r="X545" s="203">
        <v>1</v>
      </c>
      <c r="Y545" s="203">
        <v>0</v>
      </c>
      <c r="Z545" s="204">
        <v>1.1000000000000001</v>
      </c>
      <c r="AA545" s="203">
        <v>1.1000000000000001</v>
      </c>
      <c r="AB545" s="203">
        <v>0</v>
      </c>
      <c r="AD545" s="198">
        <v>2152</v>
      </c>
      <c r="AE545" s="202">
        <v>-0.19999999999999996</v>
      </c>
      <c r="AF545" s="203" t="s">
        <v>82</v>
      </c>
      <c r="AG545" s="203">
        <v>-0.2</v>
      </c>
      <c r="AH545" s="204">
        <v>-0.79999999999999982</v>
      </c>
      <c r="AI545" s="203" t="s">
        <v>82</v>
      </c>
      <c r="AJ545" s="203">
        <v>-0.8</v>
      </c>
    </row>
    <row customFormat="1" r="546" s="205" spans="1:36" x14ac:dyDescent="0.2">
      <c r="A546" s="193">
        <v>542</v>
      </c>
      <c r="B546" s="215">
        <v>14</v>
      </c>
      <c r="C546" s="195" t="s">
        <v>349</v>
      </c>
      <c r="D546" s="195">
        <v>3</v>
      </c>
      <c r="E546" s="195" t="s">
        <v>358</v>
      </c>
      <c r="F546" s="196">
        <v>44561</v>
      </c>
      <c r="G546" s="197" t="s">
        <v>8</v>
      </c>
      <c r="H546" s="198">
        <v>2201</v>
      </c>
      <c r="I546" s="196" t="s">
        <v>368</v>
      </c>
      <c r="J546" s="199">
        <v>1200</v>
      </c>
      <c r="K546" s="198">
        <v>1524</v>
      </c>
      <c r="L546" s="200">
        <v>0</v>
      </c>
      <c r="M546" s="201"/>
      <c r="N546" s="199">
        <v>2201</v>
      </c>
      <c r="O546" s="202">
        <v>1.4</v>
      </c>
      <c r="P546" s="203">
        <v>1.3</v>
      </c>
      <c r="Q546" s="203">
        <v>0.1</v>
      </c>
      <c r="R546" s="204">
        <v>2.5</v>
      </c>
      <c r="S546" s="203">
        <v>2.2999999999999998</v>
      </c>
      <c r="T546" s="203">
        <v>0.2</v>
      </c>
      <c r="V546" s="198">
        <v>2201</v>
      </c>
      <c r="W546" s="202">
        <v>1.4</v>
      </c>
      <c r="X546" s="203">
        <v>1.3</v>
      </c>
      <c r="Y546" s="203">
        <v>0.1</v>
      </c>
      <c r="Z546" s="204">
        <v>2.5</v>
      </c>
      <c r="AA546" s="203">
        <v>2.2999999999999998</v>
      </c>
      <c r="AB546" s="203">
        <v>0.2</v>
      </c>
      <c r="AD546" s="198">
        <v>2201</v>
      </c>
      <c r="AE546" s="202"/>
      <c r="AF546" s="203" t="s">
        <v>82</v>
      </c>
      <c r="AG546" s="203" t="s">
        <v>82</v>
      </c>
      <c r="AH546" s="204" t="s">
        <v>82</v>
      </c>
      <c r="AI546" s="203" t="s">
        <v>82</v>
      </c>
      <c r="AJ546" s="203" t="s">
        <v>82</v>
      </c>
    </row>
    <row customFormat="1" r="547" s="205" spans="1:36" x14ac:dyDescent="0.2">
      <c r="A547" s="193">
        <v>543</v>
      </c>
      <c r="B547" s="215">
        <v>14</v>
      </c>
      <c r="C547" s="195" t="s">
        <v>349</v>
      </c>
      <c r="D547" s="195">
        <v>3</v>
      </c>
      <c r="E547" s="195" t="s">
        <v>358</v>
      </c>
      <c r="F547" s="196">
        <v>44568</v>
      </c>
      <c r="G547" s="197" t="s">
        <v>8</v>
      </c>
      <c r="H547" s="198">
        <v>2202</v>
      </c>
      <c r="I547" s="196" t="s">
        <v>360</v>
      </c>
      <c r="J547" s="199">
        <v>1330</v>
      </c>
      <c r="K547" s="198">
        <v>1344</v>
      </c>
      <c r="L547" s="200">
        <v>1</v>
      </c>
      <c r="M547" s="201"/>
      <c r="N547" s="199">
        <v>2202</v>
      </c>
      <c r="O547" s="202">
        <v>2.4</v>
      </c>
      <c r="P547" s="203">
        <v>2.2000000000000002</v>
      </c>
      <c r="Q547" s="203">
        <v>0.2</v>
      </c>
      <c r="R547" s="204">
        <v>3.5</v>
      </c>
      <c r="S547" s="203">
        <v>2.4</v>
      </c>
      <c r="T547" s="203">
        <v>1.1000000000000001</v>
      </c>
      <c r="V547" s="198">
        <v>2202</v>
      </c>
      <c r="W547" s="202">
        <v>2.2000000000000002</v>
      </c>
      <c r="X547" s="203">
        <v>2.2000000000000002</v>
      </c>
      <c r="Y547" s="203">
        <v>0</v>
      </c>
      <c r="Z547" s="204">
        <v>2.4</v>
      </c>
      <c r="AA547" s="203">
        <v>2.4</v>
      </c>
      <c r="AB547" s="203">
        <v>0</v>
      </c>
      <c r="AD547" s="198">
        <v>2202</v>
      </c>
      <c r="AE547" s="202">
        <v>-0.19999999999999973</v>
      </c>
      <c r="AF547" s="203" t="s">
        <v>82</v>
      </c>
      <c r="AG547" s="203">
        <v>-0.2</v>
      </c>
      <c r="AH547" s="204">
        <v>-1.1000000000000001</v>
      </c>
      <c r="AI547" s="203" t="s">
        <v>82</v>
      </c>
      <c r="AJ547" s="203">
        <v>-1.1000000000000001</v>
      </c>
    </row>
    <row customFormat="1" r="548" s="205" spans="1:36" x14ac:dyDescent="0.2">
      <c r="A548" s="193">
        <v>544</v>
      </c>
      <c r="B548" s="215">
        <v>14</v>
      </c>
      <c r="C548" s="195" t="s">
        <v>349</v>
      </c>
      <c r="D548" s="195">
        <v>3</v>
      </c>
      <c r="E548" s="195" t="s">
        <v>358</v>
      </c>
      <c r="F548" s="196">
        <v>44575</v>
      </c>
      <c r="G548" s="197" t="s">
        <v>8</v>
      </c>
      <c r="H548" s="198">
        <v>2203</v>
      </c>
      <c r="I548" s="196" t="s">
        <v>360</v>
      </c>
      <c r="J548" s="199">
        <v>1330</v>
      </c>
      <c r="K548" s="198">
        <v>1344</v>
      </c>
      <c r="L548" s="200">
        <v>1</v>
      </c>
      <c r="M548" s="201"/>
      <c r="N548" s="199">
        <v>2203</v>
      </c>
      <c r="O548" s="202">
        <v>2.7</v>
      </c>
      <c r="P548" s="203">
        <v>2.5</v>
      </c>
      <c r="Q548" s="203">
        <v>0.2</v>
      </c>
      <c r="R548" s="204">
        <v>3.7</v>
      </c>
      <c r="S548" s="203">
        <v>2.6</v>
      </c>
      <c r="T548" s="203">
        <v>1.1000000000000001</v>
      </c>
      <c r="V548" s="198">
        <v>2203</v>
      </c>
      <c r="W548" s="202">
        <v>2.5</v>
      </c>
      <c r="X548" s="203">
        <v>2.5</v>
      </c>
      <c r="Y548" s="203">
        <v>0</v>
      </c>
      <c r="Z548" s="204">
        <v>2.6</v>
      </c>
      <c r="AA548" s="203">
        <v>2.6</v>
      </c>
      <c r="AB548" s="203">
        <v>0</v>
      </c>
      <c r="AD548" s="198">
        <v>2203</v>
      </c>
      <c r="AE548" s="202">
        <v>-0.20000000000000018</v>
      </c>
      <c r="AF548" s="203" t="s">
        <v>82</v>
      </c>
      <c r="AG548" s="203">
        <v>-0.2</v>
      </c>
      <c r="AH548" s="204">
        <v>-1.1000000000000001</v>
      </c>
      <c r="AI548" s="203" t="s">
        <v>82</v>
      </c>
      <c r="AJ548" s="203">
        <v>-1.1000000000000001</v>
      </c>
    </row>
    <row customFormat="1" r="549" s="205" spans="1:36" x14ac:dyDescent="0.2">
      <c r="A549" s="193">
        <v>545</v>
      </c>
      <c r="B549" s="215">
        <v>14</v>
      </c>
      <c r="C549" s="195" t="s">
        <v>349</v>
      </c>
      <c r="D549" s="195">
        <v>6</v>
      </c>
      <c r="E549" s="195" t="s">
        <v>369</v>
      </c>
      <c r="F549" s="196">
        <v>44160</v>
      </c>
      <c r="G549" s="197" t="s">
        <v>6</v>
      </c>
      <c r="H549" s="198">
        <v>2048</v>
      </c>
      <c r="I549" s="196" t="s">
        <v>205</v>
      </c>
      <c r="J549" s="199">
        <v>1355</v>
      </c>
      <c r="K549" s="198">
        <v>1549</v>
      </c>
      <c r="L549" s="200">
        <v>0</v>
      </c>
      <c r="M549" s="201"/>
      <c r="N549" s="199">
        <v>2048</v>
      </c>
      <c r="O549" s="202">
        <v>4.3</v>
      </c>
      <c r="P549" s="203">
        <v>4.2</v>
      </c>
      <c r="Q549" s="203">
        <v>0.1</v>
      </c>
      <c r="R549" s="204">
        <v>3</v>
      </c>
      <c r="S549" s="203">
        <v>3</v>
      </c>
      <c r="T549" s="203">
        <v>0</v>
      </c>
      <c r="V549" s="198">
        <v>2048</v>
      </c>
      <c r="W549" s="202">
        <v>4.2</v>
      </c>
      <c r="X549" s="203">
        <v>4.2</v>
      </c>
      <c r="Y549" s="203">
        <v>0</v>
      </c>
      <c r="Z549" s="204">
        <v>3</v>
      </c>
      <c r="AA549" s="203">
        <v>3</v>
      </c>
      <c r="AB549" s="203">
        <v>0</v>
      </c>
      <c r="AD549" s="198">
        <v>2048</v>
      </c>
      <c r="AE549" s="202">
        <v>-9.9999999999999645E-2</v>
      </c>
      <c r="AF549" s="203" t="s">
        <v>82</v>
      </c>
      <c r="AG549" s="203">
        <v>-0.1</v>
      </c>
      <c r="AH549" s="204" t="s">
        <v>82</v>
      </c>
      <c r="AI549" s="203" t="s">
        <v>82</v>
      </c>
      <c r="AJ549" s="203" t="s">
        <v>82</v>
      </c>
    </row>
    <row customFormat="1" r="550" s="205" spans="1:36" x14ac:dyDescent="0.2">
      <c r="A550" s="193">
        <v>546</v>
      </c>
      <c r="B550" s="215">
        <v>14</v>
      </c>
      <c r="C550" s="195" t="s">
        <v>349</v>
      </c>
      <c r="D550" s="195">
        <v>6</v>
      </c>
      <c r="E550" s="195" t="s">
        <v>369</v>
      </c>
      <c r="F550" s="196">
        <v>44167</v>
      </c>
      <c r="G550" s="197" t="s">
        <v>6</v>
      </c>
      <c r="H550" s="198">
        <v>2049</v>
      </c>
      <c r="I550" s="196" t="s">
        <v>205</v>
      </c>
      <c r="J550" s="199">
        <v>1355</v>
      </c>
      <c r="K550" s="198">
        <v>1549</v>
      </c>
      <c r="L550" s="200">
        <v>0</v>
      </c>
      <c r="M550" s="201"/>
      <c r="N550" s="199">
        <v>2049</v>
      </c>
      <c r="O550" s="202">
        <v>4.3</v>
      </c>
      <c r="P550" s="203">
        <v>4.2</v>
      </c>
      <c r="Q550" s="203">
        <v>0.1</v>
      </c>
      <c r="R550" s="204">
        <v>3.1</v>
      </c>
      <c r="S550" s="203">
        <v>3.1</v>
      </c>
      <c r="T550" s="203">
        <v>0</v>
      </c>
      <c r="V550" s="198">
        <v>2049</v>
      </c>
      <c r="W550" s="202">
        <v>4.2</v>
      </c>
      <c r="X550" s="203">
        <v>4.2</v>
      </c>
      <c r="Y550" s="203">
        <v>0</v>
      </c>
      <c r="Z550" s="204">
        <v>3.1</v>
      </c>
      <c r="AA550" s="203">
        <v>3.1</v>
      </c>
      <c r="AB550" s="203">
        <v>0</v>
      </c>
      <c r="AD550" s="198">
        <v>2049</v>
      </c>
      <c r="AE550" s="202">
        <v>-9.9999999999999645E-2</v>
      </c>
      <c r="AF550" s="203" t="s">
        <v>82</v>
      </c>
      <c r="AG550" s="203">
        <v>-0.1</v>
      </c>
      <c r="AH550" s="204" t="s">
        <v>82</v>
      </c>
      <c r="AI550" s="203" t="s">
        <v>82</v>
      </c>
      <c r="AJ550" s="203" t="s">
        <v>82</v>
      </c>
    </row>
    <row customFormat="1" r="551" s="205" spans="1:36" x14ac:dyDescent="0.2">
      <c r="A551" s="193">
        <v>547</v>
      </c>
      <c r="B551" s="215">
        <v>14</v>
      </c>
      <c r="C551" s="195" t="s">
        <v>349</v>
      </c>
      <c r="D551" s="195">
        <v>6</v>
      </c>
      <c r="E551" s="195" t="s">
        <v>369</v>
      </c>
      <c r="F551" s="196">
        <v>44174</v>
      </c>
      <c r="G551" s="197" t="s">
        <v>6</v>
      </c>
      <c r="H551" s="198">
        <v>2050</v>
      </c>
      <c r="I551" s="196" t="s">
        <v>205</v>
      </c>
      <c r="J551" s="199">
        <v>1355</v>
      </c>
      <c r="K551" s="198">
        <v>1549</v>
      </c>
      <c r="L551" s="200">
        <v>0</v>
      </c>
      <c r="M551" s="201"/>
      <c r="N551" s="199">
        <v>2050</v>
      </c>
      <c r="O551" s="202">
        <v>4.3</v>
      </c>
      <c r="P551" s="203">
        <v>4.2</v>
      </c>
      <c r="Q551" s="203">
        <v>0.1</v>
      </c>
      <c r="R551" s="204">
        <v>2.9</v>
      </c>
      <c r="S551" s="203">
        <v>2.9</v>
      </c>
      <c r="T551" s="203">
        <v>0</v>
      </c>
      <c r="V551" s="198">
        <v>2050</v>
      </c>
      <c r="W551" s="202">
        <v>4.2</v>
      </c>
      <c r="X551" s="203">
        <v>4.2</v>
      </c>
      <c r="Y551" s="203">
        <v>0</v>
      </c>
      <c r="Z551" s="204">
        <v>2.9</v>
      </c>
      <c r="AA551" s="203">
        <v>2.9</v>
      </c>
      <c r="AB551" s="203">
        <v>0</v>
      </c>
      <c r="AD551" s="198">
        <v>2050</v>
      </c>
      <c r="AE551" s="202">
        <v>-9.9999999999999645E-2</v>
      </c>
      <c r="AF551" s="203" t="s">
        <v>82</v>
      </c>
      <c r="AG551" s="203">
        <v>-0.1</v>
      </c>
      <c r="AH551" s="204" t="s">
        <v>82</v>
      </c>
      <c r="AI551" s="203" t="s">
        <v>82</v>
      </c>
      <c r="AJ551" s="203" t="s">
        <v>82</v>
      </c>
    </row>
    <row customFormat="1" r="552" s="205" spans="1:36" x14ac:dyDescent="0.2">
      <c r="A552" s="193">
        <v>548</v>
      </c>
      <c r="B552" s="215">
        <v>14</v>
      </c>
      <c r="C552" s="195" t="s">
        <v>349</v>
      </c>
      <c r="D552" s="195">
        <v>6</v>
      </c>
      <c r="E552" s="195" t="s">
        <v>369</v>
      </c>
      <c r="F552" s="196">
        <v>44181</v>
      </c>
      <c r="G552" s="197" t="s">
        <v>6</v>
      </c>
      <c r="H552" s="198">
        <v>2051</v>
      </c>
      <c r="I552" s="196" t="s">
        <v>205</v>
      </c>
      <c r="J552" s="199">
        <v>1355</v>
      </c>
      <c r="K552" s="198">
        <v>1549</v>
      </c>
      <c r="L552" s="200">
        <v>0</v>
      </c>
      <c r="M552" s="201"/>
      <c r="N552" s="199">
        <v>2051</v>
      </c>
      <c r="O552" s="202">
        <v>4.0999999999999996</v>
      </c>
      <c r="P552" s="203">
        <v>3.9</v>
      </c>
      <c r="Q552" s="203">
        <v>0.2</v>
      </c>
      <c r="R552" s="204">
        <v>3.2</v>
      </c>
      <c r="S552" s="203">
        <v>3.1</v>
      </c>
      <c r="T552" s="203">
        <v>0.1</v>
      </c>
      <c r="V552" s="198">
        <v>2051</v>
      </c>
      <c r="W552" s="202">
        <v>4</v>
      </c>
      <c r="X552" s="203">
        <v>3.9</v>
      </c>
      <c r="Y552" s="203">
        <v>0.1</v>
      </c>
      <c r="Z552" s="204">
        <v>3.2</v>
      </c>
      <c r="AA552" s="203">
        <v>3.1</v>
      </c>
      <c r="AB552" s="203">
        <v>0.1</v>
      </c>
      <c r="AD552" s="198">
        <v>2051</v>
      </c>
      <c r="AE552" s="202">
        <v>-9.9999999999999645E-2</v>
      </c>
      <c r="AF552" s="203" t="s">
        <v>82</v>
      </c>
      <c r="AG552" s="203">
        <v>-0.1</v>
      </c>
      <c r="AH552" s="204" t="s">
        <v>82</v>
      </c>
      <c r="AI552" s="203" t="s">
        <v>82</v>
      </c>
      <c r="AJ552" s="203" t="s">
        <v>82</v>
      </c>
    </row>
    <row customFormat="1" r="553" s="205" spans="1:36" x14ac:dyDescent="0.2">
      <c r="A553" s="193">
        <v>549</v>
      </c>
      <c r="B553" s="215">
        <v>14</v>
      </c>
      <c r="C553" s="195" t="s">
        <v>349</v>
      </c>
      <c r="D553" s="195">
        <v>6</v>
      </c>
      <c r="E553" s="195" t="s">
        <v>369</v>
      </c>
      <c r="F553" s="196">
        <v>44205</v>
      </c>
      <c r="G553" s="197" t="s">
        <v>9</v>
      </c>
      <c r="H553" s="198">
        <v>2102</v>
      </c>
      <c r="I553" s="196" t="s">
        <v>370</v>
      </c>
      <c r="J553" s="199">
        <v>628</v>
      </c>
      <c r="K553" s="198">
        <v>759</v>
      </c>
      <c r="L553" s="200">
        <v>0</v>
      </c>
      <c r="M553" s="201"/>
      <c r="N553" s="199">
        <v>2102</v>
      </c>
      <c r="O553" s="202">
        <v>3.1</v>
      </c>
      <c r="P553" s="203">
        <v>3</v>
      </c>
      <c r="Q553" s="203">
        <v>0.1</v>
      </c>
      <c r="R553" s="204">
        <v>5.6</v>
      </c>
      <c r="S553" s="203">
        <v>5.6</v>
      </c>
      <c r="T553" s="203">
        <v>0</v>
      </c>
      <c r="V553" s="198">
        <v>2102</v>
      </c>
      <c r="W553" s="202">
        <v>3</v>
      </c>
      <c r="X553" s="203">
        <v>3</v>
      </c>
      <c r="Y553" s="203">
        <v>0</v>
      </c>
      <c r="Z553" s="204">
        <v>5.6</v>
      </c>
      <c r="AA553" s="203">
        <v>5.6</v>
      </c>
      <c r="AB553" s="203">
        <v>0</v>
      </c>
      <c r="AD553" s="198">
        <v>2102</v>
      </c>
      <c r="AE553" s="202">
        <v>-0.10000000000000009</v>
      </c>
      <c r="AF553" s="203" t="s">
        <v>82</v>
      </c>
      <c r="AG553" s="203">
        <v>-0.1</v>
      </c>
      <c r="AH553" s="204" t="s">
        <v>82</v>
      </c>
      <c r="AI553" s="203" t="s">
        <v>82</v>
      </c>
      <c r="AJ553" s="203" t="s">
        <v>82</v>
      </c>
    </row>
    <row customFormat="1" r="554" s="205" spans="1:36" x14ac:dyDescent="0.2">
      <c r="A554" s="193">
        <v>550</v>
      </c>
      <c r="B554" s="215">
        <v>14</v>
      </c>
      <c r="C554" s="195" t="s">
        <v>349</v>
      </c>
      <c r="D554" s="195">
        <v>6</v>
      </c>
      <c r="E554" s="195" t="s">
        <v>369</v>
      </c>
      <c r="F554" s="196">
        <v>44212</v>
      </c>
      <c r="G554" s="197" t="s">
        <v>9</v>
      </c>
      <c r="H554" s="198">
        <v>2103</v>
      </c>
      <c r="I554" s="196" t="s">
        <v>370</v>
      </c>
      <c r="J554" s="199">
        <v>628</v>
      </c>
      <c r="K554" s="198">
        <v>759</v>
      </c>
      <c r="L554" s="200">
        <v>0</v>
      </c>
      <c r="M554" s="201"/>
      <c r="N554" s="199">
        <v>2103</v>
      </c>
      <c r="O554" s="202">
        <v>3.5</v>
      </c>
      <c r="P554" s="203">
        <v>3.4</v>
      </c>
      <c r="Q554" s="203">
        <v>0.1</v>
      </c>
      <c r="R554" s="204">
        <v>5.3</v>
      </c>
      <c r="S554" s="203">
        <v>5.3</v>
      </c>
      <c r="T554" s="203">
        <v>0</v>
      </c>
      <c r="V554" s="198">
        <v>2103</v>
      </c>
      <c r="W554" s="202">
        <v>3.4</v>
      </c>
      <c r="X554" s="203">
        <v>3.4</v>
      </c>
      <c r="Y554" s="203">
        <v>0</v>
      </c>
      <c r="Z554" s="204">
        <v>5.3</v>
      </c>
      <c r="AA554" s="203">
        <v>5.3</v>
      </c>
      <c r="AB554" s="203">
        <v>0</v>
      </c>
      <c r="AD554" s="198">
        <v>2103</v>
      </c>
      <c r="AE554" s="202">
        <v>-0.10000000000000009</v>
      </c>
      <c r="AF554" s="203" t="s">
        <v>82</v>
      </c>
      <c r="AG554" s="203">
        <v>-0.1</v>
      </c>
      <c r="AH554" s="204" t="s">
        <v>82</v>
      </c>
      <c r="AI554" s="203" t="s">
        <v>82</v>
      </c>
      <c r="AJ554" s="203" t="s">
        <v>82</v>
      </c>
    </row>
    <row customFormat="1" r="555" s="205" spans="1:36" x14ac:dyDescent="0.2">
      <c r="A555" s="193">
        <v>551</v>
      </c>
      <c r="B555" s="215">
        <v>14</v>
      </c>
      <c r="C555" s="195" t="s">
        <v>349</v>
      </c>
      <c r="D555" s="195">
        <v>6</v>
      </c>
      <c r="E555" s="195" t="s">
        <v>369</v>
      </c>
      <c r="F555" s="196">
        <v>44219</v>
      </c>
      <c r="G555" s="197" t="s">
        <v>9</v>
      </c>
      <c r="H555" s="198">
        <v>2104</v>
      </c>
      <c r="I555" s="196" t="s">
        <v>370</v>
      </c>
      <c r="J555" s="199">
        <v>628</v>
      </c>
      <c r="K555" s="198">
        <v>759</v>
      </c>
      <c r="L555" s="200">
        <v>0</v>
      </c>
      <c r="M555" s="201"/>
      <c r="N555" s="199">
        <v>2104</v>
      </c>
      <c r="O555" s="202">
        <v>3.3</v>
      </c>
      <c r="P555" s="203">
        <v>3.2</v>
      </c>
      <c r="Q555" s="203">
        <v>0.1</v>
      </c>
      <c r="R555" s="204">
        <v>5.6</v>
      </c>
      <c r="S555" s="203">
        <v>5.6</v>
      </c>
      <c r="T555" s="203">
        <v>0</v>
      </c>
      <c r="V555" s="198">
        <v>2104</v>
      </c>
      <c r="W555" s="202">
        <v>3.2</v>
      </c>
      <c r="X555" s="203">
        <v>3.2</v>
      </c>
      <c r="Y555" s="203">
        <v>0</v>
      </c>
      <c r="Z555" s="204">
        <v>5.6</v>
      </c>
      <c r="AA555" s="203">
        <v>5.6</v>
      </c>
      <c r="AB555" s="203">
        <v>0</v>
      </c>
      <c r="AD555" s="198">
        <v>2104</v>
      </c>
      <c r="AE555" s="202">
        <v>-9.9999999999999645E-2</v>
      </c>
      <c r="AF555" s="203" t="s">
        <v>82</v>
      </c>
      <c r="AG555" s="203">
        <v>-0.1</v>
      </c>
      <c r="AH555" s="204" t="s">
        <v>82</v>
      </c>
      <c r="AI555" s="203" t="s">
        <v>82</v>
      </c>
      <c r="AJ555" s="203" t="s">
        <v>82</v>
      </c>
    </row>
    <row customFormat="1" r="556" s="205" spans="1:36" x14ac:dyDescent="0.2">
      <c r="A556" s="193">
        <v>552</v>
      </c>
      <c r="B556" s="215">
        <v>14</v>
      </c>
      <c r="C556" s="195" t="s">
        <v>349</v>
      </c>
      <c r="D556" s="195">
        <v>6</v>
      </c>
      <c r="E556" s="195" t="s">
        <v>369</v>
      </c>
      <c r="F556" s="196">
        <v>44226</v>
      </c>
      <c r="G556" s="197" t="s">
        <v>9</v>
      </c>
      <c r="H556" s="198">
        <v>2105</v>
      </c>
      <c r="I556" s="196" t="s">
        <v>370</v>
      </c>
      <c r="J556" s="199">
        <v>628</v>
      </c>
      <c r="K556" s="198">
        <v>759</v>
      </c>
      <c r="L556" s="200">
        <v>0</v>
      </c>
      <c r="M556" s="201"/>
      <c r="N556" s="199">
        <v>2105</v>
      </c>
      <c r="O556" s="202">
        <v>3.1</v>
      </c>
      <c r="P556" s="203">
        <v>3</v>
      </c>
      <c r="Q556" s="203">
        <v>0.1</v>
      </c>
      <c r="R556" s="204">
        <v>5.0999999999999996</v>
      </c>
      <c r="S556" s="203">
        <v>5.0999999999999996</v>
      </c>
      <c r="T556" s="203">
        <v>0</v>
      </c>
      <c r="V556" s="198">
        <v>2105</v>
      </c>
      <c r="W556" s="202">
        <v>3</v>
      </c>
      <c r="X556" s="203">
        <v>3</v>
      </c>
      <c r="Y556" s="203">
        <v>0</v>
      </c>
      <c r="Z556" s="204">
        <v>5.0999999999999996</v>
      </c>
      <c r="AA556" s="203">
        <v>5.0999999999999996</v>
      </c>
      <c r="AB556" s="203">
        <v>0</v>
      </c>
      <c r="AD556" s="198">
        <v>2105</v>
      </c>
      <c r="AE556" s="202">
        <v>-0.10000000000000009</v>
      </c>
      <c r="AF556" s="203" t="s">
        <v>82</v>
      </c>
      <c r="AG556" s="203">
        <v>-0.1</v>
      </c>
      <c r="AH556" s="204" t="s">
        <v>82</v>
      </c>
      <c r="AI556" s="203" t="s">
        <v>82</v>
      </c>
      <c r="AJ556" s="203" t="s">
        <v>82</v>
      </c>
    </row>
    <row customFormat="1" r="557" s="205" spans="1:36" x14ac:dyDescent="0.2">
      <c r="A557" s="193">
        <v>553</v>
      </c>
      <c r="B557" s="215">
        <v>14</v>
      </c>
      <c r="C557" s="195" t="s">
        <v>349</v>
      </c>
      <c r="D557" s="195">
        <v>6</v>
      </c>
      <c r="E557" s="195" t="s">
        <v>369</v>
      </c>
      <c r="F557" s="196">
        <v>44301</v>
      </c>
      <c r="G557" s="197" t="s">
        <v>7</v>
      </c>
      <c r="H557" s="198">
        <v>2116</v>
      </c>
      <c r="I557" s="196" t="s">
        <v>371</v>
      </c>
      <c r="J557" s="199">
        <v>2459</v>
      </c>
      <c r="K557" s="198">
        <v>2528</v>
      </c>
      <c r="L557" s="200">
        <v>0</v>
      </c>
      <c r="M557" s="201"/>
      <c r="N557" s="199">
        <v>2116</v>
      </c>
      <c r="O557" s="202">
        <v>3.1</v>
      </c>
      <c r="P557" s="203">
        <v>1.6</v>
      </c>
      <c r="Q557" s="203">
        <v>1.5</v>
      </c>
      <c r="R557" s="204">
        <v>1.5</v>
      </c>
      <c r="S557" s="203">
        <v>1.3</v>
      </c>
      <c r="T557" s="203">
        <v>0.2</v>
      </c>
      <c r="V557" s="198">
        <v>2116</v>
      </c>
      <c r="W557" s="202">
        <v>1.9</v>
      </c>
      <c r="X557" s="203">
        <v>1.6</v>
      </c>
      <c r="Y557" s="203">
        <v>0.3</v>
      </c>
      <c r="Z557" s="204">
        <v>1.5</v>
      </c>
      <c r="AA557" s="203">
        <v>1.3</v>
      </c>
      <c r="AB557" s="203">
        <v>0.2</v>
      </c>
      <c r="AD557" s="198">
        <v>2116</v>
      </c>
      <c r="AE557" s="202">
        <v>-1.2000000000000002</v>
      </c>
      <c r="AF557" s="203" t="s">
        <v>82</v>
      </c>
      <c r="AG557" s="203">
        <v>-1.2</v>
      </c>
      <c r="AH557" s="204" t="s">
        <v>82</v>
      </c>
      <c r="AI557" s="203" t="s">
        <v>82</v>
      </c>
      <c r="AJ557" s="203" t="s">
        <v>82</v>
      </c>
    </row>
    <row customFormat="1" r="558" s="205" spans="1:36" x14ac:dyDescent="0.2">
      <c r="A558" s="193">
        <v>554</v>
      </c>
      <c r="B558" s="215">
        <v>14</v>
      </c>
      <c r="C558" s="195" t="s">
        <v>349</v>
      </c>
      <c r="D558" s="195">
        <v>6</v>
      </c>
      <c r="E558" s="195" t="s">
        <v>369</v>
      </c>
      <c r="F558" s="196">
        <v>44308</v>
      </c>
      <c r="G558" s="197" t="s">
        <v>7</v>
      </c>
      <c r="H558" s="198">
        <v>2117</v>
      </c>
      <c r="I558" s="196" t="s">
        <v>371</v>
      </c>
      <c r="J558" s="199">
        <v>2459</v>
      </c>
      <c r="K558" s="198">
        <v>2528</v>
      </c>
      <c r="L558" s="200">
        <v>0</v>
      </c>
      <c r="M558" s="201"/>
      <c r="N558" s="199">
        <v>2117</v>
      </c>
      <c r="O558" s="202">
        <v>2.6</v>
      </c>
      <c r="P558" s="203">
        <v>1</v>
      </c>
      <c r="Q558" s="203">
        <v>1.6</v>
      </c>
      <c r="R558" s="204">
        <v>1.2</v>
      </c>
      <c r="S558" s="203">
        <v>0.8</v>
      </c>
      <c r="T558" s="203">
        <v>0.4</v>
      </c>
      <c r="V558" s="198">
        <v>2117</v>
      </c>
      <c r="W558" s="202">
        <v>1.5</v>
      </c>
      <c r="X558" s="203">
        <v>1</v>
      </c>
      <c r="Y558" s="203">
        <v>0.5</v>
      </c>
      <c r="Z558" s="204">
        <v>1.2</v>
      </c>
      <c r="AA558" s="203">
        <v>0.8</v>
      </c>
      <c r="AB558" s="203">
        <v>0.4</v>
      </c>
      <c r="AD558" s="198">
        <v>2117</v>
      </c>
      <c r="AE558" s="202">
        <v>-1.1000000000000001</v>
      </c>
      <c r="AF558" s="203" t="s">
        <v>82</v>
      </c>
      <c r="AG558" s="203">
        <v>-1.1000000000000001</v>
      </c>
      <c r="AH558" s="204"/>
      <c r="AI558" s="203" t="s">
        <v>82</v>
      </c>
      <c r="AJ558" s="203" t="s">
        <v>82</v>
      </c>
    </row>
    <row customFormat="1" r="559" s="205" spans="1:36" x14ac:dyDescent="0.2">
      <c r="A559" s="193">
        <v>555</v>
      </c>
      <c r="B559" s="215">
        <v>14</v>
      </c>
      <c r="C559" s="195" t="s">
        <v>349</v>
      </c>
      <c r="D559" s="195">
        <v>6</v>
      </c>
      <c r="E559" s="195" t="s">
        <v>369</v>
      </c>
      <c r="F559" s="196">
        <v>44315</v>
      </c>
      <c r="G559" s="197" t="s">
        <v>7</v>
      </c>
      <c r="H559" s="198">
        <v>2118</v>
      </c>
      <c r="I559" s="196" t="s">
        <v>371</v>
      </c>
      <c r="J559" s="199">
        <v>2459</v>
      </c>
      <c r="K559" s="198">
        <v>2528</v>
      </c>
      <c r="L559" s="200">
        <v>0</v>
      </c>
      <c r="M559" s="201"/>
      <c r="N559" s="199">
        <v>2118</v>
      </c>
      <c r="O559" s="202">
        <v>2.9</v>
      </c>
      <c r="P559" s="203">
        <v>1</v>
      </c>
      <c r="Q559" s="203">
        <v>1.9</v>
      </c>
      <c r="R559" s="204">
        <v>1.2</v>
      </c>
      <c r="S559" s="203">
        <v>0.8</v>
      </c>
      <c r="T559" s="203">
        <v>0.4</v>
      </c>
      <c r="V559" s="198">
        <v>2118</v>
      </c>
      <c r="W559" s="202">
        <v>1.6</v>
      </c>
      <c r="X559" s="203">
        <v>1</v>
      </c>
      <c r="Y559" s="203">
        <v>0.6</v>
      </c>
      <c r="Z559" s="204">
        <v>1.2</v>
      </c>
      <c r="AA559" s="203">
        <v>0.8</v>
      </c>
      <c r="AB559" s="203">
        <v>0.4</v>
      </c>
      <c r="AD559" s="198">
        <v>2118</v>
      </c>
      <c r="AE559" s="202">
        <v>-1.2999999999999998</v>
      </c>
      <c r="AF559" s="203" t="s">
        <v>82</v>
      </c>
      <c r="AG559" s="203">
        <v>-1.2999999999999998</v>
      </c>
      <c r="AH559" s="204"/>
      <c r="AI559" s="203" t="s">
        <v>82</v>
      </c>
      <c r="AJ559" s="203" t="s">
        <v>82</v>
      </c>
    </row>
    <row customFormat="1" r="560" s="205" spans="1:36" x14ac:dyDescent="0.2">
      <c r="A560" s="193">
        <v>556</v>
      </c>
      <c r="B560" s="215">
        <v>14</v>
      </c>
      <c r="C560" s="195" t="s">
        <v>349</v>
      </c>
      <c r="D560" s="195">
        <v>6</v>
      </c>
      <c r="E560" s="195" t="s">
        <v>369</v>
      </c>
      <c r="F560" s="196">
        <v>44322</v>
      </c>
      <c r="G560" s="197" t="s">
        <v>7</v>
      </c>
      <c r="H560" s="198">
        <v>2119</v>
      </c>
      <c r="I560" s="196" t="s">
        <v>371</v>
      </c>
      <c r="J560" s="199">
        <v>2459</v>
      </c>
      <c r="K560" s="198">
        <v>2528</v>
      </c>
      <c r="L560" s="200">
        <v>0</v>
      </c>
      <c r="M560" s="201"/>
      <c r="N560" s="199">
        <v>2119</v>
      </c>
      <c r="O560" s="202">
        <v>3.3</v>
      </c>
      <c r="P560" s="203">
        <v>1.3</v>
      </c>
      <c r="Q560" s="203">
        <v>2</v>
      </c>
      <c r="R560" s="204">
        <v>1.5</v>
      </c>
      <c r="S560" s="203">
        <v>1</v>
      </c>
      <c r="T560" s="203">
        <v>0.5</v>
      </c>
      <c r="V560" s="198">
        <v>2119</v>
      </c>
      <c r="W560" s="202">
        <v>1.9</v>
      </c>
      <c r="X560" s="203">
        <v>1.3</v>
      </c>
      <c r="Y560" s="203">
        <v>0.6</v>
      </c>
      <c r="Z560" s="204">
        <v>1.5</v>
      </c>
      <c r="AA560" s="203">
        <v>1</v>
      </c>
      <c r="AB560" s="203">
        <v>0.5</v>
      </c>
      <c r="AD560" s="198">
        <v>2119</v>
      </c>
      <c r="AE560" s="202">
        <v>-1.4</v>
      </c>
      <c r="AF560" s="203" t="s">
        <v>82</v>
      </c>
      <c r="AG560" s="203">
        <v>-1.4</v>
      </c>
      <c r="AH560" s="204" t="s">
        <v>82</v>
      </c>
      <c r="AI560" s="203" t="s">
        <v>82</v>
      </c>
      <c r="AJ560" s="203" t="s">
        <v>82</v>
      </c>
    </row>
    <row customFormat="1" r="561" s="205" spans="1:36" x14ac:dyDescent="0.2">
      <c r="A561" s="193">
        <v>557</v>
      </c>
      <c r="B561" s="215">
        <v>15</v>
      </c>
      <c r="C561" s="195" t="s">
        <v>372</v>
      </c>
      <c r="D561" s="195">
        <v>1</v>
      </c>
      <c r="E561" s="195" t="s">
        <v>373</v>
      </c>
      <c r="F561" s="196">
        <v>44168</v>
      </c>
      <c r="G561" s="197" t="s">
        <v>7</v>
      </c>
      <c r="H561" s="198">
        <v>2049</v>
      </c>
      <c r="I561" s="196" t="s">
        <v>374</v>
      </c>
      <c r="J561" s="199">
        <v>1025</v>
      </c>
      <c r="K561" s="198">
        <v>1129</v>
      </c>
      <c r="L561" s="200">
        <v>0</v>
      </c>
      <c r="M561" s="201"/>
      <c r="N561" s="199">
        <v>2049</v>
      </c>
      <c r="O561" s="202">
        <v>3</v>
      </c>
      <c r="P561" s="203">
        <v>2.6</v>
      </c>
      <c r="Q561" s="203">
        <v>0.4</v>
      </c>
      <c r="R561" s="204">
        <v>3.1</v>
      </c>
      <c r="S561" s="203">
        <v>3.1</v>
      </c>
      <c r="T561" s="203" t="s">
        <v>84</v>
      </c>
      <c r="V561" s="198">
        <v>2049</v>
      </c>
      <c r="W561" s="202">
        <v>2.6</v>
      </c>
      <c r="X561" s="203">
        <v>2.6</v>
      </c>
      <c r="Y561" s="203">
        <v>0</v>
      </c>
      <c r="Z561" s="204">
        <v>3.1</v>
      </c>
      <c r="AA561" s="203">
        <v>3.1</v>
      </c>
      <c r="AB561" s="203" t="s">
        <v>84</v>
      </c>
      <c r="AD561" s="198">
        <v>2049</v>
      </c>
      <c r="AE561" s="202">
        <v>-0.39999999999999991</v>
      </c>
      <c r="AF561" s="203" t="s">
        <v>82</v>
      </c>
      <c r="AG561" s="203">
        <v>-0.4</v>
      </c>
      <c r="AH561" s="204" t="s">
        <v>82</v>
      </c>
      <c r="AI561" s="203" t="s">
        <v>82</v>
      </c>
      <c r="AJ561" s="203" t="s">
        <v>82</v>
      </c>
    </row>
    <row customFormat="1" r="562" s="205" spans="1:36" x14ac:dyDescent="0.2">
      <c r="A562" s="193">
        <v>558</v>
      </c>
      <c r="B562" s="215">
        <v>15</v>
      </c>
      <c r="C562" s="195" t="s">
        <v>372</v>
      </c>
      <c r="D562" s="195">
        <v>1</v>
      </c>
      <c r="E562" s="195" t="s">
        <v>373</v>
      </c>
      <c r="F562" s="196">
        <v>44175</v>
      </c>
      <c r="G562" s="197" t="s">
        <v>7</v>
      </c>
      <c r="H562" s="198">
        <v>2050</v>
      </c>
      <c r="I562" s="196" t="s">
        <v>374</v>
      </c>
      <c r="J562" s="199">
        <v>1025</v>
      </c>
      <c r="K562" s="198">
        <v>1129</v>
      </c>
      <c r="L562" s="200">
        <v>0</v>
      </c>
      <c r="M562" s="201"/>
      <c r="N562" s="199">
        <v>2050</v>
      </c>
      <c r="O562" s="202">
        <v>2.5</v>
      </c>
      <c r="P562" s="203">
        <v>2.1</v>
      </c>
      <c r="Q562" s="203">
        <v>0.4</v>
      </c>
      <c r="R562" s="204">
        <v>2.9</v>
      </c>
      <c r="S562" s="203">
        <v>2.9</v>
      </c>
      <c r="T562" s="203" t="s">
        <v>84</v>
      </c>
      <c r="V562" s="198">
        <v>2050</v>
      </c>
      <c r="W562" s="202">
        <v>2.1</v>
      </c>
      <c r="X562" s="203">
        <v>2.1</v>
      </c>
      <c r="Y562" s="203">
        <v>0</v>
      </c>
      <c r="Z562" s="204">
        <v>2.9</v>
      </c>
      <c r="AA562" s="203">
        <v>2.9</v>
      </c>
      <c r="AB562" s="203" t="s">
        <v>84</v>
      </c>
      <c r="AD562" s="198">
        <v>2050</v>
      </c>
      <c r="AE562" s="202">
        <v>-0.39999999999999991</v>
      </c>
      <c r="AF562" s="203" t="s">
        <v>82</v>
      </c>
      <c r="AG562" s="203">
        <v>-0.4</v>
      </c>
      <c r="AH562" s="204" t="s">
        <v>82</v>
      </c>
      <c r="AI562" s="203" t="s">
        <v>82</v>
      </c>
      <c r="AJ562" s="203" t="s">
        <v>82</v>
      </c>
    </row>
    <row customFormat="1" r="563" s="205" spans="1:36" x14ac:dyDescent="0.2">
      <c r="A563" s="193">
        <v>559</v>
      </c>
      <c r="B563" s="215">
        <v>15</v>
      </c>
      <c r="C563" s="195" t="s">
        <v>372</v>
      </c>
      <c r="D563" s="195">
        <v>1</v>
      </c>
      <c r="E563" s="195" t="s">
        <v>373</v>
      </c>
      <c r="F563" s="196">
        <v>44182</v>
      </c>
      <c r="G563" s="197" t="s">
        <v>7</v>
      </c>
      <c r="H563" s="198">
        <v>2051</v>
      </c>
      <c r="I563" s="196" t="s">
        <v>374</v>
      </c>
      <c r="J563" s="199">
        <v>1025</v>
      </c>
      <c r="K563" s="198">
        <v>1129</v>
      </c>
      <c r="L563" s="200">
        <v>0</v>
      </c>
      <c r="M563" s="201"/>
      <c r="N563" s="199">
        <v>2051</v>
      </c>
      <c r="O563" s="202">
        <v>2.5</v>
      </c>
      <c r="P563" s="203">
        <v>2.1</v>
      </c>
      <c r="Q563" s="203">
        <v>0.4</v>
      </c>
      <c r="R563" s="204">
        <v>3.1</v>
      </c>
      <c r="S563" s="203">
        <v>3.1</v>
      </c>
      <c r="T563" s="203" t="s">
        <v>84</v>
      </c>
      <c r="V563" s="198">
        <v>2051</v>
      </c>
      <c r="W563" s="202">
        <v>2.1</v>
      </c>
      <c r="X563" s="203">
        <v>2.1</v>
      </c>
      <c r="Y563" s="203">
        <v>0</v>
      </c>
      <c r="Z563" s="204">
        <v>3.1</v>
      </c>
      <c r="AA563" s="203">
        <v>3.1</v>
      </c>
      <c r="AB563" s="203" t="s">
        <v>84</v>
      </c>
      <c r="AD563" s="198">
        <v>2051</v>
      </c>
      <c r="AE563" s="202">
        <v>-0.39999999999999991</v>
      </c>
      <c r="AF563" s="203" t="s">
        <v>82</v>
      </c>
      <c r="AG563" s="203">
        <v>-0.4</v>
      </c>
      <c r="AH563" s="204" t="s">
        <v>82</v>
      </c>
      <c r="AI563" s="203" t="s">
        <v>82</v>
      </c>
      <c r="AJ563" s="203" t="s">
        <v>82</v>
      </c>
    </row>
    <row customFormat="1" r="564" s="205" spans="1:36" x14ac:dyDescent="0.2">
      <c r="A564" s="193">
        <v>560</v>
      </c>
      <c r="B564" s="215">
        <v>15</v>
      </c>
      <c r="C564" s="195" t="s">
        <v>372</v>
      </c>
      <c r="D564" s="195">
        <v>1</v>
      </c>
      <c r="E564" s="195" t="s">
        <v>373</v>
      </c>
      <c r="F564" s="196">
        <v>44189</v>
      </c>
      <c r="G564" s="197" t="s">
        <v>7</v>
      </c>
      <c r="H564" s="198">
        <v>2052</v>
      </c>
      <c r="I564" s="196" t="s">
        <v>374</v>
      </c>
      <c r="J564" s="199">
        <v>1025</v>
      </c>
      <c r="K564" s="198">
        <v>1118</v>
      </c>
      <c r="L564" s="200">
        <v>0</v>
      </c>
      <c r="M564" s="201"/>
      <c r="N564" s="199">
        <v>2052</v>
      </c>
      <c r="O564" s="202">
        <v>2.2999999999999998</v>
      </c>
      <c r="P564" s="203">
        <v>1.9</v>
      </c>
      <c r="Q564" s="203">
        <v>0.4</v>
      </c>
      <c r="R564" s="204">
        <v>2.8</v>
      </c>
      <c r="S564" s="203">
        <v>2.7</v>
      </c>
      <c r="T564" s="203">
        <v>0.1</v>
      </c>
      <c r="V564" s="198">
        <v>2052</v>
      </c>
      <c r="W564" s="202">
        <v>1.9</v>
      </c>
      <c r="X564" s="203">
        <v>1.9</v>
      </c>
      <c r="Y564" s="203">
        <v>0</v>
      </c>
      <c r="Z564" s="204">
        <v>2.8</v>
      </c>
      <c r="AA564" s="203">
        <v>2.7</v>
      </c>
      <c r="AB564" s="203">
        <v>0.1</v>
      </c>
      <c r="AD564" s="198">
        <v>2052</v>
      </c>
      <c r="AE564" s="202">
        <v>-0.39999999999999991</v>
      </c>
      <c r="AF564" s="203" t="s">
        <v>82</v>
      </c>
      <c r="AG564" s="203">
        <v>-0.4</v>
      </c>
      <c r="AH564" s="204"/>
      <c r="AI564" s="203" t="s">
        <v>82</v>
      </c>
      <c r="AJ564" s="203" t="s">
        <v>82</v>
      </c>
    </row>
    <row customFormat="1" r="565" s="205" spans="1:36" x14ac:dyDescent="0.2">
      <c r="A565" s="193">
        <v>561</v>
      </c>
      <c r="B565" s="215">
        <v>15</v>
      </c>
      <c r="C565" s="195" t="s">
        <v>372</v>
      </c>
      <c r="D565" s="195">
        <v>1</v>
      </c>
      <c r="E565" s="195" t="s">
        <v>373</v>
      </c>
      <c r="F565" s="196">
        <v>44539</v>
      </c>
      <c r="G565" s="197" t="s">
        <v>7</v>
      </c>
      <c r="H565" s="198">
        <v>2150</v>
      </c>
      <c r="I565" s="196" t="s">
        <v>375</v>
      </c>
      <c r="J565" s="199">
        <v>1650</v>
      </c>
      <c r="K565" s="198">
        <v>1749</v>
      </c>
      <c r="L565" s="200">
        <v>0</v>
      </c>
      <c r="M565" s="201"/>
      <c r="N565" s="199">
        <v>2150</v>
      </c>
      <c r="O565" s="202">
        <v>3.8</v>
      </c>
      <c r="P565" s="203">
        <v>3.4</v>
      </c>
      <c r="Q565" s="203">
        <v>0.4</v>
      </c>
      <c r="R565" s="204">
        <v>4</v>
      </c>
      <c r="S565" s="203">
        <v>4</v>
      </c>
      <c r="T565" s="203" t="s">
        <v>84</v>
      </c>
      <c r="V565" s="198">
        <v>2150</v>
      </c>
      <c r="W565" s="202">
        <v>3.4</v>
      </c>
      <c r="X565" s="203">
        <v>3.4</v>
      </c>
      <c r="Y565" s="203">
        <v>0</v>
      </c>
      <c r="Z565" s="204">
        <v>4</v>
      </c>
      <c r="AA565" s="203">
        <v>4</v>
      </c>
      <c r="AB565" s="203" t="s">
        <v>84</v>
      </c>
      <c r="AD565" s="198">
        <v>2150</v>
      </c>
      <c r="AE565" s="202">
        <v>-0.39999999999999991</v>
      </c>
      <c r="AF565" s="203" t="s">
        <v>82</v>
      </c>
      <c r="AG565" s="203">
        <v>-0.4</v>
      </c>
      <c r="AH565" s="204" t="s">
        <v>82</v>
      </c>
      <c r="AI565" s="203" t="s">
        <v>82</v>
      </c>
      <c r="AJ565" s="203" t="s">
        <v>82</v>
      </c>
    </row>
    <row customFormat="1" r="566" s="205" spans="1:36" x14ac:dyDescent="0.2">
      <c r="A566" s="193">
        <v>562</v>
      </c>
      <c r="B566" s="215">
        <v>15</v>
      </c>
      <c r="C566" s="195" t="s">
        <v>372</v>
      </c>
      <c r="D566" s="195">
        <v>1</v>
      </c>
      <c r="E566" s="195" t="s">
        <v>373</v>
      </c>
      <c r="F566" s="196">
        <v>44546</v>
      </c>
      <c r="G566" s="197" t="s">
        <v>7</v>
      </c>
      <c r="H566" s="198">
        <v>2151</v>
      </c>
      <c r="I566" s="196" t="s">
        <v>375</v>
      </c>
      <c r="J566" s="199">
        <v>1650</v>
      </c>
      <c r="K566" s="198">
        <v>1749</v>
      </c>
      <c r="L566" s="200">
        <v>0</v>
      </c>
      <c r="M566" s="201"/>
      <c r="N566" s="199">
        <v>2151</v>
      </c>
      <c r="O566" s="202">
        <v>3.8</v>
      </c>
      <c r="P566" s="203">
        <v>3.4</v>
      </c>
      <c r="Q566" s="203">
        <v>0.4</v>
      </c>
      <c r="R566" s="204">
        <v>3.8</v>
      </c>
      <c r="S566" s="203">
        <v>3.8</v>
      </c>
      <c r="T566" s="203" t="s">
        <v>84</v>
      </c>
      <c r="V566" s="198">
        <v>2151</v>
      </c>
      <c r="W566" s="202">
        <v>3.4</v>
      </c>
      <c r="X566" s="203">
        <v>3.4</v>
      </c>
      <c r="Y566" s="203">
        <v>0</v>
      </c>
      <c r="Z566" s="204">
        <v>3.8</v>
      </c>
      <c r="AA566" s="203">
        <v>3.8</v>
      </c>
      <c r="AB566" s="203" t="s">
        <v>84</v>
      </c>
      <c r="AD566" s="198">
        <v>2151</v>
      </c>
      <c r="AE566" s="202">
        <v>-0.39999999999999991</v>
      </c>
      <c r="AF566" s="203" t="s">
        <v>82</v>
      </c>
      <c r="AG566" s="203">
        <v>-0.4</v>
      </c>
      <c r="AH566" s="204" t="s">
        <v>82</v>
      </c>
      <c r="AI566" s="203" t="s">
        <v>82</v>
      </c>
      <c r="AJ566" s="203" t="s">
        <v>82</v>
      </c>
    </row>
    <row customFormat="1" r="567" s="205" spans="1:36" x14ac:dyDescent="0.2">
      <c r="A567" s="193">
        <v>563</v>
      </c>
      <c r="B567" s="215">
        <v>15</v>
      </c>
      <c r="C567" s="195" t="s">
        <v>372</v>
      </c>
      <c r="D567" s="195">
        <v>1</v>
      </c>
      <c r="E567" s="195" t="s">
        <v>373</v>
      </c>
      <c r="F567" s="196">
        <v>44553</v>
      </c>
      <c r="G567" s="197" t="s">
        <v>7</v>
      </c>
      <c r="H567" s="198">
        <v>2152</v>
      </c>
      <c r="I567" s="196" t="s">
        <v>375</v>
      </c>
      <c r="J567" s="199">
        <v>1650</v>
      </c>
      <c r="K567" s="198">
        <v>1749</v>
      </c>
      <c r="L567" s="200">
        <v>0</v>
      </c>
      <c r="M567" s="201"/>
      <c r="N567" s="199">
        <v>2152</v>
      </c>
      <c r="O567" s="202">
        <v>4</v>
      </c>
      <c r="P567" s="203">
        <v>3.6</v>
      </c>
      <c r="Q567" s="203">
        <v>0.4</v>
      </c>
      <c r="R567" s="204">
        <v>3.7</v>
      </c>
      <c r="S567" s="203">
        <v>3.7</v>
      </c>
      <c r="T567" s="203" t="s">
        <v>84</v>
      </c>
      <c r="V567" s="198">
        <v>2152</v>
      </c>
      <c r="W567" s="202">
        <v>3.6</v>
      </c>
      <c r="X567" s="203">
        <v>3.6</v>
      </c>
      <c r="Y567" s="203">
        <v>0</v>
      </c>
      <c r="Z567" s="204">
        <v>3.7</v>
      </c>
      <c r="AA567" s="203">
        <v>3.7</v>
      </c>
      <c r="AB567" s="203" t="s">
        <v>84</v>
      </c>
      <c r="AD567" s="198">
        <v>2152</v>
      </c>
      <c r="AE567" s="202">
        <v>-0.39999999999999991</v>
      </c>
      <c r="AF567" s="203" t="s">
        <v>82</v>
      </c>
      <c r="AG567" s="203">
        <v>-0.4</v>
      </c>
      <c r="AH567" s="204" t="s">
        <v>82</v>
      </c>
      <c r="AI567" s="203" t="s">
        <v>82</v>
      </c>
      <c r="AJ567" s="203" t="s">
        <v>82</v>
      </c>
    </row>
    <row customFormat="1" r="568" s="205" spans="1:36" x14ac:dyDescent="0.2">
      <c r="A568" s="193">
        <v>564</v>
      </c>
      <c r="B568" s="215">
        <v>15</v>
      </c>
      <c r="C568" s="195" t="s">
        <v>372</v>
      </c>
      <c r="D568" s="195">
        <v>1</v>
      </c>
      <c r="E568" s="195" t="s">
        <v>373</v>
      </c>
      <c r="F568" s="196">
        <v>44560</v>
      </c>
      <c r="G568" s="197" t="s">
        <v>7</v>
      </c>
      <c r="H568" s="198">
        <v>2201</v>
      </c>
      <c r="I568" s="196" t="s">
        <v>376</v>
      </c>
      <c r="J568" s="199">
        <v>1654</v>
      </c>
      <c r="K568" s="198">
        <v>1659</v>
      </c>
      <c r="L568" s="200">
        <v>1</v>
      </c>
      <c r="M568" s="201"/>
      <c r="N568" s="199">
        <v>2201</v>
      </c>
      <c r="O568" s="202">
        <v>7.3</v>
      </c>
      <c r="P568" s="203">
        <v>3.5</v>
      </c>
      <c r="Q568" s="203">
        <v>3.8</v>
      </c>
      <c r="R568" s="204">
        <v>26</v>
      </c>
      <c r="S568" s="203">
        <v>3.5</v>
      </c>
      <c r="T568" s="203">
        <v>22.5</v>
      </c>
      <c r="V568" s="198">
        <v>2201</v>
      </c>
      <c r="W568" s="202">
        <v>3.5</v>
      </c>
      <c r="X568" s="203">
        <v>3.5</v>
      </c>
      <c r="Y568" s="203">
        <v>0</v>
      </c>
      <c r="Z568" s="204">
        <v>3.5</v>
      </c>
      <c r="AA568" s="203">
        <v>3.5</v>
      </c>
      <c r="AB568" s="203">
        <v>0</v>
      </c>
      <c r="AD568" s="198">
        <v>2201</v>
      </c>
      <c r="AE568" s="202">
        <v>-3.8</v>
      </c>
      <c r="AF568" s="203" t="s">
        <v>82</v>
      </c>
      <c r="AG568" s="203">
        <v>-3.8</v>
      </c>
      <c r="AH568" s="204">
        <v>-22.5</v>
      </c>
      <c r="AI568" s="203" t="s">
        <v>82</v>
      </c>
      <c r="AJ568" s="203">
        <v>-22.5</v>
      </c>
    </row>
    <row customFormat="1" r="569" s="205" spans="1:36" x14ac:dyDescent="0.2">
      <c r="A569" s="193">
        <v>565</v>
      </c>
      <c r="B569" s="215">
        <v>15</v>
      </c>
      <c r="C569" s="195" t="s">
        <v>372</v>
      </c>
      <c r="D569" s="195">
        <v>2</v>
      </c>
      <c r="E569" s="195" t="s">
        <v>377</v>
      </c>
      <c r="F569" s="196">
        <v>44327</v>
      </c>
      <c r="G569" s="197" t="s">
        <v>5</v>
      </c>
      <c r="H569" s="198">
        <v>2120</v>
      </c>
      <c r="I569" s="196" t="s">
        <v>378</v>
      </c>
      <c r="J569" s="199">
        <v>950</v>
      </c>
      <c r="K569" s="198">
        <v>1119</v>
      </c>
      <c r="L569" s="200">
        <v>0</v>
      </c>
      <c r="M569" s="201"/>
      <c r="N569" s="199">
        <v>2120</v>
      </c>
      <c r="O569" s="202">
        <v>5.8</v>
      </c>
      <c r="P569" s="203">
        <v>3.5</v>
      </c>
      <c r="Q569" s="203">
        <v>2.2999999999999998</v>
      </c>
      <c r="R569" s="204">
        <v>2.5</v>
      </c>
      <c r="S569" s="203">
        <v>2.5</v>
      </c>
      <c r="T569" s="203">
        <v>0</v>
      </c>
      <c r="V569" s="198">
        <v>2120</v>
      </c>
      <c r="W569" s="202">
        <v>3.5</v>
      </c>
      <c r="X569" s="203">
        <v>3.5</v>
      </c>
      <c r="Y569" s="203">
        <v>0</v>
      </c>
      <c r="Z569" s="204">
        <v>2.5</v>
      </c>
      <c r="AA569" s="203">
        <v>2.5</v>
      </c>
      <c r="AB569" s="203">
        <v>0</v>
      </c>
      <c r="AD569" s="198">
        <v>2120</v>
      </c>
      <c r="AE569" s="202">
        <v>-2.2999999999999998</v>
      </c>
      <c r="AF569" s="203" t="s">
        <v>82</v>
      </c>
      <c r="AG569" s="203">
        <v>-2.2999999999999998</v>
      </c>
      <c r="AH569" s="204" t="s">
        <v>82</v>
      </c>
      <c r="AI569" s="203" t="s">
        <v>82</v>
      </c>
      <c r="AJ569" s="203" t="s">
        <v>82</v>
      </c>
    </row>
    <row customFormat="1" r="570" s="205" spans="1:36" x14ac:dyDescent="0.2">
      <c r="A570" s="193">
        <v>566</v>
      </c>
      <c r="B570" s="215">
        <v>15</v>
      </c>
      <c r="C570" s="195" t="s">
        <v>372</v>
      </c>
      <c r="D570" s="195">
        <v>2</v>
      </c>
      <c r="E570" s="195" t="s">
        <v>377</v>
      </c>
      <c r="F570" s="196">
        <v>44334</v>
      </c>
      <c r="G570" s="197" t="s">
        <v>5</v>
      </c>
      <c r="H570" s="198">
        <v>2121</v>
      </c>
      <c r="I570" s="196" t="s">
        <v>378</v>
      </c>
      <c r="J570" s="199">
        <v>950</v>
      </c>
      <c r="K570" s="198">
        <v>1119</v>
      </c>
      <c r="L570" s="200">
        <v>0</v>
      </c>
      <c r="M570" s="201"/>
      <c r="N570" s="199">
        <v>2121</v>
      </c>
      <c r="O570" s="202">
        <v>6.1</v>
      </c>
      <c r="P570" s="203">
        <v>3.7</v>
      </c>
      <c r="Q570" s="203">
        <v>2.4</v>
      </c>
      <c r="R570" s="204">
        <v>2.6</v>
      </c>
      <c r="S570" s="203">
        <v>2.6</v>
      </c>
      <c r="T570" s="203">
        <v>0</v>
      </c>
      <c r="V570" s="198">
        <v>2121</v>
      </c>
      <c r="W570" s="202">
        <v>3.7</v>
      </c>
      <c r="X570" s="203">
        <v>3.7</v>
      </c>
      <c r="Y570" s="203">
        <v>0</v>
      </c>
      <c r="Z570" s="204">
        <v>2.6</v>
      </c>
      <c r="AA570" s="203">
        <v>2.6</v>
      </c>
      <c r="AB570" s="203">
        <v>0</v>
      </c>
      <c r="AD570" s="198">
        <v>2121</v>
      </c>
      <c r="AE570" s="202">
        <v>-2.3999999999999995</v>
      </c>
      <c r="AF570" s="203" t="s">
        <v>82</v>
      </c>
      <c r="AG570" s="203">
        <v>-2.4</v>
      </c>
      <c r="AH570" s="204" t="s">
        <v>82</v>
      </c>
      <c r="AI570" s="203" t="s">
        <v>82</v>
      </c>
      <c r="AJ570" s="203" t="s">
        <v>82</v>
      </c>
    </row>
    <row customFormat="1" r="571" s="205" spans="1:36" x14ac:dyDescent="0.2">
      <c r="A571" s="193">
        <v>567</v>
      </c>
      <c r="B571" s="215">
        <v>15</v>
      </c>
      <c r="C571" s="195" t="s">
        <v>372</v>
      </c>
      <c r="D571" s="195">
        <v>2</v>
      </c>
      <c r="E571" s="195" t="s">
        <v>377</v>
      </c>
      <c r="F571" s="196">
        <v>44341</v>
      </c>
      <c r="G571" s="197" t="s">
        <v>5</v>
      </c>
      <c r="H571" s="198">
        <v>2122</v>
      </c>
      <c r="I571" s="196" t="s">
        <v>378</v>
      </c>
      <c r="J571" s="199">
        <v>950</v>
      </c>
      <c r="K571" s="198">
        <v>1119</v>
      </c>
      <c r="L571" s="200">
        <v>0</v>
      </c>
      <c r="M571" s="201"/>
      <c r="N571" s="199">
        <v>2122</v>
      </c>
      <c r="O571" s="202">
        <v>5.9</v>
      </c>
      <c r="P571" s="203">
        <v>3.5</v>
      </c>
      <c r="Q571" s="203">
        <v>2.4</v>
      </c>
      <c r="R571" s="204">
        <v>2.6</v>
      </c>
      <c r="S571" s="203">
        <v>2.6</v>
      </c>
      <c r="T571" s="203">
        <v>0</v>
      </c>
      <c r="V571" s="198">
        <v>2122</v>
      </c>
      <c r="W571" s="202">
        <v>3.5</v>
      </c>
      <c r="X571" s="203">
        <v>3.5</v>
      </c>
      <c r="Y571" s="203">
        <v>0</v>
      </c>
      <c r="Z571" s="204">
        <v>2.6</v>
      </c>
      <c r="AA571" s="203">
        <v>2.6</v>
      </c>
      <c r="AB571" s="203">
        <v>0</v>
      </c>
      <c r="AD571" s="198">
        <v>2122</v>
      </c>
      <c r="AE571" s="202">
        <v>-2.4000000000000004</v>
      </c>
      <c r="AF571" s="203" t="s">
        <v>82</v>
      </c>
      <c r="AG571" s="203">
        <v>-2.4</v>
      </c>
      <c r="AH571" s="204" t="s">
        <v>82</v>
      </c>
      <c r="AI571" s="203" t="s">
        <v>82</v>
      </c>
      <c r="AJ571" s="203" t="s">
        <v>82</v>
      </c>
    </row>
    <row customFormat="1" r="572" s="205" spans="1:36" x14ac:dyDescent="0.2">
      <c r="A572" s="193">
        <v>568</v>
      </c>
      <c r="B572" s="215">
        <v>15</v>
      </c>
      <c r="C572" s="195" t="s">
        <v>372</v>
      </c>
      <c r="D572" s="195">
        <v>2</v>
      </c>
      <c r="E572" s="195" t="s">
        <v>377</v>
      </c>
      <c r="F572" s="196">
        <v>44348</v>
      </c>
      <c r="G572" s="197" t="s">
        <v>5</v>
      </c>
      <c r="H572" s="198">
        <v>2123</v>
      </c>
      <c r="I572" s="196" t="s">
        <v>378</v>
      </c>
      <c r="J572" s="199">
        <v>950</v>
      </c>
      <c r="K572" s="198">
        <v>1119</v>
      </c>
      <c r="L572" s="200">
        <v>0</v>
      </c>
      <c r="M572" s="201"/>
      <c r="N572" s="199">
        <v>2123</v>
      </c>
      <c r="O572" s="202">
        <v>5.9</v>
      </c>
      <c r="P572" s="203">
        <v>3.5</v>
      </c>
      <c r="Q572" s="203">
        <v>2.4</v>
      </c>
      <c r="R572" s="204">
        <v>2.7</v>
      </c>
      <c r="S572" s="203">
        <v>2.7</v>
      </c>
      <c r="T572" s="203">
        <v>0</v>
      </c>
      <c r="V572" s="198">
        <v>2123</v>
      </c>
      <c r="W572" s="202">
        <v>3.5</v>
      </c>
      <c r="X572" s="203">
        <v>3.5</v>
      </c>
      <c r="Y572" s="203">
        <v>0</v>
      </c>
      <c r="Z572" s="204">
        <v>2.7</v>
      </c>
      <c r="AA572" s="203">
        <v>2.7</v>
      </c>
      <c r="AB572" s="203">
        <v>0</v>
      </c>
      <c r="AD572" s="198">
        <v>2123</v>
      </c>
      <c r="AE572" s="202">
        <v>-2.4000000000000004</v>
      </c>
      <c r="AF572" s="203" t="s">
        <v>82</v>
      </c>
      <c r="AG572" s="203">
        <v>-2.4</v>
      </c>
      <c r="AH572" s="204" t="s">
        <v>82</v>
      </c>
      <c r="AI572" s="203" t="s">
        <v>82</v>
      </c>
      <c r="AJ572" s="203" t="s">
        <v>82</v>
      </c>
    </row>
    <row customFormat="1" r="573" s="205" spans="1:36" x14ac:dyDescent="0.2">
      <c r="A573" s="193">
        <v>569</v>
      </c>
      <c r="B573" s="215">
        <v>15</v>
      </c>
      <c r="C573" s="195" t="s">
        <v>372</v>
      </c>
      <c r="D573" s="195">
        <v>2</v>
      </c>
      <c r="E573" s="195" t="s">
        <v>377</v>
      </c>
      <c r="F573" s="196">
        <v>44375</v>
      </c>
      <c r="G573" s="197" t="s">
        <v>4</v>
      </c>
      <c r="H573" s="198">
        <v>2127</v>
      </c>
      <c r="I573" s="196" t="s">
        <v>379</v>
      </c>
      <c r="J573" s="199">
        <v>1650</v>
      </c>
      <c r="K573" s="198">
        <v>1747</v>
      </c>
      <c r="L573" s="200">
        <v>0</v>
      </c>
      <c r="M573" s="201"/>
      <c r="N573" s="199">
        <v>2127</v>
      </c>
      <c r="O573" s="202">
        <v>2.1</v>
      </c>
      <c r="P573" s="203">
        <v>2</v>
      </c>
      <c r="Q573" s="203">
        <v>0.1</v>
      </c>
      <c r="R573" s="204">
        <v>2.2000000000000002</v>
      </c>
      <c r="S573" s="203">
        <v>2.2000000000000002</v>
      </c>
      <c r="T573" s="203" t="s">
        <v>84</v>
      </c>
      <c r="V573" s="198">
        <v>2127</v>
      </c>
      <c r="W573" s="202">
        <v>2</v>
      </c>
      <c r="X573" s="203">
        <v>2</v>
      </c>
      <c r="Y573" s="203">
        <v>0</v>
      </c>
      <c r="Z573" s="204">
        <v>2.2000000000000002</v>
      </c>
      <c r="AA573" s="203">
        <v>2.2000000000000002</v>
      </c>
      <c r="AB573" s="203" t="s">
        <v>84</v>
      </c>
      <c r="AD573" s="198">
        <v>2127</v>
      </c>
      <c r="AE573" s="202">
        <v>-0.10000000000000009</v>
      </c>
      <c r="AF573" s="203" t="s">
        <v>82</v>
      </c>
      <c r="AG573" s="203">
        <v>-0.1</v>
      </c>
      <c r="AH573" s="204" t="s">
        <v>82</v>
      </c>
      <c r="AI573" s="203" t="s">
        <v>82</v>
      </c>
      <c r="AJ573" s="203" t="s">
        <v>82</v>
      </c>
    </row>
    <row customFormat="1" r="574" s="205" spans="1:36" x14ac:dyDescent="0.2">
      <c r="A574" s="193">
        <v>570</v>
      </c>
      <c r="B574" s="215">
        <v>15</v>
      </c>
      <c r="C574" s="195" t="s">
        <v>372</v>
      </c>
      <c r="D574" s="195">
        <v>2</v>
      </c>
      <c r="E574" s="195" t="s">
        <v>377</v>
      </c>
      <c r="F574" s="196">
        <v>44382</v>
      </c>
      <c r="G574" s="197" t="s">
        <v>4</v>
      </c>
      <c r="H574" s="198">
        <v>2128</v>
      </c>
      <c r="I574" s="196" t="s">
        <v>379</v>
      </c>
      <c r="J574" s="199">
        <v>1650</v>
      </c>
      <c r="K574" s="198">
        <v>1747</v>
      </c>
      <c r="L574" s="200">
        <v>0</v>
      </c>
      <c r="M574" s="201"/>
      <c r="N574" s="199">
        <v>2128</v>
      </c>
      <c r="O574" s="202">
        <v>1.8</v>
      </c>
      <c r="P574" s="203">
        <v>1.7</v>
      </c>
      <c r="Q574" s="203">
        <v>0.1</v>
      </c>
      <c r="R574" s="204">
        <v>2</v>
      </c>
      <c r="S574" s="203">
        <v>2</v>
      </c>
      <c r="T574" s="203" t="s">
        <v>84</v>
      </c>
      <c r="V574" s="198">
        <v>2128</v>
      </c>
      <c r="W574" s="202">
        <v>1.7</v>
      </c>
      <c r="X574" s="203">
        <v>1.7</v>
      </c>
      <c r="Y574" s="203">
        <v>0</v>
      </c>
      <c r="Z574" s="204">
        <v>2</v>
      </c>
      <c r="AA574" s="203">
        <v>2</v>
      </c>
      <c r="AB574" s="203" t="s">
        <v>84</v>
      </c>
      <c r="AD574" s="198">
        <v>2128</v>
      </c>
      <c r="AE574" s="202">
        <v>-0.10000000000000009</v>
      </c>
      <c r="AF574" s="203" t="s">
        <v>82</v>
      </c>
      <c r="AG574" s="203">
        <v>-0.1</v>
      </c>
      <c r="AH574" s="204" t="s">
        <v>82</v>
      </c>
      <c r="AI574" s="203" t="s">
        <v>82</v>
      </c>
      <c r="AJ574" s="203" t="s">
        <v>82</v>
      </c>
    </row>
    <row customFormat="1" r="575" s="205" spans="1:36" x14ac:dyDescent="0.2">
      <c r="A575" s="193">
        <v>571</v>
      </c>
      <c r="B575" s="215">
        <v>15</v>
      </c>
      <c r="C575" s="195" t="s">
        <v>372</v>
      </c>
      <c r="D575" s="195">
        <v>2</v>
      </c>
      <c r="E575" s="195" t="s">
        <v>377</v>
      </c>
      <c r="F575" s="196">
        <v>44389</v>
      </c>
      <c r="G575" s="197" t="s">
        <v>4</v>
      </c>
      <c r="H575" s="198">
        <v>2129</v>
      </c>
      <c r="I575" s="196" t="s">
        <v>379</v>
      </c>
      <c r="J575" s="199">
        <v>1650</v>
      </c>
      <c r="K575" s="198">
        <v>1747</v>
      </c>
      <c r="L575" s="200">
        <v>0</v>
      </c>
      <c r="M575" s="201"/>
      <c r="N575" s="199">
        <v>2129</v>
      </c>
      <c r="O575" s="202">
        <v>1.8</v>
      </c>
      <c r="P575" s="203">
        <v>1.7</v>
      </c>
      <c r="Q575" s="203">
        <v>0.1</v>
      </c>
      <c r="R575" s="204">
        <v>2.1</v>
      </c>
      <c r="S575" s="203">
        <v>2.1</v>
      </c>
      <c r="T575" s="203" t="s">
        <v>84</v>
      </c>
      <c r="V575" s="198">
        <v>2129</v>
      </c>
      <c r="W575" s="202">
        <v>1.7</v>
      </c>
      <c r="X575" s="203">
        <v>1.7</v>
      </c>
      <c r="Y575" s="203">
        <v>0</v>
      </c>
      <c r="Z575" s="204">
        <v>2.1</v>
      </c>
      <c r="AA575" s="203">
        <v>2.1</v>
      </c>
      <c r="AB575" s="203" t="s">
        <v>84</v>
      </c>
      <c r="AD575" s="198">
        <v>2129</v>
      </c>
      <c r="AE575" s="202">
        <v>-0.10000000000000009</v>
      </c>
      <c r="AF575" s="203" t="s">
        <v>82</v>
      </c>
      <c r="AG575" s="203">
        <v>-0.1</v>
      </c>
      <c r="AH575" s="204" t="s">
        <v>82</v>
      </c>
      <c r="AI575" s="203" t="s">
        <v>82</v>
      </c>
      <c r="AJ575" s="203" t="s">
        <v>82</v>
      </c>
    </row>
    <row customFormat="1" r="576" s="205" spans="1:36" x14ac:dyDescent="0.2">
      <c r="A576" s="193">
        <v>572</v>
      </c>
      <c r="B576" s="215">
        <v>15</v>
      </c>
      <c r="C576" s="195" t="s">
        <v>372</v>
      </c>
      <c r="D576" s="195">
        <v>2</v>
      </c>
      <c r="E576" s="195" t="s">
        <v>377</v>
      </c>
      <c r="F576" s="196">
        <v>44396</v>
      </c>
      <c r="G576" s="197" t="s">
        <v>4</v>
      </c>
      <c r="H576" s="198">
        <v>2130</v>
      </c>
      <c r="I576" s="196" t="s">
        <v>379</v>
      </c>
      <c r="J576" s="199">
        <v>1650</v>
      </c>
      <c r="K576" s="198">
        <v>1747</v>
      </c>
      <c r="L576" s="200">
        <v>0</v>
      </c>
      <c r="M576" s="201"/>
      <c r="N576" s="199">
        <v>2130</v>
      </c>
      <c r="O576" s="202">
        <v>1.5</v>
      </c>
      <c r="P576" s="203">
        <v>1.4</v>
      </c>
      <c r="Q576" s="203">
        <v>0.1</v>
      </c>
      <c r="R576" s="204">
        <v>1.9</v>
      </c>
      <c r="S576" s="203">
        <v>1.9</v>
      </c>
      <c r="T576" s="203" t="s">
        <v>84</v>
      </c>
      <c r="V576" s="198">
        <v>2130</v>
      </c>
      <c r="W576" s="202">
        <v>1.4</v>
      </c>
      <c r="X576" s="203">
        <v>1.4</v>
      </c>
      <c r="Y576" s="203">
        <v>0</v>
      </c>
      <c r="Z576" s="204">
        <v>1.9</v>
      </c>
      <c r="AA576" s="203">
        <v>1.9</v>
      </c>
      <c r="AB576" s="203" t="s">
        <v>84</v>
      </c>
      <c r="AD576" s="198">
        <v>2130</v>
      </c>
      <c r="AE576" s="202">
        <v>-0.10000000000000009</v>
      </c>
      <c r="AF576" s="203" t="s">
        <v>82</v>
      </c>
      <c r="AG576" s="203">
        <v>-0.1</v>
      </c>
      <c r="AH576" s="204" t="s">
        <v>82</v>
      </c>
      <c r="AI576" s="203" t="s">
        <v>82</v>
      </c>
      <c r="AJ576" s="203" t="s">
        <v>82</v>
      </c>
    </row>
    <row customFormat="1" r="577" s="205" spans="1:36" x14ac:dyDescent="0.2">
      <c r="A577" s="193">
        <v>573</v>
      </c>
      <c r="B577" s="215">
        <v>15</v>
      </c>
      <c r="C577" s="195" t="s">
        <v>372</v>
      </c>
      <c r="D577" s="195">
        <v>2</v>
      </c>
      <c r="E577" s="195" t="s">
        <v>377</v>
      </c>
      <c r="F577" s="196">
        <v>44560</v>
      </c>
      <c r="G577" s="197" t="s">
        <v>7</v>
      </c>
      <c r="H577" s="198">
        <v>2201</v>
      </c>
      <c r="I577" s="196" t="s">
        <v>380</v>
      </c>
      <c r="J577" s="199">
        <v>1900</v>
      </c>
      <c r="K577" s="198">
        <v>2159</v>
      </c>
      <c r="L577" s="200">
        <v>0</v>
      </c>
      <c r="M577" s="201"/>
      <c r="N577" s="199">
        <v>2201</v>
      </c>
      <c r="O577" s="202">
        <v>6.3</v>
      </c>
      <c r="P577" s="203">
        <v>5.9</v>
      </c>
      <c r="Q577" s="203">
        <v>0.4</v>
      </c>
      <c r="R577" s="204">
        <v>5</v>
      </c>
      <c r="S577" s="203">
        <v>4.9000000000000004</v>
      </c>
      <c r="T577" s="203">
        <v>0.1</v>
      </c>
      <c r="V577" s="198">
        <v>2201</v>
      </c>
      <c r="W577" s="202">
        <v>6.2</v>
      </c>
      <c r="X577" s="203">
        <v>5.9</v>
      </c>
      <c r="Y577" s="203">
        <v>0.3</v>
      </c>
      <c r="Z577" s="204">
        <v>5</v>
      </c>
      <c r="AA577" s="203">
        <v>4.9000000000000004</v>
      </c>
      <c r="AB577" s="203">
        <v>0.1</v>
      </c>
      <c r="AD577" s="198">
        <v>2201</v>
      </c>
      <c r="AE577" s="202">
        <v>-9.9999999999999645E-2</v>
      </c>
      <c r="AF577" s="203" t="s">
        <v>82</v>
      </c>
      <c r="AG577" s="203">
        <v>-0.10000000000000003</v>
      </c>
      <c r="AH577" s="204" t="s">
        <v>82</v>
      </c>
      <c r="AI577" s="203" t="s">
        <v>82</v>
      </c>
      <c r="AJ577" s="203" t="s">
        <v>82</v>
      </c>
    </row>
    <row customFormat="1" r="578" s="205" spans="1:36" x14ac:dyDescent="0.2">
      <c r="A578" s="193">
        <v>574</v>
      </c>
      <c r="B578" s="215">
        <v>15</v>
      </c>
      <c r="C578" s="195" t="s">
        <v>372</v>
      </c>
      <c r="D578" s="195">
        <v>2</v>
      </c>
      <c r="E578" s="195" t="s">
        <v>377</v>
      </c>
      <c r="F578" s="196">
        <v>44567</v>
      </c>
      <c r="G578" s="197" t="s">
        <v>7</v>
      </c>
      <c r="H578" s="198">
        <v>2202</v>
      </c>
      <c r="I578" s="196" t="s">
        <v>381</v>
      </c>
      <c r="J578" s="199">
        <v>1900</v>
      </c>
      <c r="K578" s="198">
        <v>2147</v>
      </c>
      <c r="L578" s="200">
        <v>0</v>
      </c>
      <c r="M578" s="201"/>
      <c r="N578" s="199">
        <v>2202</v>
      </c>
      <c r="O578" s="202">
        <v>7.1</v>
      </c>
      <c r="P578" s="203">
        <v>6.6</v>
      </c>
      <c r="Q578" s="203">
        <v>0.5</v>
      </c>
      <c r="R578" s="204">
        <v>5.5</v>
      </c>
      <c r="S578" s="203">
        <v>5.3</v>
      </c>
      <c r="T578" s="203">
        <v>0.2</v>
      </c>
      <c r="V578" s="198">
        <v>2202</v>
      </c>
      <c r="W578" s="202">
        <v>7</v>
      </c>
      <c r="X578" s="203">
        <v>6.6</v>
      </c>
      <c r="Y578" s="203">
        <v>0.4</v>
      </c>
      <c r="Z578" s="204">
        <v>5.5</v>
      </c>
      <c r="AA578" s="203">
        <v>5.3</v>
      </c>
      <c r="AB578" s="203">
        <v>0.2</v>
      </c>
      <c r="AD578" s="198">
        <v>2202</v>
      </c>
      <c r="AE578" s="202">
        <v>-9.9999999999999645E-2</v>
      </c>
      <c r="AF578" s="203" t="s">
        <v>82</v>
      </c>
      <c r="AG578" s="203">
        <v>-9.9999999999999978E-2</v>
      </c>
      <c r="AH578" s="204" t="s">
        <v>82</v>
      </c>
      <c r="AI578" s="203" t="s">
        <v>82</v>
      </c>
      <c r="AJ578" s="203" t="s">
        <v>82</v>
      </c>
    </row>
    <row customFormat="1" r="579" s="205" spans="1:36" x14ac:dyDescent="0.2">
      <c r="A579" s="193">
        <v>575</v>
      </c>
      <c r="B579" s="215">
        <v>15</v>
      </c>
      <c r="C579" s="195" t="s">
        <v>372</v>
      </c>
      <c r="D579" s="195">
        <v>2</v>
      </c>
      <c r="E579" s="195" t="s">
        <v>377</v>
      </c>
      <c r="F579" s="196">
        <v>44574</v>
      </c>
      <c r="G579" s="197" t="s">
        <v>7</v>
      </c>
      <c r="H579" s="198">
        <v>2203</v>
      </c>
      <c r="I579" s="196" t="s">
        <v>382</v>
      </c>
      <c r="J579" s="199">
        <v>2000</v>
      </c>
      <c r="K579" s="198">
        <v>2147</v>
      </c>
      <c r="L579" s="200">
        <v>0</v>
      </c>
      <c r="M579" s="201"/>
      <c r="N579" s="199">
        <v>2203</v>
      </c>
      <c r="O579" s="202">
        <v>7.6</v>
      </c>
      <c r="P579" s="203">
        <v>7.3</v>
      </c>
      <c r="Q579" s="203">
        <v>0.3</v>
      </c>
      <c r="R579" s="204">
        <v>6.6</v>
      </c>
      <c r="S579" s="203">
        <v>6.4</v>
      </c>
      <c r="T579" s="203">
        <v>0.2</v>
      </c>
      <c r="V579" s="198">
        <v>2203</v>
      </c>
      <c r="W579" s="202">
        <v>7.5</v>
      </c>
      <c r="X579" s="203">
        <v>7.3</v>
      </c>
      <c r="Y579" s="203">
        <v>0.2</v>
      </c>
      <c r="Z579" s="204">
        <v>6.6</v>
      </c>
      <c r="AA579" s="203">
        <v>6.4</v>
      </c>
      <c r="AB579" s="203">
        <v>0.2</v>
      </c>
      <c r="AD579" s="198">
        <v>2203</v>
      </c>
      <c r="AE579" s="202">
        <v>-9.9999999999999645E-2</v>
      </c>
      <c r="AF579" s="203" t="s">
        <v>82</v>
      </c>
      <c r="AG579" s="203">
        <v>-9.9999999999999978E-2</v>
      </c>
      <c r="AH579" s="204"/>
      <c r="AI579" s="203" t="s">
        <v>82</v>
      </c>
      <c r="AJ579" s="203" t="s">
        <v>82</v>
      </c>
    </row>
    <row customFormat="1" r="580" s="205" spans="1:36" x14ac:dyDescent="0.2">
      <c r="A580" s="193">
        <v>576</v>
      </c>
      <c r="B580" s="215">
        <v>15</v>
      </c>
      <c r="C580" s="195" t="s">
        <v>372</v>
      </c>
      <c r="D580" s="195">
        <v>2</v>
      </c>
      <c r="E580" s="195" t="s">
        <v>377</v>
      </c>
      <c r="F580" s="196">
        <v>44581</v>
      </c>
      <c r="G580" s="197" t="s">
        <v>7</v>
      </c>
      <c r="H580" s="198">
        <v>2204</v>
      </c>
      <c r="I580" s="196" t="s">
        <v>383</v>
      </c>
      <c r="J580" s="199">
        <v>2100</v>
      </c>
      <c r="K580" s="198">
        <v>2153</v>
      </c>
      <c r="L580" s="200">
        <v>0</v>
      </c>
      <c r="M580" s="201"/>
      <c r="N580" s="199">
        <v>2204</v>
      </c>
      <c r="O580" s="202">
        <v>8.3000000000000007</v>
      </c>
      <c r="P580" s="203">
        <v>7.9</v>
      </c>
      <c r="Q580" s="203">
        <v>0.4</v>
      </c>
      <c r="R580" s="204">
        <v>6.8</v>
      </c>
      <c r="S580" s="203">
        <v>6.7</v>
      </c>
      <c r="T580" s="203">
        <v>0.1</v>
      </c>
      <c r="V580" s="198">
        <v>2204</v>
      </c>
      <c r="W580" s="202">
        <v>8.1</v>
      </c>
      <c r="X580" s="203">
        <v>7.9</v>
      </c>
      <c r="Y580" s="203">
        <v>0.2</v>
      </c>
      <c r="Z580" s="204">
        <v>6.8</v>
      </c>
      <c r="AA580" s="203">
        <v>6.7</v>
      </c>
      <c r="AB580" s="203">
        <v>0.1</v>
      </c>
      <c r="AD580" s="198">
        <v>2204</v>
      </c>
      <c r="AE580" s="202">
        <v>-0.20000000000000107</v>
      </c>
      <c r="AF580" s="203" t="s">
        <v>82</v>
      </c>
      <c r="AG580" s="203">
        <v>-0.2</v>
      </c>
      <c r="AH580" s="204" t="s">
        <v>82</v>
      </c>
      <c r="AI580" s="203" t="s">
        <v>82</v>
      </c>
      <c r="AJ580" s="203" t="s">
        <v>82</v>
      </c>
    </row>
    <row customFormat="1" r="581" s="205" spans="1:36" x14ac:dyDescent="0.2">
      <c r="A581" s="193">
        <v>577</v>
      </c>
      <c r="B581" s="215">
        <v>15</v>
      </c>
      <c r="C581" s="195" t="s">
        <v>372</v>
      </c>
      <c r="D581" s="195">
        <v>3</v>
      </c>
      <c r="E581" s="195" t="s">
        <v>384</v>
      </c>
      <c r="F581" s="196">
        <v>44521</v>
      </c>
      <c r="G581" s="197" t="s">
        <v>10</v>
      </c>
      <c r="H581" s="198">
        <v>2147</v>
      </c>
      <c r="I581" s="196" t="s">
        <v>385</v>
      </c>
      <c r="J581" s="199">
        <v>2300</v>
      </c>
      <c r="K581" s="198">
        <v>2354</v>
      </c>
      <c r="L581" s="200">
        <v>0</v>
      </c>
      <c r="M581" s="201"/>
      <c r="N581" s="199">
        <v>2147</v>
      </c>
      <c r="O581" s="202">
        <v>5</v>
      </c>
      <c r="P581" s="203">
        <v>4.8</v>
      </c>
      <c r="Q581" s="203">
        <v>0.2</v>
      </c>
      <c r="R581" s="204">
        <v>4</v>
      </c>
      <c r="S581" s="203">
        <v>4</v>
      </c>
      <c r="T581" s="203">
        <v>0</v>
      </c>
      <c r="V581" s="198">
        <v>2147</v>
      </c>
      <c r="W581" s="202">
        <v>4.8</v>
      </c>
      <c r="X581" s="203">
        <v>4.8</v>
      </c>
      <c r="Y581" s="203">
        <v>0</v>
      </c>
      <c r="Z581" s="204">
        <v>4</v>
      </c>
      <c r="AA581" s="203">
        <v>4</v>
      </c>
      <c r="AB581" s="203">
        <v>0</v>
      </c>
      <c r="AD581" s="198">
        <v>2147</v>
      </c>
      <c r="AE581" s="202">
        <v>-0.20000000000000018</v>
      </c>
      <c r="AF581" s="203" t="s">
        <v>82</v>
      </c>
      <c r="AG581" s="203">
        <v>-0.2</v>
      </c>
      <c r="AH581" s="204" t="s">
        <v>82</v>
      </c>
      <c r="AI581" s="203" t="s">
        <v>82</v>
      </c>
      <c r="AJ581" s="203" t="s">
        <v>82</v>
      </c>
    </row>
    <row customFormat="1" r="582" s="205" spans="1:36" x14ac:dyDescent="0.2">
      <c r="A582" s="193">
        <v>578</v>
      </c>
      <c r="B582" s="215">
        <v>15</v>
      </c>
      <c r="C582" s="195" t="s">
        <v>372</v>
      </c>
      <c r="D582" s="195">
        <v>3</v>
      </c>
      <c r="E582" s="195" t="s">
        <v>384</v>
      </c>
      <c r="F582" s="196">
        <v>44528</v>
      </c>
      <c r="G582" s="197" t="s">
        <v>10</v>
      </c>
      <c r="H582" s="198">
        <v>2148</v>
      </c>
      <c r="I582" s="196" t="s">
        <v>385</v>
      </c>
      <c r="J582" s="199">
        <v>2300</v>
      </c>
      <c r="K582" s="198">
        <v>2354</v>
      </c>
      <c r="L582" s="200">
        <v>0</v>
      </c>
      <c r="M582" s="201"/>
      <c r="N582" s="199">
        <v>2148</v>
      </c>
      <c r="O582" s="202">
        <v>4.9000000000000004</v>
      </c>
      <c r="P582" s="203">
        <v>4.7</v>
      </c>
      <c r="Q582" s="203">
        <v>0.2</v>
      </c>
      <c r="R582" s="204">
        <v>3.7</v>
      </c>
      <c r="S582" s="203">
        <v>3.7</v>
      </c>
      <c r="T582" s="203">
        <v>0</v>
      </c>
      <c r="V582" s="198">
        <v>2148</v>
      </c>
      <c r="W582" s="202">
        <v>4.7</v>
      </c>
      <c r="X582" s="203">
        <v>4.7</v>
      </c>
      <c r="Y582" s="203">
        <v>0</v>
      </c>
      <c r="Z582" s="204">
        <v>3.7</v>
      </c>
      <c r="AA582" s="203">
        <v>3.7</v>
      </c>
      <c r="AB582" s="203">
        <v>0</v>
      </c>
      <c r="AD582" s="198">
        <v>2148</v>
      </c>
      <c r="AE582" s="202">
        <v>-0.20000000000000018</v>
      </c>
      <c r="AF582" s="203" t="s">
        <v>82</v>
      </c>
      <c r="AG582" s="203">
        <v>-0.2</v>
      </c>
      <c r="AH582" s="204" t="s">
        <v>82</v>
      </c>
      <c r="AI582" s="203" t="s">
        <v>82</v>
      </c>
      <c r="AJ582" s="203" t="s">
        <v>82</v>
      </c>
    </row>
    <row customFormat="1" r="583" s="205" spans="1:36" x14ac:dyDescent="0.2">
      <c r="A583" s="193">
        <v>579</v>
      </c>
      <c r="B583" s="215">
        <v>15</v>
      </c>
      <c r="C583" s="195" t="s">
        <v>372</v>
      </c>
      <c r="D583" s="195">
        <v>3</v>
      </c>
      <c r="E583" s="195" t="s">
        <v>384</v>
      </c>
      <c r="F583" s="196">
        <v>44535</v>
      </c>
      <c r="G583" s="197" t="s">
        <v>10</v>
      </c>
      <c r="H583" s="198">
        <v>2149</v>
      </c>
      <c r="I583" s="196" t="s">
        <v>386</v>
      </c>
      <c r="J583" s="199">
        <v>2255</v>
      </c>
      <c r="K583" s="198">
        <v>2324</v>
      </c>
      <c r="L583" s="200">
        <v>0</v>
      </c>
      <c r="M583" s="201"/>
      <c r="N583" s="199">
        <v>2149</v>
      </c>
      <c r="O583" s="202">
        <v>5</v>
      </c>
      <c r="P583" s="203">
        <v>4.7</v>
      </c>
      <c r="Q583" s="203">
        <v>0.3</v>
      </c>
      <c r="R583" s="204">
        <v>5</v>
      </c>
      <c r="S583" s="203">
        <v>5</v>
      </c>
      <c r="T583" s="203">
        <v>0</v>
      </c>
      <c r="V583" s="198">
        <v>2149</v>
      </c>
      <c r="W583" s="202">
        <v>4.7</v>
      </c>
      <c r="X583" s="203">
        <v>4.7</v>
      </c>
      <c r="Y583" s="203">
        <v>0</v>
      </c>
      <c r="Z583" s="204">
        <v>5</v>
      </c>
      <c r="AA583" s="203">
        <v>5</v>
      </c>
      <c r="AB583" s="203">
        <v>0</v>
      </c>
      <c r="AD583" s="198">
        <v>2149</v>
      </c>
      <c r="AE583" s="202">
        <v>-0.29999999999999982</v>
      </c>
      <c r="AF583" s="203" t="s">
        <v>82</v>
      </c>
      <c r="AG583" s="203">
        <v>-0.3</v>
      </c>
      <c r="AH583" s="204" t="s">
        <v>82</v>
      </c>
      <c r="AI583" s="203" t="s">
        <v>82</v>
      </c>
      <c r="AJ583" s="203" t="s">
        <v>82</v>
      </c>
    </row>
    <row customFormat="1" r="584" s="205" spans="1:36" x14ac:dyDescent="0.2">
      <c r="A584" s="193">
        <v>580</v>
      </c>
      <c r="B584" s="215">
        <v>15</v>
      </c>
      <c r="C584" s="195" t="s">
        <v>372</v>
      </c>
      <c r="D584" s="195">
        <v>3</v>
      </c>
      <c r="E584" s="195" t="s">
        <v>384</v>
      </c>
      <c r="F584" s="196">
        <v>44542</v>
      </c>
      <c r="G584" s="197" t="s">
        <v>10</v>
      </c>
      <c r="H584" s="198">
        <v>2150</v>
      </c>
      <c r="I584" s="196" t="s">
        <v>385</v>
      </c>
      <c r="J584" s="199">
        <v>2300</v>
      </c>
      <c r="K584" s="198">
        <v>2354</v>
      </c>
      <c r="L584" s="200">
        <v>0</v>
      </c>
      <c r="M584" s="201"/>
      <c r="N584" s="199">
        <v>2150</v>
      </c>
      <c r="O584" s="202">
        <v>4.5999999999999996</v>
      </c>
      <c r="P584" s="203">
        <v>4.4000000000000004</v>
      </c>
      <c r="Q584" s="203">
        <v>0.2</v>
      </c>
      <c r="R584" s="204">
        <v>3.3</v>
      </c>
      <c r="S584" s="203">
        <v>3.3</v>
      </c>
      <c r="T584" s="203">
        <v>0</v>
      </c>
      <c r="V584" s="198">
        <v>2150</v>
      </c>
      <c r="W584" s="202">
        <v>4.4000000000000004</v>
      </c>
      <c r="X584" s="203">
        <v>4.4000000000000004</v>
      </c>
      <c r="Y584" s="203">
        <v>0</v>
      </c>
      <c r="Z584" s="204">
        <v>3.3</v>
      </c>
      <c r="AA584" s="203">
        <v>3.3</v>
      </c>
      <c r="AB584" s="203">
        <v>0</v>
      </c>
      <c r="AD584" s="198">
        <v>2150</v>
      </c>
      <c r="AE584" s="202">
        <v>-0.19999999999999929</v>
      </c>
      <c r="AF584" s="203" t="s">
        <v>82</v>
      </c>
      <c r="AG584" s="203">
        <v>-0.2</v>
      </c>
      <c r="AH584" s="204" t="s">
        <v>82</v>
      </c>
      <c r="AI584" s="203" t="s">
        <v>82</v>
      </c>
      <c r="AJ584" s="203" t="s">
        <v>82</v>
      </c>
    </row>
    <row customFormat="1" r="585" s="205" spans="1:36" x14ac:dyDescent="0.2">
      <c r="A585" s="193">
        <v>581</v>
      </c>
      <c r="B585" s="215">
        <v>16</v>
      </c>
      <c r="C585" s="195" t="s">
        <v>387</v>
      </c>
      <c r="D585" s="195">
        <v>1</v>
      </c>
      <c r="E585" s="195" t="s">
        <v>388</v>
      </c>
      <c r="F585" s="196">
        <v>44648</v>
      </c>
      <c r="G585" s="197" t="s">
        <v>4</v>
      </c>
      <c r="H585" s="198">
        <v>2214</v>
      </c>
      <c r="I585" s="196" t="s">
        <v>199</v>
      </c>
      <c r="J585" s="199">
        <v>1900</v>
      </c>
      <c r="K585" s="198">
        <v>2256</v>
      </c>
      <c r="L585" s="200">
        <v>0</v>
      </c>
      <c r="M585" s="201"/>
      <c r="N585" s="199">
        <v>2214</v>
      </c>
      <c r="O585" s="202">
        <v>3.6</v>
      </c>
      <c r="P585" s="203">
        <v>3.2</v>
      </c>
      <c r="Q585" s="203">
        <v>0.4</v>
      </c>
      <c r="R585" s="204">
        <v>2.4</v>
      </c>
      <c r="S585" s="203">
        <v>2.2999999999999998</v>
      </c>
      <c r="T585" s="203">
        <v>0.1</v>
      </c>
      <c r="V585" s="198">
        <v>2214</v>
      </c>
      <c r="W585" s="202">
        <v>3.6</v>
      </c>
      <c r="X585" s="203">
        <v>3.2</v>
      </c>
      <c r="Y585" s="203">
        <v>0.4</v>
      </c>
      <c r="Z585" s="204">
        <v>2.4</v>
      </c>
      <c r="AA585" s="203">
        <v>2.2999999999999998</v>
      </c>
      <c r="AB585" s="203">
        <v>0.1</v>
      </c>
      <c r="AD585" s="198">
        <v>2214</v>
      </c>
      <c r="AE585" s="202" t="s">
        <v>82</v>
      </c>
      <c r="AF585" s="203" t="s">
        <v>82</v>
      </c>
      <c r="AG585" s="203" t="s">
        <v>82</v>
      </c>
      <c r="AH585" s="204" t="s">
        <v>82</v>
      </c>
      <c r="AI585" s="203" t="s">
        <v>82</v>
      </c>
      <c r="AJ585" s="203" t="s">
        <v>82</v>
      </c>
    </row>
    <row customFormat="1" r="586" s="205" spans="1:36" x14ac:dyDescent="0.2">
      <c r="A586" s="193">
        <v>582</v>
      </c>
      <c r="B586" s="215">
        <v>16</v>
      </c>
      <c r="C586" s="195" t="s">
        <v>387</v>
      </c>
      <c r="D586" s="195">
        <v>1</v>
      </c>
      <c r="E586" s="195" t="s">
        <v>388</v>
      </c>
      <c r="F586" s="196">
        <v>44655</v>
      </c>
      <c r="G586" s="197" t="s">
        <v>4</v>
      </c>
      <c r="H586" s="198">
        <v>2215</v>
      </c>
      <c r="I586" s="196" t="s">
        <v>197</v>
      </c>
      <c r="J586" s="199">
        <v>1900</v>
      </c>
      <c r="K586" s="198">
        <v>2256</v>
      </c>
      <c r="L586" s="200">
        <v>0</v>
      </c>
      <c r="M586" s="201"/>
      <c r="N586" s="199">
        <v>2215</v>
      </c>
      <c r="O586" s="202">
        <v>3.8</v>
      </c>
      <c r="P586" s="203">
        <v>3.3</v>
      </c>
      <c r="Q586" s="203">
        <v>0.5</v>
      </c>
      <c r="R586" s="204">
        <v>3.3</v>
      </c>
      <c r="S586" s="203">
        <v>3</v>
      </c>
      <c r="T586" s="203">
        <v>0.3</v>
      </c>
      <c r="V586" s="198">
        <v>2215</v>
      </c>
      <c r="W586" s="202">
        <v>3.8</v>
      </c>
      <c r="X586" s="203">
        <v>3.3</v>
      </c>
      <c r="Y586" s="203">
        <v>0.5</v>
      </c>
      <c r="Z586" s="204">
        <v>3.3</v>
      </c>
      <c r="AA586" s="203">
        <v>3</v>
      </c>
      <c r="AB586" s="203">
        <v>0.3</v>
      </c>
      <c r="AD586" s="198">
        <v>2215</v>
      </c>
      <c r="AE586" s="202" t="s">
        <v>82</v>
      </c>
      <c r="AF586" s="203" t="s">
        <v>82</v>
      </c>
      <c r="AG586" s="203" t="s">
        <v>82</v>
      </c>
      <c r="AH586" s="204" t="s">
        <v>82</v>
      </c>
      <c r="AI586" s="203" t="s">
        <v>82</v>
      </c>
      <c r="AJ586" s="203" t="s">
        <v>82</v>
      </c>
    </row>
    <row customFormat="1" r="587" s="205" spans="1:36" x14ac:dyDescent="0.2">
      <c r="A587" s="193">
        <v>583</v>
      </c>
      <c r="B587" s="215">
        <v>16</v>
      </c>
      <c r="C587" s="195" t="s">
        <v>387</v>
      </c>
      <c r="D587" s="195">
        <v>1</v>
      </c>
      <c r="E587" s="195" t="s">
        <v>388</v>
      </c>
      <c r="F587" s="196">
        <v>44662</v>
      </c>
      <c r="G587" s="197" t="s">
        <v>4</v>
      </c>
      <c r="H587" s="198">
        <v>2216</v>
      </c>
      <c r="I587" s="196" t="s">
        <v>389</v>
      </c>
      <c r="J587" s="199">
        <v>2100</v>
      </c>
      <c r="K587" s="198">
        <v>2256</v>
      </c>
      <c r="L587" s="200">
        <v>0</v>
      </c>
      <c r="M587" s="201"/>
      <c r="N587" s="199">
        <v>2216</v>
      </c>
      <c r="O587" s="202">
        <v>4.2</v>
      </c>
      <c r="P587" s="203">
        <v>3.7</v>
      </c>
      <c r="Q587" s="203">
        <v>0.5</v>
      </c>
      <c r="R587" s="204">
        <v>3.5</v>
      </c>
      <c r="S587" s="203">
        <v>3.2</v>
      </c>
      <c r="T587" s="203">
        <v>0.3</v>
      </c>
      <c r="V587" s="198">
        <v>2216</v>
      </c>
      <c r="W587" s="202">
        <v>4.0999999999999996</v>
      </c>
      <c r="X587" s="203">
        <v>3.7</v>
      </c>
      <c r="Y587" s="203">
        <v>0.4</v>
      </c>
      <c r="Z587" s="204">
        <v>3.5</v>
      </c>
      <c r="AA587" s="203">
        <v>3.2</v>
      </c>
      <c r="AB587" s="203">
        <v>0.3</v>
      </c>
      <c r="AD587" s="198">
        <v>2216</v>
      </c>
      <c r="AE587" s="202">
        <v>-0.10000000000000053</v>
      </c>
      <c r="AF587" s="203" t="s">
        <v>82</v>
      </c>
      <c r="AG587" s="203">
        <v>-9.9999999999999978E-2</v>
      </c>
      <c r="AH587" s="204" t="s">
        <v>82</v>
      </c>
      <c r="AI587" s="203" t="s">
        <v>82</v>
      </c>
      <c r="AJ587" s="203" t="s">
        <v>82</v>
      </c>
    </row>
    <row customFormat="1" r="588" s="205" spans="1:36" x14ac:dyDescent="0.2">
      <c r="A588" s="193">
        <v>584</v>
      </c>
      <c r="B588" s="215">
        <v>16</v>
      </c>
      <c r="C588" s="195" t="s">
        <v>387</v>
      </c>
      <c r="D588" s="195">
        <v>1</v>
      </c>
      <c r="E588" s="195" t="s">
        <v>388</v>
      </c>
      <c r="F588" s="196">
        <v>44669</v>
      </c>
      <c r="G588" s="197" t="s">
        <v>4</v>
      </c>
      <c r="H588" s="198">
        <v>2217</v>
      </c>
      <c r="I588" s="196" t="s">
        <v>199</v>
      </c>
      <c r="J588" s="199">
        <v>1900</v>
      </c>
      <c r="K588" s="198">
        <v>2159</v>
      </c>
      <c r="L588" s="200">
        <v>0</v>
      </c>
      <c r="M588" s="201"/>
      <c r="N588" s="199">
        <v>2217</v>
      </c>
      <c r="O588" s="202">
        <v>4.5</v>
      </c>
      <c r="P588" s="203">
        <v>4.2</v>
      </c>
      <c r="Q588" s="203">
        <v>0.3</v>
      </c>
      <c r="R588" s="204">
        <v>4.7</v>
      </c>
      <c r="S588" s="203">
        <v>4.7</v>
      </c>
      <c r="T588" s="203" t="s">
        <v>84</v>
      </c>
      <c r="V588" s="198">
        <v>2217</v>
      </c>
      <c r="W588" s="202">
        <v>4.5</v>
      </c>
      <c r="X588" s="203">
        <v>4.2</v>
      </c>
      <c r="Y588" s="203">
        <v>0.3</v>
      </c>
      <c r="Z588" s="204">
        <v>4.7</v>
      </c>
      <c r="AA588" s="203">
        <v>4.7</v>
      </c>
      <c r="AB588" s="203" t="s">
        <v>84</v>
      </c>
      <c r="AD588" s="198">
        <v>2217</v>
      </c>
      <c r="AE588" s="202" t="s">
        <v>82</v>
      </c>
      <c r="AF588" s="203" t="s">
        <v>82</v>
      </c>
      <c r="AG588" s="203" t="s">
        <v>82</v>
      </c>
      <c r="AH588" s="204" t="s">
        <v>82</v>
      </c>
      <c r="AI588" s="203" t="s">
        <v>82</v>
      </c>
      <c r="AJ588" s="203" t="s">
        <v>82</v>
      </c>
    </row>
    <row customFormat="1" r="589" s="205" spans="1:36" x14ac:dyDescent="0.2">
      <c r="A589" s="193">
        <v>585</v>
      </c>
      <c r="B589" s="215">
        <v>16</v>
      </c>
      <c r="C589" s="195" t="s">
        <v>387</v>
      </c>
      <c r="D589" s="195">
        <v>2</v>
      </c>
      <c r="E589" s="195" t="s">
        <v>390</v>
      </c>
      <c r="F589" s="196">
        <v>44559</v>
      </c>
      <c r="G589" s="197" t="s">
        <v>6</v>
      </c>
      <c r="H589" s="198">
        <v>2201</v>
      </c>
      <c r="I589" s="196" t="s">
        <v>391</v>
      </c>
      <c r="J589" s="199">
        <v>1445</v>
      </c>
      <c r="K589" s="198">
        <v>1631</v>
      </c>
      <c r="L589" s="200">
        <v>0</v>
      </c>
      <c r="M589" s="201"/>
      <c r="N589" s="199">
        <v>2201</v>
      </c>
      <c r="O589" s="202">
        <v>1.5</v>
      </c>
      <c r="P589" s="203">
        <v>1.3</v>
      </c>
      <c r="Q589" s="203">
        <v>0.2</v>
      </c>
      <c r="R589" s="204">
        <v>1.7</v>
      </c>
      <c r="S589" s="203">
        <v>1.7</v>
      </c>
      <c r="T589" s="203" t="s">
        <v>84</v>
      </c>
      <c r="V589" s="198">
        <v>2201</v>
      </c>
      <c r="W589" s="202">
        <v>1.5</v>
      </c>
      <c r="X589" s="203">
        <v>1.3</v>
      </c>
      <c r="Y589" s="203">
        <v>0.2</v>
      </c>
      <c r="Z589" s="204">
        <v>1.7</v>
      </c>
      <c r="AA589" s="203">
        <v>1.7</v>
      </c>
      <c r="AB589" s="203" t="s">
        <v>84</v>
      </c>
      <c r="AD589" s="198">
        <v>2201</v>
      </c>
      <c r="AE589" s="202" t="s">
        <v>82</v>
      </c>
      <c r="AF589" s="203" t="s">
        <v>82</v>
      </c>
      <c r="AG589" s="203" t="s">
        <v>82</v>
      </c>
      <c r="AH589" s="204" t="s">
        <v>82</v>
      </c>
      <c r="AI589" s="203" t="s">
        <v>82</v>
      </c>
      <c r="AJ589" s="203" t="s">
        <v>82</v>
      </c>
    </row>
    <row customFormat="1" r="590" s="205" spans="1:36" x14ac:dyDescent="0.2">
      <c r="A590" s="193">
        <v>586</v>
      </c>
      <c r="B590" s="215">
        <v>16</v>
      </c>
      <c r="C590" s="195" t="s">
        <v>387</v>
      </c>
      <c r="D590" s="195">
        <v>2</v>
      </c>
      <c r="E590" s="195" t="s">
        <v>390</v>
      </c>
      <c r="F590" s="196">
        <v>44566</v>
      </c>
      <c r="G590" s="197" t="s">
        <v>6</v>
      </c>
      <c r="H590" s="198">
        <v>2202</v>
      </c>
      <c r="I590" s="196" t="s">
        <v>392</v>
      </c>
      <c r="J590" s="199">
        <v>1445</v>
      </c>
      <c r="K590" s="198">
        <v>1541</v>
      </c>
      <c r="L590" s="200">
        <v>0</v>
      </c>
      <c r="M590" s="201"/>
      <c r="N590" s="199">
        <v>2202</v>
      </c>
      <c r="O590" s="202">
        <v>1.7</v>
      </c>
      <c r="P590" s="203">
        <v>1.3</v>
      </c>
      <c r="Q590" s="203">
        <v>0.4</v>
      </c>
      <c r="R590" s="204">
        <v>1.3</v>
      </c>
      <c r="S590" s="203">
        <v>1.2</v>
      </c>
      <c r="T590" s="203">
        <v>0.1</v>
      </c>
      <c r="V590" s="198">
        <v>2202</v>
      </c>
      <c r="W590" s="202">
        <v>1.6</v>
      </c>
      <c r="X590" s="203">
        <v>1.3</v>
      </c>
      <c r="Y590" s="203">
        <v>0.3</v>
      </c>
      <c r="Z590" s="204">
        <v>1.3</v>
      </c>
      <c r="AA590" s="203">
        <v>1.2</v>
      </c>
      <c r="AB590" s="203">
        <v>0.1</v>
      </c>
      <c r="AD590" s="198">
        <v>2202</v>
      </c>
      <c r="AE590" s="202">
        <v>-9.9999999999999867E-2</v>
      </c>
      <c r="AF590" s="203" t="s">
        <v>82</v>
      </c>
      <c r="AG590" s="203">
        <v>-0.10000000000000003</v>
      </c>
      <c r="AH590" s="204" t="s">
        <v>82</v>
      </c>
      <c r="AI590" s="203" t="s">
        <v>82</v>
      </c>
      <c r="AJ590" s="203" t="s">
        <v>82</v>
      </c>
    </row>
    <row customFormat="1" r="591" s="205" spans="1:36" x14ac:dyDescent="0.2">
      <c r="A591" s="193">
        <v>587</v>
      </c>
      <c r="B591" s="215">
        <v>16</v>
      </c>
      <c r="C591" s="195" t="s">
        <v>387</v>
      </c>
      <c r="D591" s="195">
        <v>2</v>
      </c>
      <c r="E591" s="195" t="s">
        <v>390</v>
      </c>
      <c r="F591" s="196">
        <v>44573</v>
      </c>
      <c r="G591" s="197" t="s">
        <v>6</v>
      </c>
      <c r="H591" s="198">
        <v>2203</v>
      </c>
      <c r="I591" s="196" t="s">
        <v>393</v>
      </c>
      <c r="J591" s="199">
        <v>1445</v>
      </c>
      <c r="K591" s="198">
        <v>1541</v>
      </c>
      <c r="L591" s="200">
        <v>0</v>
      </c>
      <c r="M591" s="201"/>
      <c r="N591" s="199">
        <v>2203</v>
      </c>
      <c r="O591" s="202">
        <v>1.7</v>
      </c>
      <c r="P591" s="203">
        <v>1.4</v>
      </c>
      <c r="Q591" s="203">
        <v>0.3</v>
      </c>
      <c r="R591" s="204">
        <v>1.4</v>
      </c>
      <c r="S591" s="203">
        <v>1.3</v>
      </c>
      <c r="T591" s="203">
        <v>0.1</v>
      </c>
      <c r="V591" s="198">
        <v>2203</v>
      </c>
      <c r="W591" s="202">
        <v>1.6</v>
      </c>
      <c r="X591" s="203">
        <v>1.4</v>
      </c>
      <c r="Y591" s="203">
        <v>0.2</v>
      </c>
      <c r="Z591" s="204">
        <v>1.4</v>
      </c>
      <c r="AA591" s="203">
        <v>1.3</v>
      </c>
      <c r="AB591" s="203">
        <v>0.1</v>
      </c>
      <c r="AD591" s="198">
        <v>2203</v>
      </c>
      <c r="AE591" s="202">
        <v>-9.9999999999999867E-2</v>
      </c>
      <c r="AF591" s="203" t="s">
        <v>82</v>
      </c>
      <c r="AG591" s="203">
        <v>-9.9999999999999978E-2</v>
      </c>
      <c r="AH591" s="204"/>
      <c r="AI591" s="203" t="s">
        <v>82</v>
      </c>
      <c r="AJ591" s="203" t="s">
        <v>82</v>
      </c>
    </row>
    <row customFormat="1" r="592" s="205" spans="1:36" x14ac:dyDescent="0.2">
      <c r="A592" s="193">
        <v>588</v>
      </c>
      <c r="B592" s="215">
        <v>16</v>
      </c>
      <c r="C592" s="195" t="s">
        <v>387</v>
      </c>
      <c r="D592" s="195">
        <v>2</v>
      </c>
      <c r="E592" s="195" t="s">
        <v>390</v>
      </c>
      <c r="F592" s="196">
        <v>44580</v>
      </c>
      <c r="G592" s="197" t="s">
        <v>6</v>
      </c>
      <c r="H592" s="198">
        <v>2204</v>
      </c>
      <c r="I592" s="196" t="s">
        <v>393</v>
      </c>
      <c r="J592" s="199">
        <v>1445</v>
      </c>
      <c r="K592" s="198">
        <v>1541</v>
      </c>
      <c r="L592" s="200">
        <v>0</v>
      </c>
      <c r="M592" s="201"/>
      <c r="N592" s="199">
        <v>2204</v>
      </c>
      <c r="O592" s="202">
        <v>2</v>
      </c>
      <c r="P592" s="203">
        <v>1.6</v>
      </c>
      <c r="Q592" s="203">
        <v>0.4</v>
      </c>
      <c r="R592" s="204">
        <v>1.9</v>
      </c>
      <c r="S592" s="203">
        <v>1.7</v>
      </c>
      <c r="T592" s="203">
        <v>0.2</v>
      </c>
      <c r="V592" s="198">
        <v>2204</v>
      </c>
      <c r="W592" s="202">
        <v>1.9</v>
      </c>
      <c r="X592" s="203">
        <v>1.6</v>
      </c>
      <c r="Y592" s="203">
        <v>0.3</v>
      </c>
      <c r="Z592" s="204">
        <v>1.9</v>
      </c>
      <c r="AA592" s="203">
        <v>1.7</v>
      </c>
      <c r="AB592" s="203">
        <v>0.2</v>
      </c>
      <c r="AD592" s="198">
        <v>2204</v>
      </c>
      <c r="AE592" s="202">
        <v>-0.10000000000000009</v>
      </c>
      <c r="AF592" s="203" t="s">
        <v>82</v>
      </c>
      <c r="AG592" s="203">
        <v>-0.10000000000000003</v>
      </c>
      <c r="AH592" s="204" t="s">
        <v>82</v>
      </c>
      <c r="AI592" s="203" t="s">
        <v>82</v>
      </c>
      <c r="AJ592" s="203" t="s">
        <v>82</v>
      </c>
    </row>
    <row customFormat="1" r="593" s="205" spans="1:36" x14ac:dyDescent="0.2">
      <c r="A593" s="193">
        <v>589</v>
      </c>
      <c r="B593" s="215">
        <v>16</v>
      </c>
      <c r="C593" s="195" t="s">
        <v>387</v>
      </c>
      <c r="D593" s="195">
        <v>3</v>
      </c>
      <c r="E593" s="195" t="s">
        <v>394</v>
      </c>
      <c r="F593" s="196">
        <v>44054</v>
      </c>
      <c r="G593" s="197" t="s">
        <v>5</v>
      </c>
      <c r="H593" s="198">
        <v>2033</v>
      </c>
      <c r="I593" s="196" t="s">
        <v>99</v>
      </c>
      <c r="J593" s="199">
        <v>550</v>
      </c>
      <c r="K593" s="198">
        <v>759</v>
      </c>
      <c r="L593" s="200">
        <v>0</v>
      </c>
      <c r="M593" s="201"/>
      <c r="N593" s="199">
        <v>2033</v>
      </c>
      <c r="O593" s="202">
        <v>4.5999999999999996</v>
      </c>
      <c r="P593" s="203">
        <v>4.5</v>
      </c>
      <c r="Q593" s="203">
        <v>0.1</v>
      </c>
      <c r="R593" s="204">
        <v>5</v>
      </c>
      <c r="S593" s="203">
        <v>5</v>
      </c>
      <c r="T593" s="203" t="s">
        <v>84</v>
      </c>
      <c r="V593" s="198">
        <v>2033</v>
      </c>
      <c r="W593" s="202">
        <v>4.5</v>
      </c>
      <c r="X593" s="203">
        <v>4.5</v>
      </c>
      <c r="Y593" s="203">
        <v>0</v>
      </c>
      <c r="Z593" s="204">
        <v>5</v>
      </c>
      <c r="AA593" s="203">
        <v>5</v>
      </c>
      <c r="AB593" s="203" t="s">
        <v>84</v>
      </c>
      <c r="AD593" s="198">
        <v>2033</v>
      </c>
      <c r="AE593" s="202">
        <v>-9.9999999999999645E-2</v>
      </c>
      <c r="AF593" s="203" t="s">
        <v>82</v>
      </c>
      <c r="AG593" s="203">
        <v>-0.1</v>
      </c>
      <c r="AH593" s="204" t="s">
        <v>82</v>
      </c>
      <c r="AI593" s="203" t="s">
        <v>82</v>
      </c>
      <c r="AJ593" s="203" t="s">
        <v>82</v>
      </c>
    </row>
    <row customFormat="1" r="594" s="205" spans="1:36" x14ac:dyDescent="0.2">
      <c r="A594" s="193">
        <v>590</v>
      </c>
      <c r="B594" s="215">
        <v>16</v>
      </c>
      <c r="C594" s="195" t="s">
        <v>387</v>
      </c>
      <c r="D594" s="195">
        <v>3</v>
      </c>
      <c r="E594" s="195" t="s">
        <v>394</v>
      </c>
      <c r="F594" s="196">
        <v>44060</v>
      </c>
      <c r="G594" s="197" t="s">
        <v>4</v>
      </c>
      <c r="H594" s="198">
        <v>2034</v>
      </c>
      <c r="I594" s="196" t="s">
        <v>395</v>
      </c>
      <c r="J594" s="199">
        <v>2000</v>
      </c>
      <c r="K594" s="198">
        <v>2059</v>
      </c>
      <c r="L594" s="200">
        <v>0</v>
      </c>
      <c r="M594" s="201"/>
      <c r="N594" s="199">
        <v>2034</v>
      </c>
      <c r="O594" s="202">
        <v>8.9</v>
      </c>
      <c r="P594" s="203">
        <v>8.1</v>
      </c>
      <c r="Q594" s="203">
        <v>0.8</v>
      </c>
      <c r="R594" s="204">
        <v>7.9</v>
      </c>
      <c r="S594" s="203">
        <v>7.9</v>
      </c>
      <c r="T594" s="203" t="s">
        <v>84</v>
      </c>
      <c r="V594" s="198">
        <v>2034</v>
      </c>
      <c r="W594" s="202">
        <v>8.5</v>
      </c>
      <c r="X594" s="203">
        <v>8.1</v>
      </c>
      <c r="Y594" s="203">
        <v>0.4</v>
      </c>
      <c r="Z594" s="204">
        <v>7.9</v>
      </c>
      <c r="AA594" s="203">
        <v>7.9</v>
      </c>
      <c r="AB594" s="203" t="s">
        <v>84</v>
      </c>
      <c r="AD594" s="198">
        <v>2034</v>
      </c>
      <c r="AE594" s="202">
        <v>-0.40000000000000036</v>
      </c>
      <c r="AF594" s="203" t="s">
        <v>82</v>
      </c>
      <c r="AG594" s="203">
        <v>-0.4</v>
      </c>
      <c r="AH594" s="204" t="s">
        <v>82</v>
      </c>
      <c r="AI594" s="203" t="s">
        <v>82</v>
      </c>
      <c r="AJ594" s="203" t="s">
        <v>82</v>
      </c>
    </row>
    <row customFormat="1" r="595" s="205" spans="1:36" x14ac:dyDescent="0.2">
      <c r="A595" s="193">
        <v>591</v>
      </c>
      <c r="B595" s="215">
        <v>16</v>
      </c>
      <c r="C595" s="195" t="s">
        <v>387</v>
      </c>
      <c r="D595" s="195">
        <v>3</v>
      </c>
      <c r="E595" s="195" t="s">
        <v>394</v>
      </c>
      <c r="F595" s="196">
        <v>44061</v>
      </c>
      <c r="G595" s="197" t="s">
        <v>5</v>
      </c>
      <c r="H595" s="198">
        <v>2034</v>
      </c>
      <c r="I595" s="196" t="s">
        <v>99</v>
      </c>
      <c r="J595" s="199">
        <v>550</v>
      </c>
      <c r="K595" s="198">
        <v>759</v>
      </c>
      <c r="L595" s="200">
        <v>0</v>
      </c>
      <c r="M595" s="201"/>
      <c r="N595" s="199">
        <v>2034</v>
      </c>
      <c r="O595" s="202">
        <v>4.5999999999999996</v>
      </c>
      <c r="P595" s="203">
        <v>4.5</v>
      </c>
      <c r="Q595" s="203">
        <v>0.1</v>
      </c>
      <c r="R595" s="204">
        <v>5</v>
      </c>
      <c r="S595" s="203">
        <v>5</v>
      </c>
      <c r="T595" s="203" t="s">
        <v>84</v>
      </c>
      <c r="V595" s="198">
        <v>2034</v>
      </c>
      <c r="W595" s="202">
        <v>4.5</v>
      </c>
      <c r="X595" s="203">
        <v>4.5</v>
      </c>
      <c r="Y595" s="203">
        <v>0</v>
      </c>
      <c r="Z595" s="204">
        <v>5</v>
      </c>
      <c r="AA595" s="203">
        <v>5</v>
      </c>
      <c r="AB595" s="203" t="s">
        <v>84</v>
      </c>
      <c r="AD595" s="198">
        <v>2034</v>
      </c>
      <c r="AE595" s="202">
        <v>-9.9999999999999645E-2</v>
      </c>
      <c r="AF595" s="203" t="s">
        <v>82</v>
      </c>
      <c r="AG595" s="203">
        <v>-0.1</v>
      </c>
      <c r="AH595" s="204" t="s">
        <v>82</v>
      </c>
      <c r="AI595" s="203" t="s">
        <v>82</v>
      </c>
      <c r="AJ595" s="203" t="s">
        <v>82</v>
      </c>
    </row>
    <row customFormat="1" r="596" s="205" spans="1:36" x14ac:dyDescent="0.2">
      <c r="A596" s="193">
        <v>592</v>
      </c>
      <c r="B596" s="215">
        <v>16</v>
      </c>
      <c r="C596" s="195" t="s">
        <v>387</v>
      </c>
      <c r="D596" s="195">
        <v>3</v>
      </c>
      <c r="E596" s="195" t="s">
        <v>394</v>
      </c>
      <c r="F596" s="196">
        <v>44063</v>
      </c>
      <c r="G596" s="197" t="s">
        <v>7</v>
      </c>
      <c r="H596" s="198">
        <v>2034</v>
      </c>
      <c r="I596" s="196" t="s">
        <v>396</v>
      </c>
      <c r="J596" s="199">
        <v>1900</v>
      </c>
      <c r="K596" s="198">
        <v>2053</v>
      </c>
      <c r="L596" s="200">
        <v>0</v>
      </c>
      <c r="M596" s="201"/>
      <c r="N596" s="199">
        <v>2034</v>
      </c>
      <c r="O596" s="202">
        <v>7.8</v>
      </c>
      <c r="P596" s="203">
        <v>7</v>
      </c>
      <c r="Q596" s="203">
        <v>0.8</v>
      </c>
      <c r="R596" s="204">
        <v>8.8000000000000007</v>
      </c>
      <c r="S596" s="203">
        <v>7.9</v>
      </c>
      <c r="T596" s="203">
        <v>0.9</v>
      </c>
      <c r="V596" s="198">
        <v>2034</v>
      </c>
      <c r="W596" s="202">
        <v>7.7</v>
      </c>
      <c r="X596" s="203">
        <v>7</v>
      </c>
      <c r="Y596" s="203">
        <v>0.7</v>
      </c>
      <c r="Z596" s="204">
        <v>8.8000000000000007</v>
      </c>
      <c r="AA596" s="203">
        <v>7.9</v>
      </c>
      <c r="AB596" s="203">
        <v>0.9</v>
      </c>
      <c r="AD596" s="198">
        <v>2034</v>
      </c>
      <c r="AE596" s="202">
        <v>-9.9999999999999645E-2</v>
      </c>
      <c r="AF596" s="203" t="s">
        <v>82</v>
      </c>
      <c r="AG596" s="203">
        <v>-0.10000000000000009</v>
      </c>
      <c r="AH596" s="204" t="s">
        <v>82</v>
      </c>
      <c r="AI596" s="203" t="s">
        <v>82</v>
      </c>
      <c r="AJ596" s="203" t="s">
        <v>82</v>
      </c>
    </row>
    <row customFormat="1" r="597" s="205" spans="1:36" x14ac:dyDescent="0.2">
      <c r="A597" s="193">
        <v>593</v>
      </c>
      <c r="B597" s="215">
        <v>16</v>
      </c>
      <c r="C597" s="195" t="s">
        <v>387</v>
      </c>
      <c r="D597" s="195">
        <v>3</v>
      </c>
      <c r="E597" s="195" t="s">
        <v>394</v>
      </c>
      <c r="F597" s="196">
        <v>44067</v>
      </c>
      <c r="G597" s="197" t="s">
        <v>4</v>
      </c>
      <c r="H597" s="198">
        <v>2035</v>
      </c>
      <c r="I597" s="196" t="s">
        <v>395</v>
      </c>
      <c r="J597" s="199">
        <v>2000</v>
      </c>
      <c r="K597" s="198">
        <v>2059</v>
      </c>
      <c r="L597" s="200">
        <v>0</v>
      </c>
      <c r="M597" s="201"/>
      <c r="N597" s="199">
        <v>2035</v>
      </c>
      <c r="O597" s="202">
        <v>9.3000000000000007</v>
      </c>
      <c r="P597" s="203">
        <v>8.4</v>
      </c>
      <c r="Q597" s="203">
        <v>0.9</v>
      </c>
      <c r="R597" s="204">
        <v>7.1</v>
      </c>
      <c r="S597" s="203">
        <v>7.1</v>
      </c>
      <c r="T597" s="203" t="s">
        <v>84</v>
      </c>
      <c r="V597" s="198">
        <v>2035</v>
      </c>
      <c r="W597" s="202">
        <v>8.9</v>
      </c>
      <c r="X597" s="203">
        <v>8.4</v>
      </c>
      <c r="Y597" s="203">
        <v>0.5</v>
      </c>
      <c r="Z597" s="204">
        <v>7.1</v>
      </c>
      <c r="AA597" s="203">
        <v>7.1</v>
      </c>
      <c r="AB597" s="203" t="s">
        <v>84</v>
      </c>
      <c r="AD597" s="198">
        <v>2035</v>
      </c>
      <c r="AE597" s="202">
        <v>-0.40000000000000036</v>
      </c>
      <c r="AF597" s="203" t="s">
        <v>82</v>
      </c>
      <c r="AG597" s="203">
        <v>-0.4</v>
      </c>
      <c r="AH597" s="204" t="s">
        <v>82</v>
      </c>
      <c r="AI597" s="203" t="s">
        <v>82</v>
      </c>
      <c r="AJ597" s="203" t="s">
        <v>82</v>
      </c>
    </row>
    <row customFormat="1" r="598" s="205" spans="1:36" x14ac:dyDescent="0.2">
      <c r="A598" s="193">
        <v>594</v>
      </c>
      <c r="B598" s="215">
        <v>16</v>
      </c>
      <c r="C598" s="195" t="s">
        <v>387</v>
      </c>
      <c r="D598" s="195">
        <v>3</v>
      </c>
      <c r="E598" s="195" t="s">
        <v>394</v>
      </c>
      <c r="F598" s="196">
        <v>44068</v>
      </c>
      <c r="G598" s="197" t="s">
        <v>5</v>
      </c>
      <c r="H598" s="198">
        <v>2035</v>
      </c>
      <c r="I598" s="196" t="s">
        <v>99</v>
      </c>
      <c r="J598" s="199">
        <v>550</v>
      </c>
      <c r="K598" s="198">
        <v>759</v>
      </c>
      <c r="L598" s="200">
        <v>0</v>
      </c>
      <c r="M598" s="201"/>
      <c r="N598" s="199">
        <v>2035</v>
      </c>
      <c r="O598" s="202">
        <v>4.8</v>
      </c>
      <c r="P598" s="203">
        <v>4.7</v>
      </c>
      <c r="Q598" s="203">
        <v>0.1</v>
      </c>
      <c r="R598" s="204">
        <v>5.2</v>
      </c>
      <c r="S598" s="203">
        <v>5.2</v>
      </c>
      <c r="T598" s="203" t="s">
        <v>84</v>
      </c>
      <c r="V598" s="198">
        <v>2035</v>
      </c>
      <c r="W598" s="202">
        <v>4.7</v>
      </c>
      <c r="X598" s="203">
        <v>4.7</v>
      </c>
      <c r="Y598" s="203">
        <v>0</v>
      </c>
      <c r="Z598" s="204">
        <v>5.2</v>
      </c>
      <c r="AA598" s="203">
        <v>5.2</v>
      </c>
      <c r="AB598" s="203" t="s">
        <v>84</v>
      </c>
      <c r="AD598" s="198">
        <v>2035</v>
      </c>
      <c r="AE598" s="202">
        <v>-9.9999999999999645E-2</v>
      </c>
      <c r="AF598" s="203" t="s">
        <v>82</v>
      </c>
      <c r="AG598" s="203">
        <v>-0.1</v>
      </c>
      <c r="AH598" s="204" t="s">
        <v>82</v>
      </c>
      <c r="AI598" s="203" t="s">
        <v>82</v>
      </c>
      <c r="AJ598" s="203" t="s">
        <v>82</v>
      </c>
    </row>
    <row customFormat="1" r="599" s="205" spans="1:36" x14ac:dyDescent="0.2">
      <c r="A599" s="193">
        <v>595</v>
      </c>
      <c r="B599" s="215">
        <v>16</v>
      </c>
      <c r="C599" s="195" t="s">
        <v>387</v>
      </c>
      <c r="D599" s="195">
        <v>3</v>
      </c>
      <c r="E599" s="195" t="s">
        <v>394</v>
      </c>
      <c r="F599" s="196">
        <v>44070</v>
      </c>
      <c r="G599" s="197" t="s">
        <v>7</v>
      </c>
      <c r="H599" s="198">
        <v>2035</v>
      </c>
      <c r="I599" s="196" t="s">
        <v>397</v>
      </c>
      <c r="J599" s="199">
        <v>1900</v>
      </c>
      <c r="K599" s="198">
        <v>2053</v>
      </c>
      <c r="L599" s="200">
        <v>0</v>
      </c>
      <c r="M599" s="201"/>
      <c r="N599" s="199">
        <v>2035</v>
      </c>
      <c r="O599" s="202">
        <v>6.4</v>
      </c>
      <c r="P599" s="203">
        <v>6</v>
      </c>
      <c r="Q599" s="203">
        <v>0.4</v>
      </c>
      <c r="R599" s="204">
        <v>6.3</v>
      </c>
      <c r="S599" s="203">
        <v>6</v>
      </c>
      <c r="T599" s="203">
        <v>0.3</v>
      </c>
      <c r="V599" s="198">
        <v>2035</v>
      </c>
      <c r="W599" s="202">
        <v>6.3</v>
      </c>
      <c r="X599" s="203">
        <v>6</v>
      </c>
      <c r="Y599" s="203">
        <v>0.3</v>
      </c>
      <c r="Z599" s="204">
        <v>6.3</v>
      </c>
      <c r="AA599" s="203">
        <v>6</v>
      </c>
      <c r="AB599" s="203">
        <v>0.3</v>
      </c>
      <c r="AD599" s="198">
        <v>2035</v>
      </c>
      <c r="AE599" s="202">
        <v>-0.10000000000000053</v>
      </c>
      <c r="AF599" s="203" t="s">
        <v>82</v>
      </c>
      <c r="AG599" s="203">
        <v>-0.10000000000000003</v>
      </c>
      <c r="AH599" s="204" t="s">
        <v>82</v>
      </c>
      <c r="AI599" s="203" t="s">
        <v>82</v>
      </c>
      <c r="AJ599" s="203" t="s">
        <v>82</v>
      </c>
    </row>
    <row customFormat="1" r="600" s="205" spans="1:36" x14ac:dyDescent="0.2">
      <c r="A600" s="193">
        <v>596</v>
      </c>
      <c r="B600" s="215">
        <v>16</v>
      </c>
      <c r="C600" s="195" t="s">
        <v>387</v>
      </c>
      <c r="D600" s="195">
        <v>3</v>
      </c>
      <c r="E600" s="195" t="s">
        <v>394</v>
      </c>
      <c r="F600" s="196">
        <v>44074</v>
      </c>
      <c r="G600" s="197" t="s">
        <v>4</v>
      </c>
      <c r="H600" s="198">
        <v>2036</v>
      </c>
      <c r="I600" s="196" t="s">
        <v>398</v>
      </c>
      <c r="J600" s="199">
        <v>1900</v>
      </c>
      <c r="K600" s="198">
        <v>2059</v>
      </c>
      <c r="L600" s="200">
        <v>0</v>
      </c>
      <c r="M600" s="201"/>
      <c r="N600" s="199">
        <v>2036</v>
      </c>
      <c r="O600" s="202">
        <v>10.4</v>
      </c>
      <c r="P600" s="203">
        <v>9.8000000000000007</v>
      </c>
      <c r="Q600" s="203">
        <v>0.6</v>
      </c>
      <c r="R600" s="204">
        <v>8.3000000000000007</v>
      </c>
      <c r="S600" s="203">
        <v>8.3000000000000007</v>
      </c>
      <c r="T600" s="203" t="s">
        <v>84</v>
      </c>
      <c r="V600" s="198">
        <v>2036</v>
      </c>
      <c r="W600" s="202">
        <v>10.3</v>
      </c>
      <c r="X600" s="203">
        <v>9.8000000000000007</v>
      </c>
      <c r="Y600" s="203">
        <v>0.5</v>
      </c>
      <c r="Z600" s="204">
        <v>8.3000000000000007</v>
      </c>
      <c r="AA600" s="203">
        <v>8.3000000000000007</v>
      </c>
      <c r="AB600" s="203" t="s">
        <v>84</v>
      </c>
      <c r="AD600" s="198">
        <v>2036</v>
      </c>
      <c r="AE600" s="202">
        <v>-9.9999999999999645E-2</v>
      </c>
      <c r="AF600" s="203" t="s">
        <v>82</v>
      </c>
      <c r="AG600" s="203">
        <v>-9.9999999999999978E-2</v>
      </c>
      <c r="AH600" s="204" t="s">
        <v>82</v>
      </c>
      <c r="AI600" s="203" t="s">
        <v>82</v>
      </c>
      <c r="AJ600" s="203" t="s">
        <v>82</v>
      </c>
    </row>
    <row customFormat="1" r="601" s="205" spans="1:36" x14ac:dyDescent="0.2">
      <c r="A601" s="193">
        <v>597</v>
      </c>
      <c r="B601" s="215">
        <v>16</v>
      </c>
      <c r="C601" s="195" t="s">
        <v>387</v>
      </c>
      <c r="D601" s="195">
        <v>3</v>
      </c>
      <c r="E601" s="195" t="s">
        <v>394</v>
      </c>
      <c r="F601" s="196">
        <v>44075</v>
      </c>
      <c r="G601" s="197" t="s">
        <v>5</v>
      </c>
      <c r="H601" s="198">
        <v>2036</v>
      </c>
      <c r="I601" s="196" t="s">
        <v>99</v>
      </c>
      <c r="J601" s="199">
        <v>550</v>
      </c>
      <c r="K601" s="198">
        <v>759</v>
      </c>
      <c r="L601" s="216">
        <v>0</v>
      </c>
      <c r="M601" s="201"/>
      <c r="N601" s="199">
        <v>2036</v>
      </c>
      <c r="O601" s="202">
        <v>4.5</v>
      </c>
      <c r="P601" s="203">
        <v>4.4000000000000004</v>
      </c>
      <c r="Q601" s="203">
        <v>0.1</v>
      </c>
      <c r="R601" s="204">
        <v>5.0999999999999996</v>
      </c>
      <c r="S601" s="203">
        <v>5.0999999999999996</v>
      </c>
      <c r="T601" s="203" t="s">
        <v>84</v>
      </c>
      <c r="V601" s="198">
        <v>2036</v>
      </c>
      <c r="W601" s="202">
        <v>4.4000000000000004</v>
      </c>
      <c r="X601" s="203">
        <v>4.4000000000000004</v>
      </c>
      <c r="Y601" s="203">
        <v>0</v>
      </c>
      <c r="Z601" s="204">
        <v>5.0999999999999996</v>
      </c>
      <c r="AA601" s="203">
        <v>5.0999999999999996</v>
      </c>
      <c r="AB601" s="203" t="s">
        <v>84</v>
      </c>
      <c r="AD601" s="198">
        <v>2036</v>
      </c>
      <c r="AE601" s="202">
        <v>-9.9999999999999645E-2</v>
      </c>
      <c r="AF601" s="203" t="s">
        <v>82</v>
      </c>
      <c r="AG601" s="203">
        <v>-0.1</v>
      </c>
      <c r="AH601" s="204" t="s">
        <v>82</v>
      </c>
      <c r="AI601" s="203" t="s">
        <v>82</v>
      </c>
      <c r="AJ601" s="203" t="s">
        <v>82</v>
      </c>
    </row>
    <row customFormat="1" r="602" s="205" spans="1:36" x14ac:dyDescent="0.2">
      <c r="A602" s="193">
        <v>598</v>
      </c>
      <c r="B602" s="215">
        <v>16</v>
      </c>
      <c r="C602" s="195" t="s">
        <v>387</v>
      </c>
      <c r="D602" s="195">
        <v>3</v>
      </c>
      <c r="E602" s="195" t="s">
        <v>394</v>
      </c>
      <c r="F602" s="196">
        <v>44077</v>
      </c>
      <c r="G602" s="197" t="s">
        <v>7</v>
      </c>
      <c r="H602" s="198">
        <v>2036</v>
      </c>
      <c r="I602" s="196" t="s">
        <v>95</v>
      </c>
      <c r="J602" s="199">
        <v>1900</v>
      </c>
      <c r="K602" s="198">
        <v>2053</v>
      </c>
      <c r="L602" s="216">
        <v>0</v>
      </c>
      <c r="M602" s="201"/>
      <c r="N602" s="199">
        <v>2036</v>
      </c>
      <c r="O602" s="202">
        <v>6.2</v>
      </c>
      <c r="P602" s="203">
        <v>5.9</v>
      </c>
      <c r="Q602" s="203">
        <v>0.3</v>
      </c>
      <c r="R602" s="204">
        <v>6</v>
      </c>
      <c r="S602" s="203">
        <v>5.8</v>
      </c>
      <c r="T602" s="203">
        <v>0.2</v>
      </c>
      <c r="V602" s="198">
        <v>2036</v>
      </c>
      <c r="W602" s="202">
        <v>6.2</v>
      </c>
      <c r="X602" s="203">
        <v>5.9</v>
      </c>
      <c r="Y602" s="203">
        <v>0.3</v>
      </c>
      <c r="Z602" s="204">
        <v>6</v>
      </c>
      <c r="AA602" s="203">
        <v>5.8</v>
      </c>
      <c r="AB602" s="203">
        <v>0.2</v>
      </c>
      <c r="AD602" s="198">
        <v>2036</v>
      </c>
      <c r="AE602" s="202" t="s">
        <v>82</v>
      </c>
      <c r="AF602" s="203" t="s">
        <v>82</v>
      </c>
      <c r="AG602" s="203" t="s">
        <v>82</v>
      </c>
      <c r="AH602" s="204" t="s">
        <v>82</v>
      </c>
      <c r="AI602" s="203" t="s">
        <v>82</v>
      </c>
      <c r="AJ602" s="203" t="s">
        <v>82</v>
      </c>
    </row>
    <row customFormat="1" r="603" s="205" spans="1:36" x14ac:dyDescent="0.2">
      <c r="A603" s="193">
        <v>599</v>
      </c>
      <c r="B603" s="215">
        <v>16</v>
      </c>
      <c r="C603" s="195" t="s">
        <v>387</v>
      </c>
      <c r="D603" s="195">
        <v>3</v>
      </c>
      <c r="E603" s="195" t="s">
        <v>394</v>
      </c>
      <c r="F603" s="196">
        <v>44081</v>
      </c>
      <c r="G603" s="197" t="s">
        <v>4</v>
      </c>
      <c r="H603" s="198">
        <v>2037</v>
      </c>
      <c r="I603" s="196" t="s">
        <v>395</v>
      </c>
      <c r="J603" s="199">
        <v>2000</v>
      </c>
      <c r="K603" s="198">
        <v>2059</v>
      </c>
      <c r="L603" s="216">
        <v>0</v>
      </c>
      <c r="M603" s="201"/>
      <c r="N603" s="199">
        <v>2037</v>
      </c>
      <c r="O603" s="202">
        <v>10.6</v>
      </c>
      <c r="P603" s="203">
        <v>9.6999999999999993</v>
      </c>
      <c r="Q603" s="203">
        <v>0.9</v>
      </c>
      <c r="R603" s="204">
        <v>8.4</v>
      </c>
      <c r="S603" s="203">
        <v>8.4</v>
      </c>
      <c r="T603" s="203" t="s">
        <v>84</v>
      </c>
      <c r="V603" s="198">
        <v>2037</v>
      </c>
      <c r="W603" s="202">
        <v>10.3</v>
      </c>
      <c r="X603" s="203">
        <v>9.6999999999999993</v>
      </c>
      <c r="Y603" s="203">
        <v>0.6</v>
      </c>
      <c r="Z603" s="204">
        <v>8.4</v>
      </c>
      <c r="AA603" s="203">
        <v>8.4</v>
      </c>
      <c r="AB603" s="203" t="s">
        <v>84</v>
      </c>
      <c r="AD603" s="198">
        <v>2037</v>
      </c>
      <c r="AE603" s="202">
        <v>-0.29999999999999893</v>
      </c>
      <c r="AF603" s="203" t="s">
        <v>82</v>
      </c>
      <c r="AG603" s="203">
        <v>-0.30000000000000004</v>
      </c>
      <c r="AH603" s="204" t="s">
        <v>82</v>
      </c>
      <c r="AI603" s="203" t="s">
        <v>82</v>
      </c>
      <c r="AJ603" s="203" t="s">
        <v>82</v>
      </c>
    </row>
    <row customFormat="1" r="604" s="205" spans="1:36" x14ac:dyDescent="0.2">
      <c r="A604" s="193">
        <v>600</v>
      </c>
      <c r="B604" s="215">
        <v>16</v>
      </c>
      <c r="C604" s="195" t="s">
        <v>387</v>
      </c>
      <c r="D604" s="195">
        <v>3</v>
      </c>
      <c r="E604" s="195" t="s">
        <v>394</v>
      </c>
      <c r="F604" s="196">
        <v>44084</v>
      </c>
      <c r="G604" s="197" t="s">
        <v>7</v>
      </c>
      <c r="H604" s="198">
        <v>2037</v>
      </c>
      <c r="I604" s="196" t="s">
        <v>397</v>
      </c>
      <c r="J604" s="199">
        <v>1900</v>
      </c>
      <c r="K604" s="198">
        <v>2053</v>
      </c>
      <c r="L604" s="216">
        <v>0</v>
      </c>
      <c r="M604" s="201"/>
      <c r="N604" s="199">
        <v>2037</v>
      </c>
      <c r="O604" s="202">
        <v>6.8</v>
      </c>
      <c r="P604" s="203">
        <v>6.4</v>
      </c>
      <c r="Q604" s="203">
        <v>0.4</v>
      </c>
      <c r="R604" s="204">
        <v>6.7</v>
      </c>
      <c r="S604" s="203">
        <v>6.5</v>
      </c>
      <c r="T604" s="203">
        <v>0.2</v>
      </c>
      <c r="V604" s="198">
        <v>2037</v>
      </c>
      <c r="W604" s="202">
        <v>6.7</v>
      </c>
      <c r="X604" s="203">
        <v>6.4</v>
      </c>
      <c r="Y604" s="203">
        <v>0.3</v>
      </c>
      <c r="Z604" s="204">
        <v>6.7</v>
      </c>
      <c r="AA604" s="203">
        <v>6.5</v>
      </c>
      <c r="AB604" s="203">
        <v>0.2</v>
      </c>
      <c r="AD604" s="198">
        <v>2037</v>
      </c>
      <c r="AE604" s="202">
        <v>-9.9999999999999645E-2</v>
      </c>
      <c r="AF604" s="203" t="s">
        <v>82</v>
      </c>
      <c r="AG604" s="203">
        <v>-0.10000000000000003</v>
      </c>
      <c r="AH604" s="204" t="s">
        <v>82</v>
      </c>
      <c r="AI604" s="203" t="s">
        <v>82</v>
      </c>
      <c r="AJ604" s="203" t="s">
        <v>82</v>
      </c>
    </row>
    <row customFormat="1" r="605" s="205" spans="1:36" x14ac:dyDescent="0.2">
      <c r="A605" s="193">
        <v>601</v>
      </c>
      <c r="B605" s="215">
        <v>16</v>
      </c>
      <c r="C605" s="195" t="s">
        <v>387</v>
      </c>
      <c r="D605" s="195">
        <v>3</v>
      </c>
      <c r="E605" s="195" t="s">
        <v>394</v>
      </c>
      <c r="F605" s="196">
        <v>44119</v>
      </c>
      <c r="G605" s="197" t="s">
        <v>7</v>
      </c>
      <c r="H605" s="198">
        <v>2042</v>
      </c>
      <c r="I605" s="196" t="s">
        <v>399</v>
      </c>
      <c r="J605" s="199">
        <v>1900</v>
      </c>
      <c r="K605" s="198">
        <v>1955</v>
      </c>
      <c r="L605" s="216">
        <v>0</v>
      </c>
      <c r="M605" s="201"/>
      <c r="N605" s="199">
        <v>2042</v>
      </c>
      <c r="O605" s="202">
        <v>5.3</v>
      </c>
      <c r="P605" s="203">
        <v>4.5999999999999996</v>
      </c>
      <c r="Q605" s="203">
        <v>0.7</v>
      </c>
      <c r="R605" s="204">
        <v>4.8</v>
      </c>
      <c r="S605" s="203">
        <v>4.8</v>
      </c>
      <c r="T605" s="203" t="s">
        <v>84</v>
      </c>
      <c r="V605" s="198">
        <v>2042</v>
      </c>
      <c r="W605" s="202">
        <v>5.2</v>
      </c>
      <c r="X605" s="203">
        <v>4.5999999999999996</v>
      </c>
      <c r="Y605" s="203">
        <v>0.6</v>
      </c>
      <c r="Z605" s="204">
        <v>4.8</v>
      </c>
      <c r="AA605" s="203">
        <v>4.8</v>
      </c>
      <c r="AB605" s="203" t="s">
        <v>84</v>
      </c>
      <c r="AD605" s="198">
        <v>2042</v>
      </c>
      <c r="AE605" s="202">
        <v>-9.9999999999999645E-2</v>
      </c>
      <c r="AF605" s="203" t="s">
        <v>82</v>
      </c>
      <c r="AG605" s="203">
        <v>-9.9999999999999978E-2</v>
      </c>
      <c r="AH605" s="204" t="s">
        <v>82</v>
      </c>
      <c r="AI605" s="203" t="s">
        <v>82</v>
      </c>
      <c r="AJ605" s="203" t="s">
        <v>82</v>
      </c>
    </row>
    <row customFormat="1" r="606" s="205" spans="1:36" x14ac:dyDescent="0.2">
      <c r="A606" s="193">
        <v>602</v>
      </c>
      <c r="B606" s="215">
        <v>16</v>
      </c>
      <c r="C606" s="195" t="s">
        <v>387</v>
      </c>
      <c r="D606" s="195">
        <v>3</v>
      </c>
      <c r="E606" s="195" t="s">
        <v>394</v>
      </c>
      <c r="F606" s="196">
        <v>44126</v>
      </c>
      <c r="G606" s="197" t="s">
        <v>7</v>
      </c>
      <c r="H606" s="198">
        <v>2043</v>
      </c>
      <c r="I606" s="196" t="s">
        <v>397</v>
      </c>
      <c r="J606" s="199">
        <v>1900</v>
      </c>
      <c r="K606" s="198">
        <v>2053</v>
      </c>
      <c r="L606" s="216">
        <v>0</v>
      </c>
      <c r="M606" s="201"/>
      <c r="N606" s="199">
        <v>2043</v>
      </c>
      <c r="O606" s="202">
        <v>7.5</v>
      </c>
      <c r="P606" s="203">
        <v>6.7</v>
      </c>
      <c r="Q606" s="203">
        <v>0.8</v>
      </c>
      <c r="R606" s="204">
        <v>7.7</v>
      </c>
      <c r="S606" s="203">
        <v>7.4</v>
      </c>
      <c r="T606" s="203">
        <v>0.3</v>
      </c>
      <c r="V606" s="198">
        <v>2043</v>
      </c>
      <c r="W606" s="202">
        <v>7.4</v>
      </c>
      <c r="X606" s="203">
        <v>6.7</v>
      </c>
      <c r="Y606" s="203">
        <v>0.7</v>
      </c>
      <c r="Z606" s="204">
        <v>7.7</v>
      </c>
      <c r="AA606" s="203">
        <v>7.4</v>
      </c>
      <c r="AB606" s="203">
        <v>0.3</v>
      </c>
      <c r="AD606" s="198">
        <v>2043</v>
      </c>
      <c r="AE606" s="202">
        <v>-9.9999999999999645E-2</v>
      </c>
      <c r="AF606" s="203" t="s">
        <v>82</v>
      </c>
      <c r="AG606" s="203">
        <v>-0.10000000000000009</v>
      </c>
      <c r="AH606" s="204" t="s">
        <v>82</v>
      </c>
      <c r="AI606" s="203" t="s">
        <v>82</v>
      </c>
      <c r="AJ606" s="203" t="s">
        <v>82</v>
      </c>
    </row>
    <row customFormat="1" r="607" s="205" spans="1:36" x14ac:dyDescent="0.2">
      <c r="A607" s="193">
        <v>603</v>
      </c>
      <c r="B607" s="215">
        <v>16</v>
      </c>
      <c r="C607" s="195" t="s">
        <v>387</v>
      </c>
      <c r="D607" s="195">
        <v>3</v>
      </c>
      <c r="E607" s="195" t="s">
        <v>394</v>
      </c>
      <c r="F607" s="196">
        <v>44133</v>
      </c>
      <c r="G607" s="197" t="s">
        <v>7</v>
      </c>
      <c r="H607" s="198">
        <v>2044</v>
      </c>
      <c r="I607" s="196" t="s">
        <v>399</v>
      </c>
      <c r="J607" s="199">
        <v>1900</v>
      </c>
      <c r="K607" s="198">
        <v>1955</v>
      </c>
      <c r="L607" s="216">
        <v>0</v>
      </c>
      <c r="M607" s="201"/>
      <c r="N607" s="199">
        <v>2044</v>
      </c>
      <c r="O607" s="202">
        <v>5.5</v>
      </c>
      <c r="P607" s="203">
        <v>4.5999999999999996</v>
      </c>
      <c r="Q607" s="203">
        <v>0.9</v>
      </c>
      <c r="R607" s="204">
        <v>5.0999999999999996</v>
      </c>
      <c r="S607" s="203">
        <v>5.0999999999999996</v>
      </c>
      <c r="T607" s="203" t="s">
        <v>84</v>
      </c>
      <c r="V607" s="198">
        <v>2044</v>
      </c>
      <c r="W607" s="202">
        <v>5.4</v>
      </c>
      <c r="X607" s="203">
        <v>4.5999999999999996</v>
      </c>
      <c r="Y607" s="203">
        <v>0.8</v>
      </c>
      <c r="Z607" s="204">
        <v>5.0999999999999996</v>
      </c>
      <c r="AA607" s="203">
        <v>5.0999999999999996</v>
      </c>
      <c r="AB607" s="203" t="s">
        <v>84</v>
      </c>
      <c r="AD607" s="198">
        <v>2044</v>
      </c>
      <c r="AE607" s="202">
        <v>-9.9999999999999645E-2</v>
      </c>
      <c r="AF607" s="203" t="s">
        <v>82</v>
      </c>
      <c r="AG607" s="203">
        <v>-9.9999999999999978E-2</v>
      </c>
      <c r="AH607" s="204" t="s">
        <v>82</v>
      </c>
      <c r="AI607" s="203" t="s">
        <v>82</v>
      </c>
      <c r="AJ607" s="203" t="s">
        <v>82</v>
      </c>
    </row>
    <row customFormat="1" r="608" s="205" spans="1:36" x14ac:dyDescent="0.2">
      <c r="A608" s="193">
        <v>604</v>
      </c>
      <c r="B608" s="215">
        <v>16</v>
      </c>
      <c r="C608" s="195" t="s">
        <v>387</v>
      </c>
      <c r="D608" s="195">
        <v>3</v>
      </c>
      <c r="E608" s="195" t="s">
        <v>394</v>
      </c>
      <c r="F608" s="196">
        <v>44140</v>
      </c>
      <c r="G608" s="197" t="s">
        <v>7</v>
      </c>
      <c r="H608" s="198">
        <v>2045</v>
      </c>
      <c r="I608" s="196" t="s">
        <v>399</v>
      </c>
      <c r="J608" s="199">
        <v>1900</v>
      </c>
      <c r="K608" s="198">
        <v>1955</v>
      </c>
      <c r="L608" s="216">
        <v>0</v>
      </c>
      <c r="M608" s="201"/>
      <c r="N608" s="199">
        <v>2045</v>
      </c>
      <c r="O608" s="202">
        <v>5.7</v>
      </c>
      <c r="P608" s="203">
        <v>4.9000000000000004</v>
      </c>
      <c r="Q608" s="203">
        <v>0.8</v>
      </c>
      <c r="R608" s="204">
        <v>5.4</v>
      </c>
      <c r="S608" s="203">
        <v>5.4</v>
      </c>
      <c r="T608" s="203" t="s">
        <v>84</v>
      </c>
      <c r="V608" s="198">
        <v>2045</v>
      </c>
      <c r="W608" s="202">
        <v>5.5</v>
      </c>
      <c r="X608" s="203">
        <v>4.9000000000000004</v>
      </c>
      <c r="Y608" s="203">
        <v>0.6</v>
      </c>
      <c r="Z608" s="204">
        <v>5.4</v>
      </c>
      <c r="AA608" s="203">
        <v>5.4</v>
      </c>
      <c r="AB608" s="203" t="s">
        <v>84</v>
      </c>
      <c r="AD608" s="198">
        <v>2045</v>
      </c>
      <c r="AE608" s="202">
        <v>-0.20000000000000018</v>
      </c>
      <c r="AF608" s="203" t="s">
        <v>82</v>
      </c>
      <c r="AG608" s="203">
        <v>-0.20000000000000007</v>
      </c>
      <c r="AH608" s="204" t="s">
        <v>82</v>
      </c>
      <c r="AI608" s="203" t="s">
        <v>82</v>
      </c>
      <c r="AJ608" s="203" t="s">
        <v>82</v>
      </c>
    </row>
    <row customFormat="1" r="609" s="205" spans="1:36" x14ac:dyDescent="0.2">
      <c r="A609" s="193">
        <v>605</v>
      </c>
      <c r="B609" s="215">
        <v>16</v>
      </c>
      <c r="C609" s="195" t="s">
        <v>387</v>
      </c>
      <c r="D609" s="195">
        <v>3</v>
      </c>
      <c r="E609" s="195" t="s">
        <v>394</v>
      </c>
      <c r="F609" s="196">
        <v>44207</v>
      </c>
      <c r="G609" s="197" t="s">
        <v>4</v>
      </c>
      <c r="H609" s="198">
        <v>2103</v>
      </c>
      <c r="I609" s="196" t="s">
        <v>400</v>
      </c>
      <c r="J609" s="199">
        <v>2608</v>
      </c>
      <c r="K609" s="198">
        <v>2637</v>
      </c>
      <c r="L609" s="216">
        <v>1</v>
      </c>
      <c r="M609" s="201"/>
      <c r="N609" s="199">
        <v>2103</v>
      </c>
      <c r="O609" s="202">
        <v>1.8</v>
      </c>
      <c r="P609" s="203">
        <v>1</v>
      </c>
      <c r="Q609" s="203">
        <v>0.8</v>
      </c>
      <c r="R609" s="204">
        <v>2.8</v>
      </c>
      <c r="S609" s="203">
        <v>0.9</v>
      </c>
      <c r="T609" s="203">
        <v>1.9</v>
      </c>
      <c r="V609" s="198">
        <v>2103</v>
      </c>
      <c r="W609" s="202">
        <v>1</v>
      </c>
      <c r="X609" s="203">
        <v>1</v>
      </c>
      <c r="Y609" s="203">
        <v>0</v>
      </c>
      <c r="Z609" s="204">
        <v>0.9</v>
      </c>
      <c r="AA609" s="203">
        <v>0.9</v>
      </c>
      <c r="AB609" s="203">
        <v>0</v>
      </c>
      <c r="AD609" s="198">
        <v>2103</v>
      </c>
      <c r="AE609" s="202">
        <v>-0.8</v>
      </c>
      <c r="AF609" s="203" t="s">
        <v>82</v>
      </c>
      <c r="AG609" s="203">
        <v>-0.8</v>
      </c>
      <c r="AH609" s="204">
        <v>-1.9</v>
      </c>
      <c r="AI609" s="203" t="s">
        <v>82</v>
      </c>
      <c r="AJ609" s="203">
        <v>-1.9</v>
      </c>
    </row>
    <row customFormat="1" r="610" s="205" spans="1:36" x14ac:dyDescent="0.2">
      <c r="A610" s="193">
        <v>606</v>
      </c>
      <c r="B610" s="215">
        <v>16</v>
      </c>
      <c r="C610" s="195" t="s">
        <v>387</v>
      </c>
      <c r="D610" s="195">
        <v>3</v>
      </c>
      <c r="E610" s="195" t="s">
        <v>394</v>
      </c>
      <c r="F610" s="196">
        <v>44214</v>
      </c>
      <c r="G610" s="197" t="s">
        <v>4</v>
      </c>
      <c r="H610" s="198">
        <v>2104</v>
      </c>
      <c r="I610" s="196" t="s">
        <v>400</v>
      </c>
      <c r="J610" s="199">
        <v>2608</v>
      </c>
      <c r="K610" s="198">
        <v>2637</v>
      </c>
      <c r="L610" s="216">
        <v>1</v>
      </c>
      <c r="M610" s="201"/>
      <c r="N610" s="199">
        <v>2104</v>
      </c>
      <c r="O610" s="202">
        <v>1.6</v>
      </c>
      <c r="P610" s="203">
        <v>0.8</v>
      </c>
      <c r="Q610" s="203">
        <v>0.8</v>
      </c>
      <c r="R610" s="204">
        <v>2.6</v>
      </c>
      <c r="S610" s="203">
        <v>0.7</v>
      </c>
      <c r="T610" s="203">
        <v>1.9</v>
      </c>
      <c r="V610" s="198">
        <v>2104</v>
      </c>
      <c r="W610" s="202">
        <v>0.8</v>
      </c>
      <c r="X610" s="203">
        <v>0.8</v>
      </c>
      <c r="Y610" s="203">
        <v>0</v>
      </c>
      <c r="Z610" s="204">
        <v>0.7</v>
      </c>
      <c r="AA610" s="203">
        <v>0.7</v>
      </c>
      <c r="AB610" s="203">
        <v>0</v>
      </c>
      <c r="AD610" s="198">
        <v>2104</v>
      </c>
      <c r="AE610" s="202">
        <v>-0.8</v>
      </c>
      <c r="AF610" s="203" t="s">
        <v>82</v>
      </c>
      <c r="AG610" s="203">
        <v>-0.8</v>
      </c>
      <c r="AH610" s="204">
        <v>-1.9000000000000001</v>
      </c>
      <c r="AI610" s="203" t="s">
        <v>82</v>
      </c>
      <c r="AJ610" s="203">
        <v>-1.9</v>
      </c>
    </row>
    <row customFormat="1" r="611" s="205" spans="1:36" x14ac:dyDescent="0.2">
      <c r="A611" s="193">
        <v>607</v>
      </c>
      <c r="B611" s="215">
        <v>16</v>
      </c>
      <c r="C611" s="195" t="s">
        <v>387</v>
      </c>
      <c r="D611" s="195">
        <v>3</v>
      </c>
      <c r="E611" s="195" t="s">
        <v>394</v>
      </c>
      <c r="F611" s="196">
        <v>44221</v>
      </c>
      <c r="G611" s="197" t="s">
        <v>4</v>
      </c>
      <c r="H611" s="198">
        <v>2105</v>
      </c>
      <c r="I611" s="196" t="s">
        <v>400</v>
      </c>
      <c r="J611" s="199">
        <v>2608</v>
      </c>
      <c r="K611" s="198">
        <v>2637</v>
      </c>
      <c r="L611" s="216">
        <v>1</v>
      </c>
      <c r="M611" s="201"/>
      <c r="N611" s="199">
        <v>2105</v>
      </c>
      <c r="O611" s="202">
        <v>1.5</v>
      </c>
      <c r="P611" s="203">
        <v>0.7</v>
      </c>
      <c r="Q611" s="203">
        <v>0.8</v>
      </c>
      <c r="R611" s="204">
        <v>2.5</v>
      </c>
      <c r="S611" s="203">
        <v>0.6</v>
      </c>
      <c r="T611" s="203">
        <v>1.9</v>
      </c>
      <c r="V611" s="198">
        <v>2105</v>
      </c>
      <c r="W611" s="202">
        <v>0.7</v>
      </c>
      <c r="X611" s="203">
        <v>0.7</v>
      </c>
      <c r="Y611" s="203">
        <v>0</v>
      </c>
      <c r="Z611" s="204">
        <v>0.6</v>
      </c>
      <c r="AA611" s="203">
        <v>0.6</v>
      </c>
      <c r="AB611" s="203">
        <v>0</v>
      </c>
      <c r="AD611" s="198">
        <v>2105</v>
      </c>
      <c r="AE611" s="202">
        <v>-0.8</v>
      </c>
      <c r="AF611" s="203" t="s">
        <v>82</v>
      </c>
      <c r="AG611" s="203">
        <v>-0.8</v>
      </c>
      <c r="AH611" s="204">
        <v>-1.9</v>
      </c>
      <c r="AI611" s="203" t="s">
        <v>82</v>
      </c>
      <c r="AJ611" s="203">
        <v>-1.9</v>
      </c>
    </row>
    <row customFormat="1" r="612" s="205" spans="1:36" x14ac:dyDescent="0.2">
      <c r="A612" s="193">
        <v>608</v>
      </c>
      <c r="B612" s="215">
        <v>16</v>
      </c>
      <c r="C612" s="195" t="s">
        <v>387</v>
      </c>
      <c r="D612" s="195">
        <v>3</v>
      </c>
      <c r="E612" s="195" t="s">
        <v>394</v>
      </c>
      <c r="F612" s="196">
        <v>44228</v>
      </c>
      <c r="G612" s="197" t="s">
        <v>4</v>
      </c>
      <c r="H612" s="198">
        <v>2106</v>
      </c>
      <c r="I612" s="196" t="s">
        <v>400</v>
      </c>
      <c r="J612" s="199">
        <v>2618</v>
      </c>
      <c r="K612" s="198">
        <v>2647</v>
      </c>
      <c r="L612" s="216">
        <v>0</v>
      </c>
      <c r="M612" s="201"/>
      <c r="N612" s="199">
        <v>2106</v>
      </c>
      <c r="O612" s="202">
        <v>1.7</v>
      </c>
      <c r="P612" s="203">
        <v>0.6</v>
      </c>
      <c r="Q612" s="203">
        <v>1.1000000000000001</v>
      </c>
      <c r="R612" s="204">
        <v>0.4</v>
      </c>
      <c r="S612" s="203">
        <v>0.4</v>
      </c>
      <c r="T612" s="203" t="s">
        <v>84</v>
      </c>
      <c r="V612" s="198">
        <v>2106</v>
      </c>
      <c r="W612" s="202">
        <v>0.6</v>
      </c>
      <c r="X612" s="203">
        <v>0.6</v>
      </c>
      <c r="Y612" s="203">
        <v>0</v>
      </c>
      <c r="Z612" s="204">
        <v>0.4</v>
      </c>
      <c r="AA612" s="203">
        <v>0.4</v>
      </c>
      <c r="AB612" s="203" t="s">
        <v>84</v>
      </c>
      <c r="AD612" s="198">
        <v>2106</v>
      </c>
      <c r="AE612" s="202">
        <v>-1.1000000000000001</v>
      </c>
      <c r="AF612" s="203" t="s">
        <v>82</v>
      </c>
      <c r="AG612" s="203">
        <v>-1.1000000000000001</v>
      </c>
      <c r="AH612" s="204" t="s">
        <v>82</v>
      </c>
      <c r="AI612" s="203" t="s">
        <v>82</v>
      </c>
      <c r="AJ612" s="203" t="s">
        <v>82</v>
      </c>
    </row>
    <row customFormat="1" r="613" s="205" spans="1:36" x14ac:dyDescent="0.2">
      <c r="A613" s="193">
        <v>609</v>
      </c>
      <c r="B613" s="215">
        <v>17</v>
      </c>
      <c r="C613" s="195" t="s">
        <v>401</v>
      </c>
      <c r="D613" s="195">
        <v>6</v>
      </c>
      <c r="E613" s="195" t="s">
        <v>402</v>
      </c>
      <c r="F613" s="196">
        <v>44499</v>
      </c>
      <c r="G613" s="197" t="s">
        <v>9</v>
      </c>
      <c r="H613" s="198">
        <v>2144</v>
      </c>
      <c r="I613" s="196" t="s">
        <v>279</v>
      </c>
      <c r="J613" s="199">
        <v>1900</v>
      </c>
      <c r="K613" s="198">
        <v>2059</v>
      </c>
      <c r="L613" s="216">
        <v>0</v>
      </c>
      <c r="M613" s="201"/>
      <c r="N613" s="199">
        <v>2144</v>
      </c>
      <c r="O613" s="202">
        <v>5.9</v>
      </c>
      <c r="P613" s="203">
        <v>5.6</v>
      </c>
      <c r="Q613" s="203">
        <v>0.3</v>
      </c>
      <c r="R613" s="204">
        <v>5.8</v>
      </c>
      <c r="S613" s="203">
        <v>5.6</v>
      </c>
      <c r="T613" s="203">
        <v>0.2</v>
      </c>
      <c r="V613" s="198">
        <v>2144</v>
      </c>
      <c r="W613" s="202">
        <v>5.9</v>
      </c>
      <c r="X613" s="203">
        <v>5.6</v>
      </c>
      <c r="Y613" s="203">
        <v>0.3</v>
      </c>
      <c r="Z613" s="204">
        <v>5.8</v>
      </c>
      <c r="AA613" s="203">
        <v>5.6</v>
      </c>
      <c r="AB613" s="203">
        <v>0.2</v>
      </c>
      <c r="AD613" s="198">
        <v>2144</v>
      </c>
      <c r="AE613" s="202"/>
      <c r="AF613" s="203" t="s">
        <v>82</v>
      </c>
      <c r="AG613" s="203" t="s">
        <v>82</v>
      </c>
      <c r="AH613" s="204" t="s">
        <v>82</v>
      </c>
      <c r="AI613" s="203" t="s">
        <v>82</v>
      </c>
      <c r="AJ613" s="203" t="s">
        <v>82</v>
      </c>
    </row>
    <row customFormat="1" r="614" s="205" spans="1:36" x14ac:dyDescent="0.2">
      <c r="A614" s="193">
        <v>610</v>
      </c>
      <c r="B614" s="215">
        <v>17</v>
      </c>
      <c r="C614" s="195" t="s">
        <v>401</v>
      </c>
      <c r="D614" s="195">
        <v>6</v>
      </c>
      <c r="E614" s="195" t="s">
        <v>402</v>
      </c>
      <c r="F614" s="196">
        <v>44506</v>
      </c>
      <c r="G614" s="197" t="s">
        <v>9</v>
      </c>
      <c r="H614" s="198">
        <v>2145</v>
      </c>
      <c r="I614" s="196" t="s">
        <v>403</v>
      </c>
      <c r="J614" s="199">
        <v>1900</v>
      </c>
      <c r="K614" s="198">
        <v>2059</v>
      </c>
      <c r="L614" s="216">
        <v>0</v>
      </c>
      <c r="M614" s="201"/>
      <c r="N614" s="199">
        <v>2145</v>
      </c>
      <c r="O614" s="202">
        <v>5.4</v>
      </c>
      <c r="P614" s="203">
        <v>5.0999999999999996</v>
      </c>
      <c r="Q614" s="203">
        <v>0.3</v>
      </c>
      <c r="R614" s="204">
        <v>5.2</v>
      </c>
      <c r="S614" s="203">
        <v>5</v>
      </c>
      <c r="T614" s="203">
        <v>0.2</v>
      </c>
      <c r="V614" s="198">
        <v>2145</v>
      </c>
      <c r="W614" s="202">
        <v>5.4</v>
      </c>
      <c r="X614" s="203">
        <v>5.0999999999999996</v>
      </c>
      <c r="Y614" s="203">
        <v>0.3</v>
      </c>
      <c r="Z614" s="204">
        <v>5.2</v>
      </c>
      <c r="AA614" s="203">
        <v>5</v>
      </c>
      <c r="AB614" s="203">
        <v>0.2</v>
      </c>
      <c r="AD614" s="198">
        <v>2145</v>
      </c>
      <c r="AE614" s="202"/>
      <c r="AF614" s="203" t="s">
        <v>82</v>
      </c>
      <c r="AG614" s="203" t="s">
        <v>82</v>
      </c>
      <c r="AH614" s="204" t="s">
        <v>82</v>
      </c>
      <c r="AI614" s="203" t="s">
        <v>82</v>
      </c>
      <c r="AJ614" s="203" t="s">
        <v>82</v>
      </c>
    </row>
    <row customFormat="1" r="615" s="205" spans="1:36" x14ac:dyDescent="0.2">
      <c r="A615" s="193">
        <v>611</v>
      </c>
      <c r="B615" s="215">
        <v>17</v>
      </c>
      <c r="C615" s="195" t="s">
        <v>401</v>
      </c>
      <c r="D615" s="195">
        <v>6</v>
      </c>
      <c r="E615" s="195" t="s">
        <v>402</v>
      </c>
      <c r="F615" s="196">
        <v>44513</v>
      </c>
      <c r="G615" s="197" t="s">
        <v>9</v>
      </c>
      <c r="H615" s="198">
        <v>2146</v>
      </c>
      <c r="I615" s="196" t="s">
        <v>281</v>
      </c>
      <c r="J615" s="199">
        <v>1900</v>
      </c>
      <c r="K615" s="198">
        <v>1959</v>
      </c>
      <c r="L615" s="216">
        <v>0</v>
      </c>
      <c r="M615" s="201"/>
      <c r="N615" s="199">
        <v>2146</v>
      </c>
      <c r="O615" s="202">
        <v>5.4</v>
      </c>
      <c r="P615" s="203">
        <v>5</v>
      </c>
      <c r="Q615" s="203">
        <v>0.4</v>
      </c>
      <c r="R615" s="204">
        <v>6.4</v>
      </c>
      <c r="S615" s="203">
        <v>6.4</v>
      </c>
      <c r="T615" s="203" t="s">
        <v>84</v>
      </c>
      <c r="V615" s="198">
        <v>2146</v>
      </c>
      <c r="W615" s="202">
        <v>5.4</v>
      </c>
      <c r="X615" s="203">
        <v>5</v>
      </c>
      <c r="Y615" s="203">
        <v>0.4</v>
      </c>
      <c r="Z615" s="204">
        <v>6.4</v>
      </c>
      <c r="AA615" s="203">
        <v>6.4</v>
      </c>
      <c r="AB615" s="203" t="s">
        <v>84</v>
      </c>
      <c r="AD615" s="198">
        <v>2146</v>
      </c>
      <c r="AE615" s="202" t="s">
        <v>82</v>
      </c>
      <c r="AF615" s="203" t="s">
        <v>82</v>
      </c>
      <c r="AG615" s="203" t="s">
        <v>82</v>
      </c>
      <c r="AH615" s="204" t="s">
        <v>82</v>
      </c>
      <c r="AI615" s="203" t="s">
        <v>82</v>
      </c>
      <c r="AJ615" s="203" t="s">
        <v>82</v>
      </c>
    </row>
    <row customFormat="1" r="616" s="205" spans="1:36" x14ac:dyDescent="0.2">
      <c r="A616" s="193">
        <v>612</v>
      </c>
      <c r="B616" s="215">
        <v>17</v>
      </c>
      <c r="C616" s="195" t="s">
        <v>401</v>
      </c>
      <c r="D616" s="195">
        <v>6</v>
      </c>
      <c r="E616" s="195" t="s">
        <v>402</v>
      </c>
      <c r="F616" s="196">
        <v>44520</v>
      </c>
      <c r="G616" s="197" t="s">
        <v>9</v>
      </c>
      <c r="H616" s="198">
        <v>2147</v>
      </c>
      <c r="I616" s="196" t="s">
        <v>404</v>
      </c>
      <c r="J616" s="199">
        <v>1800</v>
      </c>
      <c r="K616" s="198">
        <v>2158</v>
      </c>
      <c r="L616" s="216">
        <v>0</v>
      </c>
      <c r="M616" s="201"/>
      <c r="N616" s="199">
        <v>2147</v>
      </c>
      <c r="O616" s="202">
        <v>4.9000000000000004</v>
      </c>
      <c r="P616" s="203">
        <v>4.7</v>
      </c>
      <c r="Q616" s="203">
        <v>0.2</v>
      </c>
      <c r="R616" s="204">
        <v>5</v>
      </c>
      <c r="S616" s="203">
        <v>5</v>
      </c>
      <c r="T616" s="203" t="s">
        <v>84</v>
      </c>
      <c r="V616" s="198">
        <v>2147</v>
      </c>
      <c r="W616" s="202">
        <v>4.9000000000000004</v>
      </c>
      <c r="X616" s="203">
        <v>4.7</v>
      </c>
      <c r="Y616" s="203">
        <v>0.2</v>
      </c>
      <c r="Z616" s="204">
        <v>5</v>
      </c>
      <c r="AA616" s="203">
        <v>5</v>
      </c>
      <c r="AB616" s="203" t="s">
        <v>84</v>
      </c>
      <c r="AD616" s="198">
        <v>2147</v>
      </c>
      <c r="AE616" s="202" t="s">
        <v>82</v>
      </c>
      <c r="AF616" s="203" t="s">
        <v>82</v>
      </c>
      <c r="AG616" s="203" t="s">
        <v>82</v>
      </c>
      <c r="AH616" s="204" t="s">
        <v>82</v>
      </c>
      <c r="AI616" s="203" t="s">
        <v>82</v>
      </c>
      <c r="AJ616" s="203" t="s">
        <v>82</v>
      </c>
    </row>
    <row customFormat="1" r="617" s="205" spans="1:36" x14ac:dyDescent="0.2">
      <c r="A617" s="193">
        <v>613</v>
      </c>
      <c r="B617" s="215">
        <v>18</v>
      </c>
      <c r="C617" s="195" t="s">
        <v>405</v>
      </c>
      <c r="D617" s="195">
        <v>1</v>
      </c>
      <c r="E617" s="195" t="s">
        <v>406</v>
      </c>
      <c r="F617" s="196">
        <v>43955</v>
      </c>
      <c r="G617" s="197" t="s">
        <v>4</v>
      </c>
      <c r="H617" s="198">
        <v>2019</v>
      </c>
      <c r="I617" s="196" t="s">
        <v>407</v>
      </c>
      <c r="J617" s="199">
        <v>1750</v>
      </c>
      <c r="K617" s="198">
        <v>1814</v>
      </c>
      <c r="L617" s="216">
        <v>0</v>
      </c>
      <c r="M617" s="201"/>
      <c r="N617" s="199">
        <v>2019</v>
      </c>
      <c r="O617" s="202">
        <v>4.9000000000000004</v>
      </c>
      <c r="P617" s="203">
        <v>4.5999999999999996</v>
      </c>
      <c r="Q617" s="203">
        <v>0.3</v>
      </c>
      <c r="R617" s="204">
        <v>5.2</v>
      </c>
      <c r="S617" s="203">
        <v>5.2</v>
      </c>
      <c r="T617" s="203">
        <v>0</v>
      </c>
      <c r="V617" s="198">
        <v>2019</v>
      </c>
      <c r="W617" s="202">
        <v>4.5999999999999996</v>
      </c>
      <c r="X617" s="203">
        <v>4.5999999999999996</v>
      </c>
      <c r="Y617" s="203">
        <v>0</v>
      </c>
      <c r="Z617" s="204">
        <v>5.2</v>
      </c>
      <c r="AA617" s="203">
        <v>5.2</v>
      </c>
      <c r="AB617" s="203">
        <v>0</v>
      </c>
      <c r="AD617" s="198">
        <v>2019</v>
      </c>
      <c r="AE617" s="202">
        <v>-0.30000000000000071</v>
      </c>
      <c r="AF617" s="203" t="s">
        <v>82</v>
      </c>
      <c r="AG617" s="203">
        <v>-0.3</v>
      </c>
      <c r="AH617" s="204" t="s">
        <v>82</v>
      </c>
      <c r="AI617" s="203" t="s">
        <v>82</v>
      </c>
      <c r="AJ617" s="203" t="s">
        <v>82</v>
      </c>
    </row>
    <row customFormat="1" r="618" s="205" spans="1:36" x14ac:dyDescent="0.2">
      <c r="A618" s="193">
        <v>614</v>
      </c>
      <c r="B618" s="215">
        <v>18</v>
      </c>
      <c r="C618" s="195" t="s">
        <v>405</v>
      </c>
      <c r="D618" s="195">
        <v>1</v>
      </c>
      <c r="E618" s="195" t="s">
        <v>406</v>
      </c>
      <c r="F618" s="196">
        <v>43962</v>
      </c>
      <c r="G618" s="197" t="s">
        <v>4</v>
      </c>
      <c r="H618" s="198">
        <v>2020</v>
      </c>
      <c r="I618" s="196" t="s">
        <v>407</v>
      </c>
      <c r="J618" s="199">
        <v>1750</v>
      </c>
      <c r="K618" s="198">
        <v>1814</v>
      </c>
      <c r="L618" s="216">
        <v>0</v>
      </c>
      <c r="M618" s="201"/>
      <c r="N618" s="199">
        <v>2020</v>
      </c>
      <c r="O618" s="202">
        <v>4.7</v>
      </c>
      <c r="P618" s="203">
        <v>4.4000000000000004</v>
      </c>
      <c r="Q618" s="203">
        <v>0.3</v>
      </c>
      <c r="R618" s="204">
        <v>5.4</v>
      </c>
      <c r="S618" s="203">
        <v>5.4</v>
      </c>
      <c r="T618" s="203" t="s">
        <v>84</v>
      </c>
      <c r="V618" s="198">
        <v>2020</v>
      </c>
      <c r="W618" s="202">
        <v>4.4000000000000004</v>
      </c>
      <c r="X618" s="203">
        <v>4.4000000000000004</v>
      </c>
      <c r="Y618" s="203">
        <v>0</v>
      </c>
      <c r="Z618" s="204">
        <v>5.4</v>
      </c>
      <c r="AA618" s="203">
        <v>5.4</v>
      </c>
      <c r="AB618" s="203" t="s">
        <v>84</v>
      </c>
      <c r="AD618" s="198">
        <v>2020</v>
      </c>
      <c r="AE618" s="202">
        <v>-0.29999999999999982</v>
      </c>
      <c r="AF618" s="203" t="s">
        <v>82</v>
      </c>
      <c r="AG618" s="203">
        <v>-0.3</v>
      </c>
      <c r="AH618" s="204" t="s">
        <v>82</v>
      </c>
      <c r="AI618" s="203" t="s">
        <v>82</v>
      </c>
      <c r="AJ618" s="203" t="s">
        <v>82</v>
      </c>
    </row>
    <row customFormat="1" r="619" s="205" spans="1:36" x14ac:dyDescent="0.2">
      <c r="A619" s="193">
        <v>615</v>
      </c>
      <c r="B619" s="215">
        <v>18</v>
      </c>
      <c r="C619" s="195" t="s">
        <v>405</v>
      </c>
      <c r="D619" s="195">
        <v>1</v>
      </c>
      <c r="E619" s="195" t="s">
        <v>406</v>
      </c>
      <c r="F619" s="196">
        <v>43969</v>
      </c>
      <c r="G619" s="197" t="s">
        <v>4</v>
      </c>
      <c r="H619" s="198">
        <v>2021</v>
      </c>
      <c r="I619" s="196" t="s">
        <v>407</v>
      </c>
      <c r="J619" s="199">
        <v>1750</v>
      </c>
      <c r="K619" s="198">
        <v>1814</v>
      </c>
      <c r="L619" s="216">
        <v>0</v>
      </c>
      <c r="M619" s="201"/>
      <c r="N619" s="199">
        <v>2021</v>
      </c>
      <c r="O619" s="202">
        <v>4.5999999999999996</v>
      </c>
      <c r="P619" s="203">
        <v>4.3</v>
      </c>
      <c r="Q619" s="203">
        <v>0.3</v>
      </c>
      <c r="R619" s="204">
        <v>4.7</v>
      </c>
      <c r="S619" s="203">
        <v>4.7</v>
      </c>
      <c r="T619" s="203" t="s">
        <v>84</v>
      </c>
      <c r="V619" s="198">
        <v>2021</v>
      </c>
      <c r="W619" s="202">
        <v>4.3</v>
      </c>
      <c r="X619" s="203">
        <v>4.3</v>
      </c>
      <c r="Y619" s="203">
        <v>0</v>
      </c>
      <c r="Z619" s="204">
        <v>4.7</v>
      </c>
      <c r="AA619" s="203">
        <v>4.7</v>
      </c>
      <c r="AB619" s="203" t="s">
        <v>84</v>
      </c>
      <c r="AD619" s="198">
        <v>2021</v>
      </c>
      <c r="AE619" s="202">
        <v>-0.29999999999999982</v>
      </c>
      <c r="AF619" s="203" t="s">
        <v>82</v>
      </c>
      <c r="AG619" s="203">
        <v>-0.3</v>
      </c>
      <c r="AH619" s="204" t="s">
        <v>82</v>
      </c>
      <c r="AI619" s="203" t="s">
        <v>82</v>
      </c>
      <c r="AJ619" s="203" t="s">
        <v>82</v>
      </c>
    </row>
    <row customFormat="1" r="620" s="205" spans="1:36" x14ac:dyDescent="0.2">
      <c r="A620" s="193">
        <v>616</v>
      </c>
      <c r="B620" s="215">
        <v>18</v>
      </c>
      <c r="C620" s="195" t="s">
        <v>405</v>
      </c>
      <c r="D620" s="195">
        <v>1</v>
      </c>
      <c r="E620" s="195" t="s">
        <v>406</v>
      </c>
      <c r="F620" s="196">
        <v>43976</v>
      </c>
      <c r="G620" s="197" t="s">
        <v>4</v>
      </c>
      <c r="H620" s="198">
        <v>2022</v>
      </c>
      <c r="I620" s="196" t="s">
        <v>407</v>
      </c>
      <c r="J620" s="199">
        <v>1750</v>
      </c>
      <c r="K620" s="198">
        <v>1814</v>
      </c>
      <c r="L620" s="216">
        <v>0</v>
      </c>
      <c r="M620" s="201"/>
      <c r="N620" s="199">
        <v>2022</v>
      </c>
      <c r="O620" s="202">
        <v>4</v>
      </c>
      <c r="P620" s="203">
        <v>3.7</v>
      </c>
      <c r="Q620" s="203">
        <v>0.3</v>
      </c>
      <c r="R620" s="204">
        <v>3.9</v>
      </c>
      <c r="S620" s="203">
        <v>3.9</v>
      </c>
      <c r="T620" s="203" t="s">
        <v>84</v>
      </c>
      <c r="V620" s="198">
        <v>2022</v>
      </c>
      <c r="W620" s="202">
        <v>3.7</v>
      </c>
      <c r="X620" s="203">
        <v>3.7</v>
      </c>
      <c r="Y620" s="203">
        <v>0</v>
      </c>
      <c r="Z620" s="204">
        <v>3.9</v>
      </c>
      <c r="AA620" s="203">
        <v>3.9</v>
      </c>
      <c r="AB620" s="203" t="s">
        <v>84</v>
      </c>
      <c r="AD620" s="198">
        <v>2022</v>
      </c>
      <c r="AE620" s="202">
        <v>-0.29999999999999982</v>
      </c>
      <c r="AF620" s="203" t="s">
        <v>82</v>
      </c>
      <c r="AG620" s="203">
        <v>-0.3</v>
      </c>
      <c r="AH620" s="204" t="s">
        <v>82</v>
      </c>
      <c r="AI620" s="203" t="s">
        <v>82</v>
      </c>
      <c r="AJ620" s="203" t="s">
        <v>82</v>
      </c>
    </row>
    <row customFormat="1" r="621" s="205" spans="1:36" x14ac:dyDescent="0.2">
      <c r="A621" s="193">
        <v>617</v>
      </c>
      <c r="B621" s="215">
        <v>18</v>
      </c>
      <c r="C621" s="195" t="s">
        <v>405</v>
      </c>
      <c r="D621" s="195">
        <v>1</v>
      </c>
      <c r="E621" s="195" t="s">
        <v>406</v>
      </c>
      <c r="F621" s="196">
        <v>44410</v>
      </c>
      <c r="G621" s="197" t="s">
        <v>4</v>
      </c>
      <c r="H621" s="198">
        <v>2132</v>
      </c>
      <c r="I621" s="196" t="s">
        <v>408</v>
      </c>
      <c r="J621" s="199">
        <v>1025</v>
      </c>
      <c r="K621" s="198">
        <v>1119</v>
      </c>
      <c r="L621" s="216">
        <v>0</v>
      </c>
      <c r="M621" s="201"/>
      <c r="N621" s="199">
        <v>2132</v>
      </c>
      <c r="O621" s="202">
        <v>1.5</v>
      </c>
      <c r="P621" s="203">
        <v>1.3</v>
      </c>
      <c r="Q621" s="203">
        <v>0.2</v>
      </c>
      <c r="R621" s="204">
        <v>0.8</v>
      </c>
      <c r="S621" s="203">
        <v>0.8</v>
      </c>
      <c r="T621" s="203">
        <v>0</v>
      </c>
      <c r="V621" s="198">
        <v>2132</v>
      </c>
      <c r="W621" s="202">
        <v>1.4</v>
      </c>
      <c r="X621" s="203">
        <v>1.3</v>
      </c>
      <c r="Y621" s="203">
        <v>0.1</v>
      </c>
      <c r="Z621" s="204">
        <v>0.8</v>
      </c>
      <c r="AA621" s="203">
        <v>0.8</v>
      </c>
      <c r="AB621" s="203">
        <v>0</v>
      </c>
      <c r="AD621" s="198">
        <v>2132</v>
      </c>
      <c r="AE621" s="202">
        <v>-0.10000000000000009</v>
      </c>
      <c r="AF621" s="203" t="s">
        <v>82</v>
      </c>
      <c r="AG621" s="203">
        <v>-0.1</v>
      </c>
      <c r="AH621" s="204" t="s">
        <v>82</v>
      </c>
      <c r="AI621" s="203" t="s">
        <v>82</v>
      </c>
      <c r="AJ621" s="203" t="s">
        <v>82</v>
      </c>
    </row>
    <row customFormat="1" r="622" s="205" spans="1:36" x14ac:dyDescent="0.2">
      <c r="A622" s="193">
        <v>618</v>
      </c>
      <c r="B622" s="215">
        <v>18</v>
      </c>
      <c r="C622" s="195" t="s">
        <v>405</v>
      </c>
      <c r="D622" s="195">
        <v>1</v>
      </c>
      <c r="E622" s="195" t="s">
        <v>406</v>
      </c>
      <c r="F622" s="196">
        <v>44416</v>
      </c>
      <c r="G622" s="197" t="s">
        <v>10</v>
      </c>
      <c r="H622" s="198">
        <v>2132</v>
      </c>
      <c r="I622" s="196" t="s">
        <v>409</v>
      </c>
      <c r="J622" s="199">
        <v>2100</v>
      </c>
      <c r="K622" s="198">
        <v>2153</v>
      </c>
      <c r="L622" s="216">
        <v>0</v>
      </c>
      <c r="M622" s="201"/>
      <c r="N622" s="199">
        <v>2132</v>
      </c>
      <c r="O622" s="202">
        <v>9.6999999999999993</v>
      </c>
      <c r="P622" s="203">
        <v>8.1</v>
      </c>
      <c r="Q622" s="203">
        <v>1.6</v>
      </c>
      <c r="R622" s="204">
        <v>8.8000000000000007</v>
      </c>
      <c r="S622" s="203">
        <v>7.3</v>
      </c>
      <c r="T622" s="203">
        <v>1.5</v>
      </c>
      <c r="V622" s="198">
        <v>2132</v>
      </c>
      <c r="W622" s="202">
        <v>9.6</v>
      </c>
      <c r="X622" s="203">
        <v>8.1</v>
      </c>
      <c r="Y622" s="203">
        <v>1.5</v>
      </c>
      <c r="Z622" s="204">
        <v>8.8000000000000007</v>
      </c>
      <c r="AA622" s="203">
        <v>7.3</v>
      </c>
      <c r="AB622" s="203">
        <v>1.5</v>
      </c>
      <c r="AD622" s="198">
        <v>2132</v>
      </c>
      <c r="AE622" s="202">
        <v>-9.9999999999999645E-2</v>
      </c>
      <c r="AF622" s="203" t="s">
        <v>82</v>
      </c>
      <c r="AG622" s="203">
        <v>-0.10000000000000009</v>
      </c>
      <c r="AH622" s="204" t="s">
        <v>82</v>
      </c>
      <c r="AI622" s="203" t="s">
        <v>82</v>
      </c>
      <c r="AJ622" s="203" t="s">
        <v>82</v>
      </c>
    </row>
    <row customFormat="1" r="623" s="205" spans="1:36" x14ac:dyDescent="0.2">
      <c r="A623" s="193">
        <v>619</v>
      </c>
      <c r="B623" s="215">
        <v>18</v>
      </c>
      <c r="C623" s="195" t="s">
        <v>405</v>
      </c>
      <c r="D623" s="195">
        <v>1</v>
      </c>
      <c r="E623" s="195" t="s">
        <v>406</v>
      </c>
      <c r="F623" s="196">
        <v>44417</v>
      </c>
      <c r="G623" s="197" t="s">
        <v>4</v>
      </c>
      <c r="H623" s="198">
        <v>2133</v>
      </c>
      <c r="I623" s="196" t="s">
        <v>410</v>
      </c>
      <c r="J623" s="199">
        <v>1050</v>
      </c>
      <c r="K623" s="198">
        <v>1119</v>
      </c>
      <c r="L623" s="216">
        <v>0</v>
      </c>
      <c r="M623" s="201"/>
      <c r="N623" s="199">
        <v>2133</v>
      </c>
      <c r="O623" s="202">
        <v>1.4</v>
      </c>
      <c r="P623" s="203">
        <v>1.2</v>
      </c>
      <c r="Q623" s="203">
        <v>0.2</v>
      </c>
      <c r="R623" s="204">
        <v>0.9</v>
      </c>
      <c r="S623" s="203">
        <v>0.9</v>
      </c>
      <c r="T623" s="203">
        <v>0</v>
      </c>
      <c r="V623" s="198">
        <v>2133</v>
      </c>
      <c r="W623" s="202">
        <v>1.3</v>
      </c>
      <c r="X623" s="203">
        <v>1.2</v>
      </c>
      <c r="Y623" s="203">
        <v>0.1</v>
      </c>
      <c r="Z623" s="204">
        <v>0.9</v>
      </c>
      <c r="AA623" s="203">
        <v>0.9</v>
      </c>
      <c r="AB623" s="203">
        <v>0</v>
      </c>
      <c r="AD623" s="198">
        <v>2133</v>
      </c>
      <c r="AE623" s="202">
        <v>-9.9999999999999867E-2</v>
      </c>
      <c r="AF623" s="203" t="s">
        <v>82</v>
      </c>
      <c r="AG623" s="203">
        <v>-0.1</v>
      </c>
      <c r="AH623" s="204" t="s">
        <v>82</v>
      </c>
      <c r="AI623" s="203" t="s">
        <v>82</v>
      </c>
      <c r="AJ623" s="203" t="s">
        <v>82</v>
      </c>
    </row>
    <row customFormat="1" r="624" s="205" spans="1:36" x14ac:dyDescent="0.2">
      <c r="A624" s="193">
        <v>620</v>
      </c>
      <c r="B624" s="215">
        <v>18</v>
      </c>
      <c r="C624" s="195" t="s">
        <v>405</v>
      </c>
      <c r="D624" s="195">
        <v>1</v>
      </c>
      <c r="E624" s="195" t="s">
        <v>406</v>
      </c>
      <c r="F624" s="196">
        <v>44423</v>
      </c>
      <c r="G624" s="197" t="s">
        <v>10</v>
      </c>
      <c r="H624" s="198">
        <v>2133</v>
      </c>
      <c r="I624" s="196" t="s">
        <v>409</v>
      </c>
      <c r="J624" s="199">
        <v>2100</v>
      </c>
      <c r="K624" s="198">
        <v>2153</v>
      </c>
      <c r="L624" s="216">
        <v>0</v>
      </c>
      <c r="M624" s="201"/>
      <c r="N624" s="199">
        <v>2133</v>
      </c>
      <c r="O624" s="202">
        <v>9.1</v>
      </c>
      <c r="P624" s="203">
        <v>7.6</v>
      </c>
      <c r="Q624" s="203">
        <v>1.5</v>
      </c>
      <c r="R624" s="204">
        <v>7.4</v>
      </c>
      <c r="S624" s="203">
        <v>5.9</v>
      </c>
      <c r="T624" s="203">
        <v>1.5</v>
      </c>
      <c r="V624" s="198">
        <v>2133</v>
      </c>
      <c r="W624" s="202">
        <v>9</v>
      </c>
      <c r="X624" s="203">
        <v>7.6</v>
      </c>
      <c r="Y624" s="203">
        <v>1.4</v>
      </c>
      <c r="Z624" s="204">
        <v>7.4</v>
      </c>
      <c r="AA624" s="203">
        <v>5.9</v>
      </c>
      <c r="AB624" s="203">
        <v>1.5</v>
      </c>
      <c r="AD624" s="198">
        <v>2133</v>
      </c>
      <c r="AE624" s="202">
        <v>-9.9999999999999645E-2</v>
      </c>
      <c r="AF624" s="203" t="s">
        <v>82</v>
      </c>
      <c r="AG624" s="203">
        <v>-0.10000000000000009</v>
      </c>
      <c r="AH624" s="204" t="s">
        <v>82</v>
      </c>
      <c r="AI624" s="203" t="s">
        <v>82</v>
      </c>
      <c r="AJ624" s="203" t="s">
        <v>82</v>
      </c>
    </row>
    <row customFormat="1" r="625" s="205" spans="1:36" x14ac:dyDescent="0.2">
      <c r="A625" s="193">
        <v>621</v>
      </c>
      <c r="B625" s="215">
        <v>18</v>
      </c>
      <c r="C625" s="195" t="s">
        <v>405</v>
      </c>
      <c r="D625" s="195">
        <v>1</v>
      </c>
      <c r="E625" s="195" t="s">
        <v>406</v>
      </c>
      <c r="F625" s="196">
        <v>44424</v>
      </c>
      <c r="G625" s="197" t="s">
        <v>4</v>
      </c>
      <c r="H625" s="198">
        <v>2134</v>
      </c>
      <c r="I625" s="196" t="s">
        <v>411</v>
      </c>
      <c r="J625" s="199">
        <v>1025</v>
      </c>
      <c r="K625" s="198">
        <v>1119</v>
      </c>
      <c r="L625" s="216">
        <v>0</v>
      </c>
      <c r="M625" s="201"/>
      <c r="N625" s="199">
        <v>2134</v>
      </c>
      <c r="O625" s="202">
        <v>1.1000000000000001</v>
      </c>
      <c r="P625" s="203">
        <v>0.9</v>
      </c>
      <c r="Q625" s="203">
        <v>0.2</v>
      </c>
      <c r="R625" s="204">
        <v>0.7</v>
      </c>
      <c r="S625" s="203">
        <v>0.7</v>
      </c>
      <c r="T625" s="203">
        <v>0</v>
      </c>
      <c r="V625" s="198">
        <v>2134</v>
      </c>
      <c r="W625" s="202">
        <v>1</v>
      </c>
      <c r="X625" s="203">
        <v>0.9</v>
      </c>
      <c r="Y625" s="203">
        <v>0.1</v>
      </c>
      <c r="Z625" s="204">
        <v>0.7</v>
      </c>
      <c r="AA625" s="203">
        <v>0.7</v>
      </c>
      <c r="AB625" s="203">
        <v>0</v>
      </c>
      <c r="AD625" s="198">
        <v>2134</v>
      </c>
      <c r="AE625" s="202">
        <v>-0.10000000000000009</v>
      </c>
      <c r="AF625" s="203" t="s">
        <v>82</v>
      </c>
      <c r="AG625" s="203">
        <v>-0.1</v>
      </c>
      <c r="AH625" s="204" t="s">
        <v>82</v>
      </c>
      <c r="AI625" s="203" t="s">
        <v>82</v>
      </c>
      <c r="AJ625" s="203" t="s">
        <v>82</v>
      </c>
    </row>
    <row customFormat="1" r="626" s="205" spans="1:36" x14ac:dyDescent="0.2">
      <c r="A626" s="193">
        <v>622</v>
      </c>
      <c r="B626" s="215">
        <v>18</v>
      </c>
      <c r="C626" s="195" t="s">
        <v>405</v>
      </c>
      <c r="D626" s="195">
        <v>1</v>
      </c>
      <c r="E626" s="195" t="s">
        <v>406</v>
      </c>
      <c r="F626" s="196">
        <v>44430</v>
      </c>
      <c r="G626" s="197" t="s">
        <v>10</v>
      </c>
      <c r="H626" s="198">
        <v>2134</v>
      </c>
      <c r="I626" s="196" t="s">
        <v>409</v>
      </c>
      <c r="J626" s="199">
        <v>2100</v>
      </c>
      <c r="K626" s="198">
        <v>2153</v>
      </c>
      <c r="L626" s="216">
        <v>0</v>
      </c>
      <c r="M626" s="201"/>
      <c r="N626" s="199">
        <v>2134</v>
      </c>
      <c r="O626" s="202">
        <v>9.3000000000000007</v>
      </c>
      <c r="P626" s="203">
        <v>7.8</v>
      </c>
      <c r="Q626" s="203">
        <v>1.5</v>
      </c>
      <c r="R626" s="204">
        <v>7.7</v>
      </c>
      <c r="S626" s="203">
        <v>6.2</v>
      </c>
      <c r="T626" s="203">
        <v>1.5</v>
      </c>
      <c r="V626" s="198">
        <v>2134</v>
      </c>
      <c r="W626" s="202">
        <v>9.1999999999999993</v>
      </c>
      <c r="X626" s="203">
        <v>7.8</v>
      </c>
      <c r="Y626" s="203">
        <v>1.4</v>
      </c>
      <c r="Z626" s="204">
        <v>7.7</v>
      </c>
      <c r="AA626" s="203">
        <v>6.2</v>
      </c>
      <c r="AB626" s="203">
        <v>1.5</v>
      </c>
      <c r="AD626" s="198">
        <v>2134</v>
      </c>
      <c r="AE626" s="202">
        <v>-0.10000000000000142</v>
      </c>
      <c r="AF626" s="203" t="s">
        <v>82</v>
      </c>
      <c r="AG626" s="203">
        <v>-0.10000000000000009</v>
      </c>
      <c r="AH626" s="204" t="s">
        <v>82</v>
      </c>
      <c r="AI626" s="203" t="s">
        <v>82</v>
      </c>
      <c r="AJ626" s="203" t="s">
        <v>82</v>
      </c>
    </row>
    <row customFormat="1" r="627" s="205" spans="1:36" x14ac:dyDescent="0.2">
      <c r="A627" s="193">
        <v>623</v>
      </c>
      <c r="B627" s="215">
        <v>18</v>
      </c>
      <c r="C627" s="195" t="s">
        <v>405</v>
      </c>
      <c r="D627" s="195">
        <v>1</v>
      </c>
      <c r="E627" s="195" t="s">
        <v>406</v>
      </c>
      <c r="F627" s="196">
        <v>44431</v>
      </c>
      <c r="G627" s="197" t="s">
        <v>4</v>
      </c>
      <c r="H627" s="198">
        <v>2135</v>
      </c>
      <c r="I627" s="196" t="s">
        <v>411</v>
      </c>
      <c r="J627" s="199">
        <v>1025</v>
      </c>
      <c r="K627" s="198">
        <v>1119</v>
      </c>
      <c r="L627" s="216">
        <v>0</v>
      </c>
      <c r="M627" s="201"/>
      <c r="N627" s="199">
        <v>2135</v>
      </c>
      <c r="O627" s="202">
        <v>0.8</v>
      </c>
      <c r="P627" s="203">
        <v>0.6</v>
      </c>
      <c r="Q627" s="203">
        <v>0.2</v>
      </c>
      <c r="R627" s="204">
        <v>0.7</v>
      </c>
      <c r="S627" s="203">
        <v>0.6</v>
      </c>
      <c r="T627" s="203">
        <v>0.1</v>
      </c>
      <c r="V627" s="198">
        <v>2135</v>
      </c>
      <c r="W627" s="202">
        <v>0.7</v>
      </c>
      <c r="X627" s="203">
        <v>0.6</v>
      </c>
      <c r="Y627" s="203">
        <v>0.1</v>
      </c>
      <c r="Z627" s="204">
        <v>0.7</v>
      </c>
      <c r="AA627" s="203">
        <v>0.6</v>
      </c>
      <c r="AB627" s="203">
        <v>0.1</v>
      </c>
      <c r="AD627" s="198">
        <v>2135</v>
      </c>
      <c r="AE627" s="202">
        <v>-0.10000000000000009</v>
      </c>
      <c r="AF627" s="203" t="s">
        <v>82</v>
      </c>
      <c r="AG627" s="203">
        <v>-0.1</v>
      </c>
      <c r="AH627" s="204" t="s">
        <v>82</v>
      </c>
      <c r="AI627" s="203" t="s">
        <v>82</v>
      </c>
      <c r="AJ627" s="203" t="s">
        <v>82</v>
      </c>
    </row>
    <row customFormat="1" r="628" s="205" spans="1:36" x14ac:dyDescent="0.2">
      <c r="A628" s="193">
        <v>624</v>
      </c>
      <c r="B628" s="215">
        <v>18</v>
      </c>
      <c r="C628" s="195" t="s">
        <v>405</v>
      </c>
      <c r="D628" s="195">
        <v>1</v>
      </c>
      <c r="E628" s="195" t="s">
        <v>406</v>
      </c>
      <c r="F628" s="196">
        <v>44437</v>
      </c>
      <c r="G628" s="197" t="s">
        <v>10</v>
      </c>
      <c r="H628" s="198">
        <v>2135</v>
      </c>
      <c r="I628" s="196" t="s">
        <v>409</v>
      </c>
      <c r="J628" s="199">
        <v>2100</v>
      </c>
      <c r="K628" s="198">
        <v>2153</v>
      </c>
      <c r="L628" s="216">
        <v>0</v>
      </c>
      <c r="M628" s="201"/>
      <c r="N628" s="199">
        <v>2135</v>
      </c>
      <c r="O628" s="202">
        <v>10</v>
      </c>
      <c r="P628" s="203">
        <v>8.4</v>
      </c>
      <c r="Q628" s="203">
        <v>1.6</v>
      </c>
      <c r="R628" s="204">
        <v>8.1</v>
      </c>
      <c r="S628" s="203">
        <v>6.5</v>
      </c>
      <c r="T628" s="203">
        <v>1.6</v>
      </c>
      <c r="V628" s="198">
        <v>2135</v>
      </c>
      <c r="W628" s="202">
        <v>10</v>
      </c>
      <c r="X628" s="203">
        <v>8.4</v>
      </c>
      <c r="Y628" s="203">
        <v>1.6</v>
      </c>
      <c r="Z628" s="204">
        <v>8.1</v>
      </c>
      <c r="AA628" s="203">
        <v>6.5</v>
      </c>
      <c r="AB628" s="203">
        <v>1.6</v>
      </c>
      <c r="AD628" s="198">
        <v>2135</v>
      </c>
      <c r="AE628" s="202" t="s">
        <v>82</v>
      </c>
      <c r="AF628" s="203" t="s">
        <v>82</v>
      </c>
      <c r="AG628" s="203" t="s">
        <v>82</v>
      </c>
      <c r="AH628" s="204" t="s">
        <v>82</v>
      </c>
      <c r="AI628" s="203" t="s">
        <v>82</v>
      </c>
      <c r="AJ628" s="203" t="s">
        <v>82</v>
      </c>
    </row>
    <row customFormat="1" r="629" s="205" spans="1:36" x14ac:dyDescent="0.2">
      <c r="A629" s="193">
        <v>625</v>
      </c>
      <c r="B629" s="215">
        <v>18</v>
      </c>
      <c r="C629" s="195" t="s">
        <v>405</v>
      </c>
      <c r="D629" s="195">
        <v>1</v>
      </c>
      <c r="E629" s="195" t="s">
        <v>406</v>
      </c>
      <c r="F629" s="196">
        <v>44540</v>
      </c>
      <c r="G629" s="197" t="s">
        <v>8</v>
      </c>
      <c r="H629" s="198">
        <v>2150</v>
      </c>
      <c r="I629" s="196" t="s">
        <v>412</v>
      </c>
      <c r="J629" s="199">
        <v>1900</v>
      </c>
      <c r="K629" s="198">
        <v>1959</v>
      </c>
      <c r="L629" s="216">
        <v>0</v>
      </c>
      <c r="M629" s="201"/>
      <c r="N629" s="199">
        <v>2150</v>
      </c>
      <c r="O629" s="202">
        <v>3.4</v>
      </c>
      <c r="P629" s="203">
        <v>3.1</v>
      </c>
      <c r="Q629" s="203">
        <v>0.3</v>
      </c>
      <c r="R629" s="204">
        <v>3.7</v>
      </c>
      <c r="S629" s="203">
        <v>3.7</v>
      </c>
      <c r="T629" s="203" t="s">
        <v>84</v>
      </c>
      <c r="V629" s="198">
        <v>2150</v>
      </c>
      <c r="W629" s="202">
        <v>3.3</v>
      </c>
      <c r="X629" s="203">
        <v>3.1</v>
      </c>
      <c r="Y629" s="203">
        <v>0.2</v>
      </c>
      <c r="Z629" s="204">
        <v>3.7</v>
      </c>
      <c r="AA629" s="203">
        <v>3.7</v>
      </c>
      <c r="AB629" s="203" t="s">
        <v>84</v>
      </c>
      <c r="AD629" s="198">
        <v>2150</v>
      </c>
      <c r="AE629" s="202">
        <v>-0.10000000000000009</v>
      </c>
      <c r="AF629" s="203" t="s">
        <v>82</v>
      </c>
      <c r="AG629" s="203">
        <v>-9.9999999999999978E-2</v>
      </c>
      <c r="AH629" s="204" t="s">
        <v>82</v>
      </c>
      <c r="AI629" s="203" t="s">
        <v>82</v>
      </c>
      <c r="AJ629" s="203" t="s">
        <v>82</v>
      </c>
    </row>
    <row customFormat="1" r="630" s="205" spans="1:36" x14ac:dyDescent="0.2">
      <c r="A630" s="193">
        <v>626</v>
      </c>
      <c r="B630" s="215">
        <v>18</v>
      </c>
      <c r="C630" s="195" t="s">
        <v>405</v>
      </c>
      <c r="D630" s="195">
        <v>1</v>
      </c>
      <c r="E630" s="195" t="s">
        <v>406</v>
      </c>
      <c r="F630" s="196">
        <v>44547</v>
      </c>
      <c r="G630" s="197" t="s">
        <v>8</v>
      </c>
      <c r="H630" s="198">
        <v>2151</v>
      </c>
      <c r="I630" s="196" t="s">
        <v>412</v>
      </c>
      <c r="J630" s="199">
        <v>1900</v>
      </c>
      <c r="K630" s="198">
        <v>1959</v>
      </c>
      <c r="L630" s="216">
        <v>0</v>
      </c>
      <c r="M630" s="201"/>
      <c r="N630" s="199">
        <v>2151</v>
      </c>
      <c r="O630" s="202">
        <v>3.8</v>
      </c>
      <c r="P630" s="203">
        <v>3.4</v>
      </c>
      <c r="Q630" s="203">
        <v>0.4</v>
      </c>
      <c r="R630" s="204">
        <v>4.2</v>
      </c>
      <c r="S630" s="203">
        <v>4.2</v>
      </c>
      <c r="T630" s="203" t="s">
        <v>84</v>
      </c>
      <c r="V630" s="198">
        <v>2151</v>
      </c>
      <c r="W630" s="202">
        <v>3.7</v>
      </c>
      <c r="X630" s="203">
        <v>3.4</v>
      </c>
      <c r="Y630" s="203">
        <v>0.3</v>
      </c>
      <c r="Z630" s="204">
        <v>4.2</v>
      </c>
      <c r="AA630" s="203">
        <v>4.2</v>
      </c>
      <c r="AB630" s="203" t="s">
        <v>84</v>
      </c>
      <c r="AD630" s="198">
        <v>2151</v>
      </c>
      <c r="AE630" s="202">
        <v>-9.9999999999999645E-2</v>
      </c>
      <c r="AF630" s="203" t="s">
        <v>82</v>
      </c>
      <c r="AG630" s="203">
        <v>-0.10000000000000003</v>
      </c>
      <c r="AH630" s="204" t="s">
        <v>82</v>
      </c>
      <c r="AI630" s="203" t="s">
        <v>82</v>
      </c>
      <c r="AJ630" s="203" t="s">
        <v>82</v>
      </c>
    </row>
    <row customFormat="1" r="631" s="205" spans="1:36" x14ac:dyDescent="0.2">
      <c r="A631" s="193">
        <v>627</v>
      </c>
      <c r="B631" s="215">
        <v>18</v>
      </c>
      <c r="C631" s="195" t="s">
        <v>405</v>
      </c>
      <c r="D631" s="195">
        <v>1</v>
      </c>
      <c r="E631" s="195" t="s">
        <v>406</v>
      </c>
      <c r="F631" s="196">
        <v>44554</v>
      </c>
      <c r="G631" s="197" t="s">
        <v>8</v>
      </c>
      <c r="H631" s="198">
        <v>2152</v>
      </c>
      <c r="I631" s="196" t="s">
        <v>413</v>
      </c>
      <c r="J631" s="199">
        <v>1900</v>
      </c>
      <c r="K631" s="198">
        <v>2253</v>
      </c>
      <c r="L631" s="216">
        <v>0</v>
      </c>
      <c r="M631" s="201"/>
      <c r="N631" s="199">
        <v>2152</v>
      </c>
      <c r="O631" s="202">
        <v>5.3</v>
      </c>
      <c r="P631" s="203">
        <v>4.2</v>
      </c>
      <c r="Q631" s="203">
        <v>1.1000000000000001</v>
      </c>
      <c r="R631" s="204">
        <v>4.5</v>
      </c>
      <c r="S631" s="203">
        <v>2.5</v>
      </c>
      <c r="T631" s="203">
        <v>2</v>
      </c>
      <c r="V631" s="198">
        <v>2152</v>
      </c>
      <c r="W631" s="202">
        <v>5.3</v>
      </c>
      <c r="X631" s="203">
        <v>4.2</v>
      </c>
      <c r="Y631" s="203">
        <v>1.1000000000000001</v>
      </c>
      <c r="Z631" s="204">
        <v>4.5</v>
      </c>
      <c r="AA631" s="203">
        <v>2.5</v>
      </c>
      <c r="AB631" s="203">
        <v>2</v>
      </c>
      <c r="AD631" s="198">
        <v>2152</v>
      </c>
      <c r="AE631" s="202"/>
      <c r="AF631" s="203" t="s">
        <v>82</v>
      </c>
      <c r="AG631" s="203" t="s">
        <v>82</v>
      </c>
      <c r="AH631" s="204" t="s">
        <v>82</v>
      </c>
      <c r="AI631" s="203" t="s">
        <v>82</v>
      </c>
      <c r="AJ631" s="203" t="s">
        <v>82</v>
      </c>
    </row>
    <row customFormat="1" r="632" s="205" spans="1:36" x14ac:dyDescent="0.2">
      <c r="A632" s="193">
        <v>628</v>
      </c>
      <c r="B632" s="215">
        <v>18</v>
      </c>
      <c r="C632" s="195" t="s">
        <v>405</v>
      </c>
      <c r="D632" s="195">
        <v>1</v>
      </c>
      <c r="E632" s="195" t="s">
        <v>406</v>
      </c>
      <c r="F632" s="196">
        <v>44561</v>
      </c>
      <c r="G632" s="197" t="s">
        <v>8</v>
      </c>
      <c r="H632" s="198">
        <v>2201</v>
      </c>
      <c r="I632" s="196" t="s">
        <v>414</v>
      </c>
      <c r="J632" s="199">
        <v>1830</v>
      </c>
      <c r="K632" s="198">
        <v>1959</v>
      </c>
      <c r="L632" s="216">
        <v>0</v>
      </c>
      <c r="M632" s="201"/>
      <c r="N632" s="199">
        <v>2201</v>
      </c>
      <c r="O632" s="202">
        <v>4.7</v>
      </c>
      <c r="P632" s="203">
        <v>4.5</v>
      </c>
      <c r="Q632" s="203">
        <v>0.2</v>
      </c>
      <c r="R632" s="204">
        <v>5.7</v>
      </c>
      <c r="S632" s="203">
        <v>5.7</v>
      </c>
      <c r="T632" s="203" t="s">
        <v>84</v>
      </c>
      <c r="V632" s="198">
        <v>2201</v>
      </c>
      <c r="W632" s="202">
        <v>4.5999999999999996</v>
      </c>
      <c r="X632" s="203">
        <v>4.5</v>
      </c>
      <c r="Y632" s="203">
        <v>0.1</v>
      </c>
      <c r="Z632" s="204">
        <v>5.7</v>
      </c>
      <c r="AA632" s="203">
        <v>5.7</v>
      </c>
      <c r="AB632" s="203" t="s">
        <v>84</v>
      </c>
      <c r="AD632" s="198">
        <v>2201</v>
      </c>
      <c r="AE632" s="202">
        <v>-0.10000000000000053</v>
      </c>
      <c r="AF632" s="203" t="s">
        <v>82</v>
      </c>
      <c r="AG632" s="203">
        <v>-0.1</v>
      </c>
      <c r="AH632" s="204" t="s">
        <v>82</v>
      </c>
      <c r="AI632" s="203" t="s">
        <v>82</v>
      </c>
      <c r="AJ632" s="203" t="s">
        <v>82</v>
      </c>
    </row>
    <row customFormat="1" r="633" s="205" spans="1:36" x14ac:dyDescent="0.2">
      <c r="A633" s="193">
        <v>629</v>
      </c>
      <c r="B633" s="215">
        <v>18</v>
      </c>
      <c r="C633" s="195" t="s">
        <v>405</v>
      </c>
      <c r="D633" s="195">
        <v>2</v>
      </c>
      <c r="E633" s="195" t="s">
        <v>415</v>
      </c>
      <c r="F633" s="196">
        <v>44066</v>
      </c>
      <c r="G633" s="197" t="s">
        <v>10</v>
      </c>
      <c r="H633" s="198">
        <v>2034</v>
      </c>
      <c r="I633" s="196" t="s">
        <v>416</v>
      </c>
      <c r="J633" s="199">
        <v>1900</v>
      </c>
      <c r="K633" s="198">
        <v>2053</v>
      </c>
      <c r="L633" s="216">
        <v>0</v>
      </c>
      <c r="M633" s="201"/>
      <c r="N633" s="199">
        <v>2034</v>
      </c>
      <c r="O633" s="202">
        <v>10.7</v>
      </c>
      <c r="P633" s="203">
        <v>9.9</v>
      </c>
      <c r="Q633" s="203">
        <v>0.8</v>
      </c>
      <c r="R633" s="204">
        <v>9.6</v>
      </c>
      <c r="S633" s="203">
        <v>9</v>
      </c>
      <c r="T633" s="203">
        <v>0.6</v>
      </c>
      <c r="V633" s="198">
        <v>2034</v>
      </c>
      <c r="W633" s="202">
        <v>10.5</v>
      </c>
      <c r="X633" s="203">
        <v>9.9</v>
      </c>
      <c r="Y633" s="203">
        <v>0.6</v>
      </c>
      <c r="Z633" s="204">
        <v>9.6</v>
      </c>
      <c r="AA633" s="203">
        <v>9</v>
      </c>
      <c r="AB633" s="203">
        <v>0.6</v>
      </c>
      <c r="AD633" s="198">
        <v>2034</v>
      </c>
      <c r="AE633" s="202">
        <v>-0.19999999999999929</v>
      </c>
      <c r="AF633" s="203" t="s">
        <v>82</v>
      </c>
      <c r="AG633" s="203">
        <v>-0.20000000000000007</v>
      </c>
      <c r="AH633" s="204" t="s">
        <v>82</v>
      </c>
      <c r="AI633" s="203" t="s">
        <v>82</v>
      </c>
      <c r="AJ633" s="203" t="s">
        <v>82</v>
      </c>
    </row>
    <row customFormat="1" r="634" s="205" spans="1:36" x14ac:dyDescent="0.2">
      <c r="A634" s="193">
        <v>630</v>
      </c>
      <c r="B634" s="215">
        <v>18</v>
      </c>
      <c r="C634" s="195" t="s">
        <v>405</v>
      </c>
      <c r="D634" s="195">
        <v>2</v>
      </c>
      <c r="E634" s="195" t="s">
        <v>415</v>
      </c>
      <c r="F634" s="196">
        <v>44073</v>
      </c>
      <c r="G634" s="197" t="s">
        <v>10</v>
      </c>
      <c r="H634" s="198">
        <v>2035</v>
      </c>
      <c r="I634" s="196" t="s">
        <v>157</v>
      </c>
      <c r="J634" s="199">
        <v>1900</v>
      </c>
      <c r="K634" s="198">
        <v>1957</v>
      </c>
      <c r="L634" s="216">
        <v>0</v>
      </c>
      <c r="M634" s="201"/>
      <c r="N634" s="199">
        <v>2035</v>
      </c>
      <c r="O634" s="202">
        <v>11.5</v>
      </c>
      <c r="P634" s="203">
        <v>11.2</v>
      </c>
      <c r="Q634" s="203">
        <v>0.3</v>
      </c>
      <c r="R634" s="204">
        <v>11.6</v>
      </c>
      <c r="S634" s="203">
        <v>11.6</v>
      </c>
      <c r="T634" s="203">
        <v>0</v>
      </c>
      <c r="V634" s="198">
        <v>2035</v>
      </c>
      <c r="W634" s="202">
        <v>11.2</v>
      </c>
      <c r="X634" s="203">
        <v>11.2</v>
      </c>
      <c r="Y634" s="203">
        <v>0</v>
      </c>
      <c r="Z634" s="204">
        <v>11.6</v>
      </c>
      <c r="AA634" s="203">
        <v>11.6</v>
      </c>
      <c r="AB634" s="203">
        <v>0</v>
      </c>
      <c r="AD634" s="198">
        <v>2035</v>
      </c>
      <c r="AE634" s="202">
        <v>-0.30000000000000071</v>
      </c>
      <c r="AF634" s="203" t="s">
        <v>82</v>
      </c>
      <c r="AG634" s="203">
        <v>-0.3</v>
      </c>
      <c r="AH634" s="204" t="s">
        <v>82</v>
      </c>
      <c r="AI634" s="203" t="s">
        <v>82</v>
      </c>
      <c r="AJ634" s="203" t="s">
        <v>82</v>
      </c>
    </row>
    <row customFormat="1" r="635" s="205" spans="1:36" x14ac:dyDescent="0.2">
      <c r="A635" s="193">
        <v>631</v>
      </c>
      <c r="B635" s="215">
        <v>18</v>
      </c>
      <c r="C635" s="195" t="s">
        <v>405</v>
      </c>
      <c r="D635" s="195">
        <v>2</v>
      </c>
      <c r="E635" s="195" t="s">
        <v>415</v>
      </c>
      <c r="F635" s="196">
        <v>44080</v>
      </c>
      <c r="G635" s="197" t="s">
        <v>10</v>
      </c>
      <c r="H635" s="198">
        <v>2036</v>
      </c>
      <c r="I635" s="196" t="s">
        <v>157</v>
      </c>
      <c r="J635" s="199">
        <v>1900</v>
      </c>
      <c r="K635" s="198">
        <v>1957</v>
      </c>
      <c r="L635" s="216">
        <v>0</v>
      </c>
      <c r="M635" s="201"/>
      <c r="N635" s="199">
        <v>2036</v>
      </c>
      <c r="O635" s="202">
        <v>11.1</v>
      </c>
      <c r="P635" s="203">
        <v>10.7</v>
      </c>
      <c r="Q635" s="203">
        <v>0.4</v>
      </c>
      <c r="R635" s="204">
        <v>10.6</v>
      </c>
      <c r="S635" s="203">
        <v>10.4</v>
      </c>
      <c r="T635" s="203">
        <v>0.2</v>
      </c>
      <c r="V635" s="198">
        <v>2036</v>
      </c>
      <c r="W635" s="202">
        <v>10.8</v>
      </c>
      <c r="X635" s="203">
        <v>10.7</v>
      </c>
      <c r="Y635" s="203">
        <v>0.1</v>
      </c>
      <c r="Z635" s="204">
        <v>10.6</v>
      </c>
      <c r="AA635" s="203">
        <v>10.4</v>
      </c>
      <c r="AB635" s="203">
        <v>0.2</v>
      </c>
      <c r="AD635" s="198">
        <v>2036</v>
      </c>
      <c r="AE635" s="202">
        <v>-0.29999999999999893</v>
      </c>
      <c r="AF635" s="203" t="s">
        <v>82</v>
      </c>
      <c r="AG635" s="203">
        <v>-0.30000000000000004</v>
      </c>
      <c r="AH635" s="204" t="s">
        <v>82</v>
      </c>
      <c r="AI635" s="203" t="s">
        <v>82</v>
      </c>
      <c r="AJ635" s="203" t="s">
        <v>82</v>
      </c>
    </row>
    <row customFormat="1" r="636" s="205" spans="1:36" x14ac:dyDescent="0.2">
      <c r="A636" s="193">
        <v>632</v>
      </c>
      <c r="B636" s="215">
        <v>18</v>
      </c>
      <c r="C636" s="195" t="s">
        <v>405</v>
      </c>
      <c r="D636" s="195">
        <v>2</v>
      </c>
      <c r="E636" s="195" t="s">
        <v>415</v>
      </c>
      <c r="F636" s="196">
        <v>44087</v>
      </c>
      <c r="G636" s="197" t="s">
        <v>10</v>
      </c>
      <c r="H636" s="198">
        <v>2037</v>
      </c>
      <c r="I636" s="196" t="s">
        <v>157</v>
      </c>
      <c r="J636" s="199">
        <v>1900</v>
      </c>
      <c r="K636" s="198">
        <v>1957</v>
      </c>
      <c r="L636" s="216">
        <v>0</v>
      </c>
      <c r="M636" s="201"/>
      <c r="N636" s="199">
        <v>2037</v>
      </c>
      <c r="O636" s="202">
        <v>11.4</v>
      </c>
      <c r="P636" s="203">
        <v>10.9</v>
      </c>
      <c r="Q636" s="203">
        <v>0.5</v>
      </c>
      <c r="R636" s="204">
        <v>10.9</v>
      </c>
      <c r="S636" s="203">
        <v>10.6</v>
      </c>
      <c r="T636" s="203">
        <v>0.3</v>
      </c>
      <c r="V636" s="198">
        <v>2037</v>
      </c>
      <c r="W636" s="202">
        <v>11.1</v>
      </c>
      <c r="X636" s="203">
        <v>10.9</v>
      </c>
      <c r="Y636" s="203">
        <v>0.2</v>
      </c>
      <c r="Z636" s="204">
        <v>10.9</v>
      </c>
      <c r="AA636" s="203">
        <v>10.6</v>
      </c>
      <c r="AB636" s="203">
        <v>0.3</v>
      </c>
      <c r="AD636" s="198">
        <v>2037</v>
      </c>
      <c r="AE636" s="202">
        <v>-0.30000000000000071</v>
      </c>
      <c r="AF636" s="203" t="s">
        <v>82</v>
      </c>
      <c r="AG636" s="203">
        <v>-0.3</v>
      </c>
      <c r="AH636" s="204" t="s">
        <v>82</v>
      </c>
      <c r="AI636" s="203" t="s">
        <v>82</v>
      </c>
      <c r="AJ636" s="203" t="s">
        <v>82</v>
      </c>
    </row>
    <row customFormat="1" r="637" s="205" spans="1:36" x14ac:dyDescent="0.2">
      <c r="A637" s="193">
        <v>633</v>
      </c>
      <c r="B637" s="215">
        <v>18</v>
      </c>
      <c r="C637" s="195" t="s">
        <v>405</v>
      </c>
      <c r="D637" s="195">
        <v>2</v>
      </c>
      <c r="E637" s="195" t="s">
        <v>415</v>
      </c>
      <c r="F637" s="196">
        <v>44514</v>
      </c>
      <c r="G637" s="197" t="s">
        <v>10</v>
      </c>
      <c r="H637" s="198">
        <v>2146</v>
      </c>
      <c r="I637" s="196" t="s">
        <v>417</v>
      </c>
      <c r="J637" s="199">
        <v>1235</v>
      </c>
      <c r="K637" s="198">
        <v>1429</v>
      </c>
      <c r="L637" s="216">
        <v>0</v>
      </c>
      <c r="M637" s="201"/>
      <c r="N637" s="199">
        <v>2146</v>
      </c>
      <c r="O637" s="202">
        <v>5.6</v>
      </c>
      <c r="P637" s="203">
        <v>5.5</v>
      </c>
      <c r="Q637" s="203">
        <v>0.1</v>
      </c>
      <c r="R637" s="204">
        <v>4.0999999999999996</v>
      </c>
      <c r="S637" s="203">
        <v>4.0999999999999996</v>
      </c>
      <c r="T637" s="203">
        <v>0</v>
      </c>
      <c r="V637" s="198">
        <v>2146</v>
      </c>
      <c r="W637" s="202">
        <v>5.5</v>
      </c>
      <c r="X637" s="203">
        <v>5.5</v>
      </c>
      <c r="Y637" s="203">
        <v>0</v>
      </c>
      <c r="Z637" s="204">
        <v>4.0999999999999996</v>
      </c>
      <c r="AA637" s="203">
        <v>4.0999999999999996</v>
      </c>
      <c r="AB637" s="203">
        <v>0</v>
      </c>
      <c r="AD637" s="198">
        <v>2146</v>
      </c>
      <c r="AE637" s="202">
        <v>-9.9999999999999645E-2</v>
      </c>
      <c r="AF637" s="203" t="s">
        <v>82</v>
      </c>
      <c r="AG637" s="203">
        <v>-0.1</v>
      </c>
      <c r="AH637" s="204" t="s">
        <v>82</v>
      </c>
      <c r="AI637" s="203" t="s">
        <v>82</v>
      </c>
      <c r="AJ637" s="203" t="s">
        <v>82</v>
      </c>
    </row>
    <row customFormat="1" r="638" s="205" spans="1:36" x14ac:dyDescent="0.2">
      <c r="A638" s="193">
        <v>634</v>
      </c>
      <c r="B638" s="215">
        <v>18</v>
      </c>
      <c r="C638" s="195" t="s">
        <v>405</v>
      </c>
      <c r="D638" s="195">
        <v>2</v>
      </c>
      <c r="E638" s="195" t="s">
        <v>415</v>
      </c>
      <c r="F638" s="196">
        <v>44521</v>
      </c>
      <c r="G638" s="197" t="s">
        <v>10</v>
      </c>
      <c r="H638" s="198">
        <v>2147</v>
      </c>
      <c r="I638" s="196" t="s">
        <v>417</v>
      </c>
      <c r="J638" s="199">
        <v>1235</v>
      </c>
      <c r="K638" s="198">
        <v>1329</v>
      </c>
      <c r="L638" s="216">
        <v>0</v>
      </c>
      <c r="M638" s="201"/>
      <c r="N638" s="199">
        <v>2147</v>
      </c>
      <c r="O638" s="202">
        <v>6</v>
      </c>
      <c r="P638" s="203">
        <v>5.9</v>
      </c>
      <c r="Q638" s="203">
        <v>0.1</v>
      </c>
      <c r="R638" s="204">
        <v>6.3</v>
      </c>
      <c r="S638" s="203">
        <v>6.3</v>
      </c>
      <c r="T638" s="203">
        <v>0</v>
      </c>
      <c r="V638" s="198">
        <v>2147</v>
      </c>
      <c r="W638" s="202">
        <v>5.9</v>
      </c>
      <c r="X638" s="203">
        <v>5.9</v>
      </c>
      <c r="Y638" s="203">
        <v>0</v>
      </c>
      <c r="Z638" s="204">
        <v>6.3</v>
      </c>
      <c r="AA638" s="203">
        <v>6.3</v>
      </c>
      <c r="AB638" s="203">
        <v>0</v>
      </c>
      <c r="AD638" s="198">
        <v>2147</v>
      </c>
      <c r="AE638" s="202">
        <v>-9.9999999999999645E-2</v>
      </c>
      <c r="AF638" s="203" t="s">
        <v>82</v>
      </c>
      <c r="AG638" s="203">
        <v>-0.1</v>
      </c>
      <c r="AH638" s="204" t="s">
        <v>82</v>
      </c>
      <c r="AI638" s="203" t="s">
        <v>82</v>
      </c>
      <c r="AJ638" s="203" t="s">
        <v>82</v>
      </c>
    </row>
    <row customFormat="1" r="639" s="205" spans="1:36" x14ac:dyDescent="0.2">
      <c r="A639" s="193">
        <v>635</v>
      </c>
      <c r="B639" s="215">
        <v>18</v>
      </c>
      <c r="C639" s="195" t="s">
        <v>405</v>
      </c>
      <c r="D639" s="195">
        <v>2</v>
      </c>
      <c r="E639" s="195" t="s">
        <v>415</v>
      </c>
      <c r="F639" s="196">
        <v>44528</v>
      </c>
      <c r="G639" s="197" t="s">
        <v>10</v>
      </c>
      <c r="H639" s="198">
        <v>2148</v>
      </c>
      <c r="I639" s="196" t="s">
        <v>417</v>
      </c>
      <c r="J639" s="199">
        <v>1235</v>
      </c>
      <c r="K639" s="198">
        <v>1329</v>
      </c>
      <c r="L639" s="216">
        <v>0</v>
      </c>
      <c r="M639" s="201"/>
      <c r="N639" s="199">
        <v>2148</v>
      </c>
      <c r="O639" s="202">
        <v>5.7</v>
      </c>
      <c r="P639" s="203">
        <v>5.6</v>
      </c>
      <c r="Q639" s="203">
        <v>0.1</v>
      </c>
      <c r="R639" s="204">
        <v>5.3</v>
      </c>
      <c r="S639" s="203">
        <v>5.3</v>
      </c>
      <c r="T639" s="203">
        <v>0</v>
      </c>
      <c r="V639" s="198">
        <v>2148</v>
      </c>
      <c r="W639" s="202">
        <v>5.6</v>
      </c>
      <c r="X639" s="203">
        <v>5.6</v>
      </c>
      <c r="Y639" s="203">
        <v>0</v>
      </c>
      <c r="Z639" s="204">
        <v>5.3</v>
      </c>
      <c r="AA639" s="203">
        <v>5.3</v>
      </c>
      <c r="AB639" s="203">
        <v>0</v>
      </c>
      <c r="AD639" s="198">
        <v>2148</v>
      </c>
      <c r="AE639" s="202">
        <v>-0.10000000000000053</v>
      </c>
      <c r="AF639" s="203" t="s">
        <v>82</v>
      </c>
      <c r="AG639" s="203">
        <v>-0.1</v>
      </c>
      <c r="AH639" s="204" t="s">
        <v>82</v>
      </c>
      <c r="AI639" s="203" t="s">
        <v>82</v>
      </c>
      <c r="AJ639" s="203" t="s">
        <v>82</v>
      </c>
    </row>
    <row customFormat="1" r="640" s="205" spans="1:36" x14ac:dyDescent="0.2">
      <c r="A640" s="193">
        <v>636</v>
      </c>
      <c r="B640" s="215">
        <v>18</v>
      </c>
      <c r="C640" s="195" t="s">
        <v>405</v>
      </c>
      <c r="D640" s="195">
        <v>2</v>
      </c>
      <c r="E640" s="195" t="s">
        <v>415</v>
      </c>
      <c r="F640" s="196">
        <v>44535</v>
      </c>
      <c r="G640" s="197" t="s">
        <v>10</v>
      </c>
      <c r="H640" s="198">
        <v>2149</v>
      </c>
      <c r="I640" s="196" t="s">
        <v>417</v>
      </c>
      <c r="J640" s="199">
        <v>1235</v>
      </c>
      <c r="K640" s="198">
        <v>1329</v>
      </c>
      <c r="L640" s="216">
        <v>0</v>
      </c>
      <c r="M640" s="201"/>
      <c r="N640" s="199">
        <v>2149</v>
      </c>
      <c r="O640" s="202">
        <v>6.8</v>
      </c>
      <c r="P640" s="203">
        <v>6.7</v>
      </c>
      <c r="Q640" s="203">
        <v>0.1</v>
      </c>
      <c r="R640" s="204">
        <v>6.1</v>
      </c>
      <c r="S640" s="203">
        <v>6.1</v>
      </c>
      <c r="T640" s="203">
        <v>0</v>
      </c>
      <c r="V640" s="198">
        <v>2149</v>
      </c>
      <c r="W640" s="202">
        <v>6.7</v>
      </c>
      <c r="X640" s="203">
        <v>6.7</v>
      </c>
      <c r="Y640" s="203">
        <v>0</v>
      </c>
      <c r="Z640" s="204">
        <v>6.1</v>
      </c>
      <c r="AA640" s="203">
        <v>6.1</v>
      </c>
      <c r="AB640" s="203">
        <v>0</v>
      </c>
      <c r="AD640" s="198">
        <v>2149</v>
      </c>
      <c r="AE640" s="202">
        <v>-9.9999999999999645E-2</v>
      </c>
      <c r="AF640" s="203" t="s">
        <v>82</v>
      </c>
      <c r="AG640" s="203">
        <v>-0.1</v>
      </c>
      <c r="AH640" s="204" t="s">
        <v>82</v>
      </c>
      <c r="AI640" s="203" t="s">
        <v>82</v>
      </c>
      <c r="AJ640" s="203" t="s">
        <v>82</v>
      </c>
    </row>
    <row customFormat="1" r="641" s="205" spans="1:36" x14ac:dyDescent="0.2">
      <c r="A641" s="193">
        <v>637</v>
      </c>
      <c r="B641" s="215">
        <v>18</v>
      </c>
      <c r="C641" s="195" t="s">
        <v>405</v>
      </c>
      <c r="D641" s="195">
        <v>3</v>
      </c>
      <c r="E641" s="195" t="s">
        <v>418</v>
      </c>
      <c r="F641" s="196">
        <v>44576</v>
      </c>
      <c r="G641" s="197" t="s">
        <v>9</v>
      </c>
      <c r="H641" s="198">
        <v>2203</v>
      </c>
      <c r="I641" s="196" t="s">
        <v>279</v>
      </c>
      <c r="J641" s="199">
        <v>1900</v>
      </c>
      <c r="K641" s="198">
        <v>2059</v>
      </c>
      <c r="L641" s="216">
        <v>0</v>
      </c>
      <c r="M641" s="201"/>
      <c r="N641" s="199">
        <v>2203</v>
      </c>
      <c r="O641" s="202">
        <v>5.8</v>
      </c>
      <c r="P641" s="203">
        <v>5.0999999999999996</v>
      </c>
      <c r="Q641" s="203">
        <v>0.7</v>
      </c>
      <c r="R641" s="204">
        <v>6.3</v>
      </c>
      <c r="S641" s="203">
        <v>5.8</v>
      </c>
      <c r="T641" s="203">
        <v>0.5</v>
      </c>
      <c r="V641" s="198">
        <v>2203</v>
      </c>
      <c r="W641" s="202">
        <v>5.5</v>
      </c>
      <c r="X641" s="203">
        <v>5.0999999999999996</v>
      </c>
      <c r="Y641" s="203">
        <v>0.4</v>
      </c>
      <c r="Z641" s="204">
        <v>6.3</v>
      </c>
      <c r="AA641" s="203">
        <v>5.8</v>
      </c>
      <c r="AB641" s="203">
        <v>0.5</v>
      </c>
      <c r="AD641" s="198">
        <v>2203</v>
      </c>
      <c r="AE641" s="202">
        <v>-0.29999999999999982</v>
      </c>
      <c r="AF641" s="203" t="s">
        <v>82</v>
      </c>
      <c r="AG641" s="203">
        <v>-0.29999999999999993</v>
      </c>
      <c r="AH641" s="204" t="s">
        <v>82</v>
      </c>
      <c r="AI641" s="203" t="s">
        <v>82</v>
      </c>
      <c r="AJ641" s="203" t="s">
        <v>82</v>
      </c>
    </row>
    <row customFormat="1" r="642" s="205" spans="1:36" x14ac:dyDescent="0.2">
      <c r="A642" s="193">
        <v>638</v>
      </c>
      <c r="B642" s="215">
        <v>18</v>
      </c>
      <c r="C642" s="195" t="s">
        <v>405</v>
      </c>
      <c r="D642" s="195">
        <v>3</v>
      </c>
      <c r="E642" s="195" t="s">
        <v>418</v>
      </c>
      <c r="F642" s="196">
        <v>44583</v>
      </c>
      <c r="G642" s="197" t="s">
        <v>9</v>
      </c>
      <c r="H642" s="198">
        <v>2204</v>
      </c>
      <c r="I642" s="196" t="s">
        <v>280</v>
      </c>
      <c r="J642" s="199">
        <v>1900</v>
      </c>
      <c r="K642" s="198">
        <v>2059</v>
      </c>
      <c r="L642" s="216">
        <v>0</v>
      </c>
      <c r="M642" s="201"/>
      <c r="N642" s="199">
        <v>2204</v>
      </c>
      <c r="O642" s="202">
        <v>5.4</v>
      </c>
      <c r="P642" s="203">
        <v>4.8</v>
      </c>
      <c r="Q642" s="203">
        <v>0.6</v>
      </c>
      <c r="R642" s="204">
        <v>5.2</v>
      </c>
      <c r="S642" s="203">
        <v>5.2</v>
      </c>
      <c r="T642" s="203">
        <v>0</v>
      </c>
      <c r="V642" s="198">
        <v>2204</v>
      </c>
      <c r="W642" s="202">
        <v>5.0999999999999996</v>
      </c>
      <c r="X642" s="203">
        <v>4.8</v>
      </c>
      <c r="Y642" s="203">
        <v>0.3</v>
      </c>
      <c r="Z642" s="204">
        <v>5.2</v>
      </c>
      <c r="AA642" s="203">
        <v>5.2</v>
      </c>
      <c r="AB642" s="203">
        <v>0</v>
      </c>
      <c r="AD642" s="198">
        <v>2204</v>
      </c>
      <c r="AE642" s="202">
        <v>-0.30000000000000071</v>
      </c>
      <c r="AF642" s="203" t="s">
        <v>82</v>
      </c>
      <c r="AG642" s="203">
        <v>-0.3</v>
      </c>
      <c r="AH642" s="204" t="s">
        <v>82</v>
      </c>
      <c r="AI642" s="203" t="s">
        <v>82</v>
      </c>
      <c r="AJ642" s="203" t="s">
        <v>82</v>
      </c>
    </row>
    <row customFormat="1" r="643" s="205" spans="1:36" x14ac:dyDescent="0.2">
      <c r="A643" s="193">
        <v>639</v>
      </c>
      <c r="B643" s="215">
        <v>18</v>
      </c>
      <c r="C643" s="195" t="s">
        <v>405</v>
      </c>
      <c r="D643" s="195">
        <v>3</v>
      </c>
      <c r="E643" s="195" t="s">
        <v>418</v>
      </c>
      <c r="F643" s="196">
        <v>44590</v>
      </c>
      <c r="G643" s="197" t="s">
        <v>9</v>
      </c>
      <c r="H643" s="198">
        <v>2205</v>
      </c>
      <c r="I643" s="196" t="s">
        <v>281</v>
      </c>
      <c r="J643" s="199">
        <v>1900</v>
      </c>
      <c r="K643" s="198">
        <v>1959</v>
      </c>
      <c r="L643" s="216">
        <v>0</v>
      </c>
      <c r="M643" s="201"/>
      <c r="N643" s="199">
        <v>2205</v>
      </c>
      <c r="O643" s="202">
        <v>6.4</v>
      </c>
      <c r="P643" s="203">
        <v>5.3</v>
      </c>
      <c r="Q643" s="203">
        <v>1.1000000000000001</v>
      </c>
      <c r="R643" s="204">
        <v>6</v>
      </c>
      <c r="S643" s="203">
        <v>6</v>
      </c>
      <c r="T643" s="203" t="s">
        <v>84</v>
      </c>
      <c r="V643" s="198">
        <v>2205</v>
      </c>
      <c r="W643" s="202">
        <v>5.7</v>
      </c>
      <c r="X643" s="203">
        <v>5.3</v>
      </c>
      <c r="Y643" s="203">
        <v>0.4</v>
      </c>
      <c r="Z643" s="204">
        <v>6</v>
      </c>
      <c r="AA643" s="203">
        <v>6</v>
      </c>
      <c r="AB643" s="203" t="s">
        <v>84</v>
      </c>
      <c r="AD643" s="198">
        <v>2205</v>
      </c>
      <c r="AE643" s="202">
        <v>-0.70000000000000018</v>
      </c>
      <c r="AF643" s="203" t="s">
        <v>82</v>
      </c>
      <c r="AG643" s="203">
        <v>-0.70000000000000007</v>
      </c>
      <c r="AH643" s="204" t="s">
        <v>82</v>
      </c>
      <c r="AI643" s="203" t="s">
        <v>82</v>
      </c>
      <c r="AJ643" s="203" t="s">
        <v>82</v>
      </c>
    </row>
    <row customFormat="1" r="644" s="205" spans="1:36" x14ac:dyDescent="0.2">
      <c r="A644" s="193">
        <v>640</v>
      </c>
      <c r="B644" s="215">
        <v>18</v>
      </c>
      <c r="C644" s="195" t="s">
        <v>405</v>
      </c>
      <c r="D644" s="195">
        <v>3</v>
      </c>
      <c r="E644" s="195" t="s">
        <v>418</v>
      </c>
      <c r="F644" s="196">
        <v>44597</v>
      </c>
      <c r="G644" s="197" t="s">
        <v>9</v>
      </c>
      <c r="H644" s="198">
        <v>2206</v>
      </c>
      <c r="I644" s="196" t="s">
        <v>281</v>
      </c>
      <c r="J644" s="199">
        <v>1900</v>
      </c>
      <c r="K644" s="198">
        <v>1959</v>
      </c>
      <c r="L644" s="216">
        <v>0</v>
      </c>
      <c r="M644" s="201"/>
      <c r="N644" s="199">
        <v>2206</v>
      </c>
      <c r="O644" s="202">
        <v>7.2</v>
      </c>
      <c r="P644" s="203">
        <v>6.3</v>
      </c>
      <c r="Q644" s="203">
        <v>0.9</v>
      </c>
      <c r="R644" s="204">
        <v>7.1</v>
      </c>
      <c r="S644" s="203">
        <v>7.1</v>
      </c>
      <c r="T644" s="203" t="s">
        <v>84</v>
      </c>
      <c r="V644" s="198">
        <v>2206</v>
      </c>
      <c r="W644" s="202">
        <v>6.5</v>
      </c>
      <c r="X644" s="203">
        <v>6.3</v>
      </c>
      <c r="Y644" s="203">
        <v>0.2</v>
      </c>
      <c r="Z644" s="204">
        <v>7.1</v>
      </c>
      <c r="AA644" s="203">
        <v>7.1</v>
      </c>
      <c r="AB644" s="203" t="s">
        <v>84</v>
      </c>
      <c r="AD644" s="198">
        <v>2206</v>
      </c>
      <c r="AE644" s="202">
        <v>-0.70000000000000018</v>
      </c>
      <c r="AF644" s="203" t="s">
        <v>82</v>
      </c>
      <c r="AG644" s="203">
        <v>-0.7</v>
      </c>
      <c r="AH644" s="204" t="s">
        <v>82</v>
      </c>
      <c r="AI644" s="203" t="s">
        <v>82</v>
      </c>
      <c r="AJ644" s="203" t="s">
        <v>82</v>
      </c>
    </row>
    <row customFormat="1" r="645" s="205" spans="1:36" x14ac:dyDescent="0.2">
      <c r="A645" s="193">
        <v>641</v>
      </c>
      <c r="B645" s="215">
        <v>19</v>
      </c>
      <c r="C645" s="195" t="s">
        <v>419</v>
      </c>
      <c r="D645" s="195">
        <v>1</v>
      </c>
      <c r="E645" s="195" t="s">
        <v>420</v>
      </c>
      <c r="F645" s="196">
        <v>44446</v>
      </c>
      <c r="G645" s="197" t="s">
        <v>5</v>
      </c>
      <c r="H645" s="198">
        <v>2137</v>
      </c>
      <c r="I645" s="196" t="s">
        <v>205</v>
      </c>
      <c r="J645" s="199">
        <v>1355</v>
      </c>
      <c r="K645" s="198">
        <v>1549</v>
      </c>
      <c r="L645" s="216">
        <v>0</v>
      </c>
      <c r="M645" s="201"/>
      <c r="N645" s="199">
        <v>2137</v>
      </c>
      <c r="O645" s="202">
        <v>3</v>
      </c>
      <c r="P645" s="203">
        <v>3</v>
      </c>
      <c r="Q645" s="203">
        <v>0</v>
      </c>
      <c r="R645" s="204">
        <v>2.7</v>
      </c>
      <c r="S645" s="203">
        <v>2.7</v>
      </c>
      <c r="T645" s="203">
        <v>0</v>
      </c>
      <c r="V645" s="198">
        <v>2137</v>
      </c>
      <c r="W645" s="202">
        <v>3</v>
      </c>
      <c r="X645" s="203">
        <v>3</v>
      </c>
      <c r="Y645" s="203">
        <v>0</v>
      </c>
      <c r="Z645" s="204">
        <v>2.7</v>
      </c>
      <c r="AA645" s="203">
        <v>2.7</v>
      </c>
      <c r="AB645" s="203">
        <v>0</v>
      </c>
      <c r="AD645" s="198">
        <v>2137</v>
      </c>
      <c r="AE645" s="202" t="s">
        <v>82</v>
      </c>
      <c r="AF645" s="203" t="s">
        <v>82</v>
      </c>
      <c r="AG645" s="203" t="s">
        <v>82</v>
      </c>
      <c r="AH645" s="204" t="s">
        <v>82</v>
      </c>
      <c r="AI645" s="203" t="s">
        <v>82</v>
      </c>
      <c r="AJ645" s="203" t="s">
        <v>82</v>
      </c>
    </row>
    <row customFormat="1" r="646" s="205" spans="1:36" x14ac:dyDescent="0.2">
      <c r="A646" s="193">
        <v>642</v>
      </c>
      <c r="B646" s="215">
        <v>19</v>
      </c>
      <c r="C646" s="195" t="s">
        <v>419</v>
      </c>
      <c r="D646" s="195">
        <v>1</v>
      </c>
      <c r="E646" s="195" t="s">
        <v>420</v>
      </c>
      <c r="F646" s="196">
        <v>44453</v>
      </c>
      <c r="G646" s="197" t="s">
        <v>5</v>
      </c>
      <c r="H646" s="198">
        <v>2138</v>
      </c>
      <c r="I646" s="196" t="s">
        <v>205</v>
      </c>
      <c r="J646" s="199">
        <v>1355</v>
      </c>
      <c r="K646" s="198">
        <v>1549</v>
      </c>
      <c r="L646" s="216">
        <v>0</v>
      </c>
      <c r="M646" s="201"/>
      <c r="N646" s="199">
        <v>2138</v>
      </c>
      <c r="O646" s="202">
        <v>2.8</v>
      </c>
      <c r="P646" s="203">
        <v>2.8</v>
      </c>
      <c r="Q646" s="203">
        <v>0</v>
      </c>
      <c r="R646" s="204">
        <v>2.2000000000000002</v>
      </c>
      <c r="S646" s="203">
        <v>2.2000000000000002</v>
      </c>
      <c r="T646" s="203">
        <v>0</v>
      </c>
      <c r="V646" s="198">
        <v>2138</v>
      </c>
      <c r="W646" s="202">
        <v>2.8</v>
      </c>
      <c r="X646" s="203">
        <v>2.8</v>
      </c>
      <c r="Y646" s="203">
        <v>0</v>
      </c>
      <c r="Z646" s="204">
        <v>2.2000000000000002</v>
      </c>
      <c r="AA646" s="203">
        <v>2.2000000000000002</v>
      </c>
      <c r="AB646" s="203">
        <v>0</v>
      </c>
      <c r="AD646" s="198">
        <v>2138</v>
      </c>
      <c r="AE646" s="202" t="s">
        <v>82</v>
      </c>
      <c r="AF646" s="203" t="s">
        <v>82</v>
      </c>
      <c r="AG646" s="203" t="s">
        <v>82</v>
      </c>
      <c r="AH646" s="204" t="s">
        <v>82</v>
      </c>
      <c r="AI646" s="203" t="s">
        <v>82</v>
      </c>
      <c r="AJ646" s="203" t="s">
        <v>82</v>
      </c>
    </row>
    <row customFormat="1" r="647" s="205" spans="1:36" x14ac:dyDescent="0.2">
      <c r="A647" s="193">
        <v>643</v>
      </c>
      <c r="B647" s="215">
        <v>19</v>
      </c>
      <c r="C647" s="195" t="s">
        <v>419</v>
      </c>
      <c r="D647" s="195">
        <v>1</v>
      </c>
      <c r="E647" s="195" t="s">
        <v>420</v>
      </c>
      <c r="F647" s="196">
        <v>44460</v>
      </c>
      <c r="G647" s="197" t="s">
        <v>5</v>
      </c>
      <c r="H647" s="198">
        <v>2139</v>
      </c>
      <c r="I647" s="196" t="s">
        <v>205</v>
      </c>
      <c r="J647" s="199">
        <v>1355</v>
      </c>
      <c r="K647" s="198">
        <v>1549</v>
      </c>
      <c r="L647" s="216">
        <v>0</v>
      </c>
      <c r="M647" s="201"/>
      <c r="N647" s="199">
        <v>2139</v>
      </c>
      <c r="O647" s="202">
        <v>2.4</v>
      </c>
      <c r="P647" s="203">
        <v>2.4</v>
      </c>
      <c r="Q647" s="203">
        <v>0</v>
      </c>
      <c r="R647" s="204">
        <v>1.7</v>
      </c>
      <c r="S647" s="203">
        <v>1.7</v>
      </c>
      <c r="T647" s="203">
        <v>0</v>
      </c>
      <c r="V647" s="198">
        <v>2139</v>
      </c>
      <c r="W647" s="202">
        <v>2.4</v>
      </c>
      <c r="X647" s="203">
        <v>2.4</v>
      </c>
      <c r="Y647" s="203">
        <v>0</v>
      </c>
      <c r="Z647" s="204">
        <v>1.7</v>
      </c>
      <c r="AA647" s="203">
        <v>1.7</v>
      </c>
      <c r="AB647" s="203">
        <v>0</v>
      </c>
      <c r="AD647" s="198">
        <v>2139</v>
      </c>
      <c r="AE647" s="202" t="s">
        <v>82</v>
      </c>
      <c r="AF647" s="203" t="s">
        <v>82</v>
      </c>
      <c r="AG647" s="203" t="s">
        <v>82</v>
      </c>
      <c r="AH647" s="204" t="s">
        <v>82</v>
      </c>
      <c r="AI647" s="203" t="s">
        <v>82</v>
      </c>
      <c r="AJ647" s="203" t="s">
        <v>82</v>
      </c>
    </row>
    <row customFormat="1" r="648" s="205" spans="1:36" x14ac:dyDescent="0.2">
      <c r="A648" s="193">
        <v>644</v>
      </c>
      <c r="B648" s="215">
        <v>19</v>
      </c>
      <c r="C648" s="195" t="s">
        <v>419</v>
      </c>
      <c r="D648" s="195">
        <v>1</v>
      </c>
      <c r="E648" s="195" t="s">
        <v>420</v>
      </c>
      <c r="F648" s="196">
        <v>44467</v>
      </c>
      <c r="G648" s="197" t="s">
        <v>5</v>
      </c>
      <c r="H648" s="198">
        <v>2140</v>
      </c>
      <c r="I648" s="196" t="s">
        <v>205</v>
      </c>
      <c r="J648" s="199">
        <v>1355</v>
      </c>
      <c r="K648" s="198">
        <v>1549</v>
      </c>
      <c r="L648" s="216">
        <v>0</v>
      </c>
      <c r="M648" s="201"/>
      <c r="N648" s="199">
        <v>2140</v>
      </c>
      <c r="O648" s="202">
        <v>2.5</v>
      </c>
      <c r="P648" s="203">
        <v>2.5</v>
      </c>
      <c r="Q648" s="203">
        <v>0</v>
      </c>
      <c r="R648" s="204">
        <v>1.8</v>
      </c>
      <c r="S648" s="203">
        <v>1.8</v>
      </c>
      <c r="T648" s="203">
        <v>0</v>
      </c>
      <c r="V648" s="198">
        <v>2140</v>
      </c>
      <c r="W648" s="202">
        <v>2.5</v>
      </c>
      <c r="X648" s="203">
        <v>2.5</v>
      </c>
      <c r="Y648" s="203">
        <v>0</v>
      </c>
      <c r="Z648" s="204">
        <v>1.8</v>
      </c>
      <c r="AA648" s="203">
        <v>1.8</v>
      </c>
      <c r="AB648" s="203">
        <v>0</v>
      </c>
      <c r="AD648" s="198">
        <v>2140</v>
      </c>
      <c r="AE648" s="202" t="s">
        <v>82</v>
      </c>
      <c r="AF648" s="203" t="s">
        <v>82</v>
      </c>
      <c r="AG648" s="203" t="s">
        <v>82</v>
      </c>
      <c r="AH648" s="204" t="s">
        <v>82</v>
      </c>
      <c r="AI648" s="203" t="s">
        <v>82</v>
      </c>
      <c r="AJ648" s="203" t="s">
        <v>82</v>
      </c>
    </row>
    <row customFormat="1" r="649" s="205" spans="1:36" x14ac:dyDescent="0.2">
      <c r="A649" s="193">
        <v>645</v>
      </c>
      <c r="B649" s="215">
        <v>19</v>
      </c>
      <c r="C649" s="195" t="s">
        <v>419</v>
      </c>
      <c r="D649" s="195">
        <v>1</v>
      </c>
      <c r="E649" s="195" t="s">
        <v>420</v>
      </c>
      <c r="F649" s="196">
        <v>44544</v>
      </c>
      <c r="G649" s="197" t="s">
        <v>5</v>
      </c>
      <c r="H649" s="198">
        <v>2151</v>
      </c>
      <c r="I649" s="196" t="s">
        <v>99</v>
      </c>
      <c r="J649" s="199">
        <v>550</v>
      </c>
      <c r="K649" s="198">
        <v>759</v>
      </c>
      <c r="L649" s="216">
        <v>0</v>
      </c>
      <c r="M649" s="201"/>
      <c r="N649" s="199">
        <v>2151</v>
      </c>
      <c r="O649" s="202">
        <v>4.8</v>
      </c>
      <c r="P649" s="203">
        <v>4.7</v>
      </c>
      <c r="Q649" s="203">
        <v>0.1</v>
      </c>
      <c r="R649" s="204">
        <v>4.8</v>
      </c>
      <c r="S649" s="203">
        <v>4.8</v>
      </c>
      <c r="T649" s="203" t="s">
        <v>84</v>
      </c>
      <c r="V649" s="198">
        <v>2151</v>
      </c>
      <c r="W649" s="202">
        <v>4.7</v>
      </c>
      <c r="X649" s="203">
        <v>4.7</v>
      </c>
      <c r="Y649" s="203">
        <v>0</v>
      </c>
      <c r="Z649" s="204">
        <v>4.8</v>
      </c>
      <c r="AA649" s="203">
        <v>4.8</v>
      </c>
      <c r="AB649" s="203" t="s">
        <v>84</v>
      </c>
      <c r="AD649" s="198">
        <v>2151</v>
      </c>
      <c r="AE649" s="202">
        <v>-9.9999999999999645E-2</v>
      </c>
      <c r="AF649" s="203" t="s">
        <v>82</v>
      </c>
      <c r="AG649" s="203">
        <v>-0.1</v>
      </c>
      <c r="AH649" s="204" t="s">
        <v>82</v>
      </c>
      <c r="AI649" s="203" t="s">
        <v>82</v>
      </c>
      <c r="AJ649" s="203" t="s">
        <v>82</v>
      </c>
    </row>
    <row customFormat="1" r="650" s="205" spans="1:36" x14ac:dyDescent="0.2">
      <c r="A650" s="193">
        <v>646</v>
      </c>
      <c r="B650" s="215">
        <v>19</v>
      </c>
      <c r="C650" s="195" t="s">
        <v>419</v>
      </c>
      <c r="D650" s="195">
        <v>1</v>
      </c>
      <c r="E650" s="195" t="s">
        <v>420</v>
      </c>
      <c r="F650" s="196">
        <v>44551</v>
      </c>
      <c r="G650" s="197" t="s">
        <v>5</v>
      </c>
      <c r="H650" s="198">
        <v>2152</v>
      </c>
      <c r="I650" s="196" t="s">
        <v>99</v>
      </c>
      <c r="J650" s="199">
        <v>550</v>
      </c>
      <c r="K650" s="198">
        <v>759</v>
      </c>
      <c r="L650" s="216">
        <v>0</v>
      </c>
      <c r="M650" s="201"/>
      <c r="N650" s="199">
        <v>2152</v>
      </c>
      <c r="O650" s="202">
        <v>4.5</v>
      </c>
      <c r="P650" s="203">
        <v>4.4000000000000004</v>
      </c>
      <c r="Q650" s="203">
        <v>0.1</v>
      </c>
      <c r="R650" s="204">
        <v>4.3</v>
      </c>
      <c r="S650" s="203">
        <v>4.3</v>
      </c>
      <c r="T650" s="203" t="s">
        <v>84</v>
      </c>
      <c r="V650" s="198">
        <v>2152</v>
      </c>
      <c r="W650" s="202">
        <v>4.4000000000000004</v>
      </c>
      <c r="X650" s="203">
        <v>4.4000000000000004</v>
      </c>
      <c r="Y650" s="203">
        <v>0</v>
      </c>
      <c r="Z650" s="204">
        <v>4.3</v>
      </c>
      <c r="AA650" s="203">
        <v>4.3</v>
      </c>
      <c r="AB650" s="203" t="s">
        <v>84</v>
      </c>
      <c r="AD650" s="198">
        <v>2152</v>
      </c>
      <c r="AE650" s="202">
        <v>-9.9999999999999645E-2</v>
      </c>
      <c r="AF650" s="203" t="s">
        <v>82</v>
      </c>
      <c r="AG650" s="203">
        <v>-0.1</v>
      </c>
      <c r="AH650" s="204" t="s">
        <v>82</v>
      </c>
      <c r="AI650" s="203" t="s">
        <v>82</v>
      </c>
      <c r="AJ650" s="203" t="s">
        <v>82</v>
      </c>
    </row>
    <row customFormat="1" r="651" s="205" spans="1:36" x14ac:dyDescent="0.2">
      <c r="A651" s="193">
        <v>647</v>
      </c>
      <c r="B651" s="215">
        <v>19</v>
      </c>
      <c r="C651" s="195" t="s">
        <v>419</v>
      </c>
      <c r="D651" s="195">
        <v>1</v>
      </c>
      <c r="E651" s="195" t="s">
        <v>420</v>
      </c>
      <c r="F651" s="196">
        <v>44558</v>
      </c>
      <c r="G651" s="197" t="s">
        <v>5</v>
      </c>
      <c r="H651" s="198">
        <v>2201</v>
      </c>
      <c r="I651" s="196" t="s">
        <v>421</v>
      </c>
      <c r="J651" s="199">
        <v>600</v>
      </c>
      <c r="K651" s="198">
        <v>659</v>
      </c>
      <c r="L651" s="216">
        <v>0</v>
      </c>
      <c r="M651" s="201"/>
      <c r="N651" s="199">
        <v>2201</v>
      </c>
      <c r="O651" s="202">
        <v>4.5999999999999996</v>
      </c>
      <c r="P651" s="203">
        <v>4.5</v>
      </c>
      <c r="Q651" s="203">
        <v>0.1</v>
      </c>
      <c r="R651" s="204">
        <v>6.9</v>
      </c>
      <c r="S651" s="203">
        <v>6.9</v>
      </c>
      <c r="T651" s="203" t="s">
        <v>84</v>
      </c>
      <c r="V651" s="198">
        <v>2201</v>
      </c>
      <c r="W651" s="202">
        <v>4.5</v>
      </c>
      <c r="X651" s="203">
        <v>4.5</v>
      </c>
      <c r="Y651" s="203">
        <v>0</v>
      </c>
      <c r="Z651" s="204">
        <v>6.9</v>
      </c>
      <c r="AA651" s="203">
        <v>6.9</v>
      </c>
      <c r="AB651" s="203" t="s">
        <v>84</v>
      </c>
      <c r="AD651" s="198">
        <v>2201</v>
      </c>
      <c r="AE651" s="202">
        <v>-9.9999999999999645E-2</v>
      </c>
      <c r="AF651" s="203" t="s">
        <v>82</v>
      </c>
      <c r="AG651" s="203">
        <v>-0.1</v>
      </c>
      <c r="AH651" s="204" t="s">
        <v>82</v>
      </c>
      <c r="AI651" s="203" t="s">
        <v>82</v>
      </c>
      <c r="AJ651" s="203" t="s">
        <v>82</v>
      </c>
    </row>
    <row customFormat="1" r="652" s="205" spans="1:36" x14ac:dyDescent="0.2">
      <c r="A652" s="193">
        <v>648</v>
      </c>
      <c r="B652" s="215">
        <v>19</v>
      </c>
      <c r="C652" s="195" t="s">
        <v>419</v>
      </c>
      <c r="D652" s="195">
        <v>1</v>
      </c>
      <c r="E652" s="195" t="s">
        <v>420</v>
      </c>
      <c r="F652" s="196">
        <v>44565</v>
      </c>
      <c r="G652" s="197" t="s">
        <v>5</v>
      </c>
      <c r="H652" s="198">
        <v>2202</v>
      </c>
      <c r="I652" s="196" t="s">
        <v>99</v>
      </c>
      <c r="J652" s="199">
        <v>550</v>
      </c>
      <c r="K652" s="198">
        <v>759</v>
      </c>
      <c r="L652" s="216">
        <v>0</v>
      </c>
      <c r="M652" s="201"/>
      <c r="N652" s="199">
        <v>2202</v>
      </c>
      <c r="O652" s="202">
        <v>4.2</v>
      </c>
      <c r="P652" s="203">
        <v>4.0999999999999996</v>
      </c>
      <c r="Q652" s="203">
        <v>0.1</v>
      </c>
      <c r="R652" s="204">
        <v>3.6</v>
      </c>
      <c r="S652" s="203">
        <v>3.6</v>
      </c>
      <c r="T652" s="203">
        <v>0</v>
      </c>
      <c r="V652" s="198">
        <v>2202</v>
      </c>
      <c r="W652" s="202">
        <v>4.0999999999999996</v>
      </c>
      <c r="X652" s="203">
        <v>4.0999999999999996</v>
      </c>
      <c r="Y652" s="203">
        <v>0</v>
      </c>
      <c r="Z652" s="204">
        <v>3.6</v>
      </c>
      <c r="AA652" s="203">
        <v>3.6</v>
      </c>
      <c r="AB652" s="203">
        <v>0</v>
      </c>
      <c r="AD652" s="198">
        <v>2202</v>
      </c>
      <c r="AE652" s="202">
        <v>-0.10000000000000053</v>
      </c>
      <c r="AF652" s="203" t="s">
        <v>82</v>
      </c>
      <c r="AG652" s="203">
        <v>-0.1</v>
      </c>
      <c r="AH652" s="204" t="s">
        <v>82</v>
      </c>
      <c r="AI652" s="203" t="s">
        <v>82</v>
      </c>
      <c r="AJ652" s="203" t="s">
        <v>82</v>
      </c>
    </row>
    <row customFormat="1" r="653" s="205" spans="1:36" x14ac:dyDescent="0.2">
      <c r="A653" s="193">
        <v>649</v>
      </c>
      <c r="B653" s="215">
        <v>19</v>
      </c>
      <c r="C653" s="195" t="s">
        <v>419</v>
      </c>
      <c r="D653" s="195">
        <v>2</v>
      </c>
      <c r="E653" s="195" t="s">
        <v>422</v>
      </c>
      <c r="F653" s="196">
        <v>44402</v>
      </c>
      <c r="G653" s="197" t="s">
        <v>10</v>
      </c>
      <c r="H653" s="198">
        <v>2130</v>
      </c>
      <c r="I653" s="196" t="s">
        <v>423</v>
      </c>
      <c r="J653" s="199">
        <v>615</v>
      </c>
      <c r="K653" s="198">
        <v>644</v>
      </c>
      <c r="L653" s="216">
        <v>0</v>
      </c>
      <c r="M653" s="201"/>
      <c r="N653" s="199">
        <v>2130</v>
      </c>
      <c r="O653" s="202">
        <v>1.5</v>
      </c>
      <c r="P653" s="203">
        <v>0.3</v>
      </c>
      <c r="Q653" s="203">
        <v>1.2</v>
      </c>
      <c r="R653" s="204">
        <v>0.9</v>
      </c>
      <c r="S653" s="203">
        <v>0.4</v>
      </c>
      <c r="T653" s="203">
        <v>0.5</v>
      </c>
      <c r="V653" s="198">
        <v>2130</v>
      </c>
      <c r="W653" s="202">
        <v>1.4</v>
      </c>
      <c r="X653" s="203">
        <v>0.3</v>
      </c>
      <c r="Y653" s="203">
        <v>1.1000000000000001</v>
      </c>
      <c r="Z653" s="204">
        <v>0.9</v>
      </c>
      <c r="AA653" s="203">
        <v>0.4</v>
      </c>
      <c r="AB653" s="203">
        <v>0.5</v>
      </c>
      <c r="AD653" s="198">
        <v>2130</v>
      </c>
      <c r="AE653" s="202">
        <v>-0.10000000000000009</v>
      </c>
      <c r="AF653" s="203" t="s">
        <v>82</v>
      </c>
      <c r="AG653" s="203">
        <v>-9.9999999999999867E-2</v>
      </c>
      <c r="AH653" s="204" t="s">
        <v>82</v>
      </c>
      <c r="AI653" s="203" t="s">
        <v>82</v>
      </c>
      <c r="AJ653" s="203" t="s">
        <v>82</v>
      </c>
    </row>
    <row customFormat="1" r="654" s="205" spans="1:36" x14ac:dyDescent="0.2">
      <c r="A654" s="193">
        <v>650</v>
      </c>
      <c r="B654" s="215">
        <v>19</v>
      </c>
      <c r="C654" s="195" t="s">
        <v>419</v>
      </c>
      <c r="D654" s="195">
        <v>2</v>
      </c>
      <c r="E654" s="195" t="s">
        <v>422</v>
      </c>
      <c r="F654" s="196">
        <v>44409</v>
      </c>
      <c r="G654" s="197" t="s">
        <v>10</v>
      </c>
      <c r="H654" s="198">
        <v>2131</v>
      </c>
      <c r="I654" s="196" t="s">
        <v>256</v>
      </c>
      <c r="J654" s="199">
        <v>545</v>
      </c>
      <c r="K654" s="198">
        <v>644</v>
      </c>
      <c r="L654" s="216">
        <v>0</v>
      </c>
      <c r="M654" s="201"/>
      <c r="N654" s="199">
        <v>2131</v>
      </c>
      <c r="O654" s="202">
        <v>2.2999999999999998</v>
      </c>
      <c r="P654" s="203">
        <v>0.6</v>
      </c>
      <c r="Q654" s="203">
        <v>1.7</v>
      </c>
      <c r="R654" s="204">
        <v>1.2</v>
      </c>
      <c r="S654" s="203">
        <v>0.6</v>
      </c>
      <c r="T654" s="203">
        <v>0.6</v>
      </c>
      <c r="V654" s="198">
        <v>2131</v>
      </c>
      <c r="W654" s="202">
        <v>2.2999999999999998</v>
      </c>
      <c r="X654" s="203">
        <v>0.6</v>
      </c>
      <c r="Y654" s="203">
        <v>1.7</v>
      </c>
      <c r="Z654" s="204">
        <v>1.2</v>
      </c>
      <c r="AA654" s="203">
        <v>0.6</v>
      </c>
      <c r="AB654" s="203">
        <v>0.6</v>
      </c>
      <c r="AD654" s="198">
        <v>2131</v>
      </c>
      <c r="AE654" s="202" t="s">
        <v>82</v>
      </c>
      <c r="AF654" s="203" t="s">
        <v>82</v>
      </c>
      <c r="AG654" s="203" t="s">
        <v>82</v>
      </c>
      <c r="AH654" s="204" t="s">
        <v>82</v>
      </c>
      <c r="AI654" s="203" t="s">
        <v>82</v>
      </c>
      <c r="AJ654" s="203" t="s">
        <v>82</v>
      </c>
    </row>
    <row customFormat="1" r="655" s="205" spans="1:36" x14ac:dyDescent="0.2">
      <c r="A655" s="193">
        <v>651</v>
      </c>
      <c r="B655" s="215">
        <v>19</v>
      </c>
      <c r="C655" s="195" t="s">
        <v>419</v>
      </c>
      <c r="D655" s="195">
        <v>2</v>
      </c>
      <c r="E655" s="195" t="s">
        <v>422</v>
      </c>
      <c r="F655" s="196">
        <v>44416</v>
      </c>
      <c r="G655" s="197" t="s">
        <v>10</v>
      </c>
      <c r="H655" s="198">
        <v>2132</v>
      </c>
      <c r="I655" s="196" t="s">
        <v>423</v>
      </c>
      <c r="J655" s="199">
        <v>615</v>
      </c>
      <c r="K655" s="198">
        <v>644</v>
      </c>
      <c r="L655" s="216">
        <v>0</v>
      </c>
      <c r="M655" s="201"/>
      <c r="N655" s="199">
        <v>2132</v>
      </c>
      <c r="O655" s="202">
        <v>2</v>
      </c>
      <c r="P655" s="203">
        <v>0.8</v>
      </c>
      <c r="Q655" s="203">
        <v>1.2</v>
      </c>
      <c r="R655" s="204">
        <v>1.4</v>
      </c>
      <c r="S655" s="203">
        <v>0.8</v>
      </c>
      <c r="T655" s="203">
        <v>0.6</v>
      </c>
      <c r="V655" s="198">
        <v>2132</v>
      </c>
      <c r="W655" s="202">
        <v>2</v>
      </c>
      <c r="X655" s="203">
        <v>0.8</v>
      </c>
      <c r="Y655" s="203">
        <v>1.2</v>
      </c>
      <c r="Z655" s="204">
        <v>1.4</v>
      </c>
      <c r="AA655" s="203">
        <v>0.8</v>
      </c>
      <c r="AB655" s="203">
        <v>0.6</v>
      </c>
      <c r="AD655" s="198">
        <v>2132</v>
      </c>
      <c r="AE655" s="202" t="s">
        <v>82</v>
      </c>
      <c r="AF655" s="203" t="s">
        <v>82</v>
      </c>
      <c r="AG655" s="203" t="s">
        <v>82</v>
      </c>
      <c r="AH655" s="204" t="s">
        <v>82</v>
      </c>
      <c r="AI655" s="203" t="s">
        <v>82</v>
      </c>
      <c r="AJ655" s="203" t="s">
        <v>82</v>
      </c>
    </row>
    <row customFormat="1" r="656" s="205" spans="1:36" x14ac:dyDescent="0.2">
      <c r="A656" s="193">
        <v>652</v>
      </c>
      <c r="B656" s="215">
        <v>19</v>
      </c>
      <c r="C656" s="195" t="s">
        <v>419</v>
      </c>
      <c r="D656" s="195">
        <v>2</v>
      </c>
      <c r="E656" s="195" t="s">
        <v>422</v>
      </c>
      <c r="F656" s="196">
        <v>44423</v>
      </c>
      <c r="G656" s="197" t="s">
        <v>10</v>
      </c>
      <c r="H656" s="198">
        <v>2133</v>
      </c>
      <c r="I656" s="196" t="s">
        <v>423</v>
      </c>
      <c r="J656" s="199">
        <v>615</v>
      </c>
      <c r="K656" s="198">
        <v>644</v>
      </c>
      <c r="L656" s="216">
        <v>0</v>
      </c>
      <c r="M656" s="201"/>
      <c r="N656" s="199">
        <v>2133</v>
      </c>
      <c r="O656" s="202">
        <v>2.1</v>
      </c>
      <c r="P656" s="203">
        <v>0.9</v>
      </c>
      <c r="Q656" s="203">
        <v>1.2</v>
      </c>
      <c r="R656" s="204">
        <v>1.5</v>
      </c>
      <c r="S656" s="203">
        <v>0.9</v>
      </c>
      <c r="T656" s="203">
        <v>0.6</v>
      </c>
      <c r="V656" s="198">
        <v>2133</v>
      </c>
      <c r="W656" s="202">
        <v>2.1</v>
      </c>
      <c r="X656" s="203">
        <v>0.9</v>
      </c>
      <c r="Y656" s="203">
        <v>1.2</v>
      </c>
      <c r="Z656" s="204">
        <v>1.5</v>
      </c>
      <c r="AA656" s="203">
        <v>0.9</v>
      </c>
      <c r="AB656" s="203">
        <v>0.6</v>
      </c>
      <c r="AD656" s="198">
        <v>2133</v>
      </c>
      <c r="AE656" s="202" t="s">
        <v>82</v>
      </c>
      <c r="AF656" s="203" t="s">
        <v>82</v>
      </c>
      <c r="AG656" s="203" t="s">
        <v>82</v>
      </c>
      <c r="AH656" s="204" t="s">
        <v>82</v>
      </c>
      <c r="AI656" s="203" t="s">
        <v>82</v>
      </c>
      <c r="AJ656" s="203" t="s">
        <v>82</v>
      </c>
    </row>
    <row customFormat="1" r="657" s="205" spans="1:36" x14ac:dyDescent="0.2">
      <c r="A657" s="193">
        <v>653</v>
      </c>
      <c r="B657" s="215">
        <v>19</v>
      </c>
      <c r="C657" s="195" t="s">
        <v>419</v>
      </c>
      <c r="D657" s="195">
        <v>3</v>
      </c>
      <c r="E657" s="195" t="s">
        <v>424</v>
      </c>
      <c r="F657" s="196">
        <v>44372</v>
      </c>
      <c r="G657" s="197" t="s">
        <v>8</v>
      </c>
      <c r="H657" s="198">
        <v>2126</v>
      </c>
      <c r="I657" s="196" t="s">
        <v>217</v>
      </c>
      <c r="J657" s="199">
        <v>800</v>
      </c>
      <c r="K657" s="198">
        <v>949</v>
      </c>
      <c r="L657" s="216">
        <v>0</v>
      </c>
      <c r="M657" s="201"/>
      <c r="N657" s="199">
        <v>2126</v>
      </c>
      <c r="O657" s="202">
        <v>5.7</v>
      </c>
      <c r="P657" s="203">
        <v>5.7</v>
      </c>
      <c r="Q657" s="203">
        <v>0</v>
      </c>
      <c r="R657" s="204">
        <v>2.5</v>
      </c>
      <c r="S657" s="203">
        <v>2.5</v>
      </c>
      <c r="T657" s="203">
        <v>0</v>
      </c>
      <c r="V657" s="198">
        <v>2126</v>
      </c>
      <c r="W657" s="202">
        <v>5.7</v>
      </c>
      <c r="X657" s="203">
        <v>5.7</v>
      </c>
      <c r="Y657" s="203">
        <v>0</v>
      </c>
      <c r="Z657" s="204">
        <v>2.5</v>
      </c>
      <c r="AA657" s="203">
        <v>2.5</v>
      </c>
      <c r="AB657" s="203">
        <v>0</v>
      </c>
      <c r="AD657" s="198">
        <v>2126</v>
      </c>
      <c r="AE657" s="202" t="s">
        <v>82</v>
      </c>
      <c r="AF657" s="203" t="s">
        <v>82</v>
      </c>
      <c r="AG657" s="203" t="s">
        <v>82</v>
      </c>
      <c r="AH657" s="204" t="s">
        <v>82</v>
      </c>
      <c r="AI657" s="203" t="s">
        <v>82</v>
      </c>
      <c r="AJ657" s="203" t="s">
        <v>82</v>
      </c>
    </row>
    <row customFormat="1" r="658" s="205" spans="1:36" x14ac:dyDescent="0.2">
      <c r="A658" s="193">
        <v>654</v>
      </c>
      <c r="B658" s="215">
        <v>19</v>
      </c>
      <c r="C658" s="195" t="s">
        <v>419</v>
      </c>
      <c r="D658" s="195">
        <v>3</v>
      </c>
      <c r="E658" s="195" t="s">
        <v>424</v>
      </c>
      <c r="F658" s="196">
        <v>44372</v>
      </c>
      <c r="G658" s="197" t="s">
        <v>8</v>
      </c>
      <c r="H658" s="198">
        <v>2126</v>
      </c>
      <c r="I658" s="196" t="s">
        <v>425</v>
      </c>
      <c r="J658" s="199">
        <v>2000</v>
      </c>
      <c r="K658" s="198">
        <v>2157</v>
      </c>
      <c r="L658" s="216">
        <v>0</v>
      </c>
      <c r="M658" s="201"/>
      <c r="N658" s="199">
        <v>2126</v>
      </c>
      <c r="O658" s="202">
        <v>5.6</v>
      </c>
      <c r="P658" s="203">
        <v>5.2</v>
      </c>
      <c r="Q658" s="203">
        <v>0.4</v>
      </c>
      <c r="R658" s="204">
        <v>4</v>
      </c>
      <c r="S658" s="203">
        <v>3.9</v>
      </c>
      <c r="T658" s="203">
        <v>0.1</v>
      </c>
      <c r="V658" s="198">
        <v>2126</v>
      </c>
      <c r="W658" s="202">
        <v>5.5</v>
      </c>
      <c r="X658" s="203">
        <v>5.2</v>
      </c>
      <c r="Y658" s="203">
        <v>0.3</v>
      </c>
      <c r="Z658" s="204">
        <v>4</v>
      </c>
      <c r="AA658" s="203">
        <v>3.9</v>
      </c>
      <c r="AB658" s="203">
        <v>0.1</v>
      </c>
      <c r="AD658" s="198">
        <v>2126</v>
      </c>
      <c r="AE658" s="202">
        <v>-9.9999999999999645E-2</v>
      </c>
      <c r="AF658" s="203" t="s">
        <v>82</v>
      </c>
      <c r="AG658" s="203">
        <v>-0.10000000000000003</v>
      </c>
      <c r="AH658" s="204" t="s">
        <v>82</v>
      </c>
      <c r="AI658" s="203" t="s">
        <v>82</v>
      </c>
      <c r="AJ658" s="203" t="s">
        <v>82</v>
      </c>
    </row>
    <row customFormat="1" r="659" s="205" spans="1:36" x14ac:dyDescent="0.2">
      <c r="A659" s="193">
        <v>655</v>
      </c>
      <c r="B659" s="215">
        <v>19</v>
      </c>
      <c r="C659" s="195" t="s">
        <v>419</v>
      </c>
      <c r="D659" s="195">
        <v>3</v>
      </c>
      <c r="E659" s="195" t="s">
        <v>424</v>
      </c>
      <c r="F659" s="196">
        <v>44379</v>
      </c>
      <c r="G659" s="197" t="s">
        <v>8</v>
      </c>
      <c r="H659" s="198">
        <v>2127</v>
      </c>
      <c r="I659" s="196" t="s">
        <v>217</v>
      </c>
      <c r="J659" s="199">
        <v>800</v>
      </c>
      <c r="K659" s="198">
        <v>949</v>
      </c>
      <c r="L659" s="216">
        <v>0</v>
      </c>
      <c r="M659" s="201"/>
      <c r="N659" s="199">
        <v>2127</v>
      </c>
      <c r="O659" s="202">
        <v>5.7</v>
      </c>
      <c r="P659" s="203">
        <v>5.7</v>
      </c>
      <c r="Q659" s="203">
        <v>0</v>
      </c>
      <c r="R659" s="204">
        <v>2.4</v>
      </c>
      <c r="S659" s="203">
        <v>2.4</v>
      </c>
      <c r="T659" s="203">
        <v>0</v>
      </c>
      <c r="V659" s="198">
        <v>2127</v>
      </c>
      <c r="W659" s="202">
        <v>5.7</v>
      </c>
      <c r="X659" s="203">
        <v>5.7</v>
      </c>
      <c r="Y659" s="203">
        <v>0</v>
      </c>
      <c r="Z659" s="204">
        <v>2.4</v>
      </c>
      <c r="AA659" s="203">
        <v>2.4</v>
      </c>
      <c r="AB659" s="203">
        <v>0</v>
      </c>
      <c r="AD659" s="198">
        <v>2127</v>
      </c>
      <c r="AE659" s="202" t="s">
        <v>82</v>
      </c>
      <c r="AF659" s="203" t="s">
        <v>82</v>
      </c>
      <c r="AG659" s="203" t="s">
        <v>82</v>
      </c>
      <c r="AH659" s="204" t="s">
        <v>82</v>
      </c>
      <c r="AI659" s="203" t="s">
        <v>82</v>
      </c>
      <c r="AJ659" s="203" t="s">
        <v>82</v>
      </c>
    </row>
    <row customFormat="1" r="660" s="205" spans="1:36" x14ac:dyDescent="0.2">
      <c r="A660" s="193">
        <v>656</v>
      </c>
      <c r="B660" s="215">
        <v>19</v>
      </c>
      <c r="C660" s="195" t="s">
        <v>419</v>
      </c>
      <c r="D660" s="195">
        <v>3</v>
      </c>
      <c r="E660" s="195" t="s">
        <v>424</v>
      </c>
      <c r="F660" s="196">
        <v>44379</v>
      </c>
      <c r="G660" s="197" t="s">
        <v>8</v>
      </c>
      <c r="H660" s="198">
        <v>2127</v>
      </c>
      <c r="I660" s="196" t="s">
        <v>425</v>
      </c>
      <c r="J660" s="199">
        <v>2000</v>
      </c>
      <c r="K660" s="198">
        <v>2157</v>
      </c>
      <c r="L660" s="216">
        <v>0</v>
      </c>
      <c r="M660" s="201"/>
      <c r="N660" s="199">
        <v>2127</v>
      </c>
      <c r="O660" s="202">
        <v>5.5</v>
      </c>
      <c r="P660" s="203">
        <v>5.0999999999999996</v>
      </c>
      <c r="Q660" s="203">
        <v>0.4</v>
      </c>
      <c r="R660" s="204">
        <v>3.7</v>
      </c>
      <c r="S660" s="203">
        <v>3.6</v>
      </c>
      <c r="T660" s="203">
        <v>0.1</v>
      </c>
      <c r="V660" s="198">
        <v>2127</v>
      </c>
      <c r="W660" s="202">
        <v>5.4</v>
      </c>
      <c r="X660" s="203">
        <v>5.0999999999999996</v>
      </c>
      <c r="Y660" s="203">
        <v>0.3</v>
      </c>
      <c r="Z660" s="204">
        <v>3.7</v>
      </c>
      <c r="AA660" s="203">
        <v>3.6</v>
      </c>
      <c r="AB660" s="203">
        <v>0.1</v>
      </c>
      <c r="AD660" s="198">
        <v>2127</v>
      </c>
      <c r="AE660" s="202">
        <v>-9.9999999999999645E-2</v>
      </c>
      <c r="AF660" s="203" t="s">
        <v>82</v>
      </c>
      <c r="AG660" s="203">
        <v>-0.10000000000000003</v>
      </c>
      <c r="AH660" s="204" t="s">
        <v>82</v>
      </c>
      <c r="AI660" s="203" t="s">
        <v>82</v>
      </c>
      <c r="AJ660" s="203" t="s">
        <v>82</v>
      </c>
    </row>
    <row customFormat="1" r="661" s="205" spans="1:36" x14ac:dyDescent="0.2">
      <c r="A661" s="193">
        <v>657</v>
      </c>
      <c r="B661" s="215">
        <v>19</v>
      </c>
      <c r="C661" s="195" t="s">
        <v>419</v>
      </c>
      <c r="D661" s="195">
        <v>3</v>
      </c>
      <c r="E661" s="195" t="s">
        <v>424</v>
      </c>
      <c r="F661" s="196">
        <v>44386</v>
      </c>
      <c r="G661" s="197" t="s">
        <v>8</v>
      </c>
      <c r="H661" s="198">
        <v>2128</v>
      </c>
      <c r="I661" s="196" t="s">
        <v>217</v>
      </c>
      <c r="J661" s="199">
        <v>800</v>
      </c>
      <c r="K661" s="198">
        <v>949</v>
      </c>
      <c r="L661" s="216">
        <v>0</v>
      </c>
      <c r="M661" s="201"/>
      <c r="N661" s="199">
        <v>2128</v>
      </c>
      <c r="O661" s="202">
        <v>5.6</v>
      </c>
      <c r="P661" s="203">
        <v>5.6</v>
      </c>
      <c r="Q661" s="203">
        <v>0</v>
      </c>
      <c r="R661" s="204">
        <v>2.5</v>
      </c>
      <c r="S661" s="203">
        <v>2.5</v>
      </c>
      <c r="T661" s="203">
        <v>0</v>
      </c>
      <c r="V661" s="198">
        <v>2128</v>
      </c>
      <c r="W661" s="202">
        <v>5.6</v>
      </c>
      <c r="X661" s="203">
        <v>5.6</v>
      </c>
      <c r="Y661" s="203">
        <v>0</v>
      </c>
      <c r="Z661" s="204">
        <v>2.5</v>
      </c>
      <c r="AA661" s="203">
        <v>2.5</v>
      </c>
      <c r="AB661" s="203">
        <v>0</v>
      </c>
      <c r="AD661" s="198">
        <v>2128</v>
      </c>
      <c r="AE661" s="202" t="s">
        <v>82</v>
      </c>
      <c r="AF661" s="203" t="s">
        <v>82</v>
      </c>
      <c r="AG661" s="203" t="s">
        <v>82</v>
      </c>
      <c r="AH661" s="204" t="s">
        <v>82</v>
      </c>
      <c r="AI661" s="203" t="s">
        <v>82</v>
      </c>
      <c r="AJ661" s="203" t="s">
        <v>82</v>
      </c>
    </row>
    <row customFormat="1" r="662" s="205" spans="1:36" x14ac:dyDescent="0.2">
      <c r="A662" s="193">
        <v>658</v>
      </c>
      <c r="B662" s="215">
        <v>19</v>
      </c>
      <c r="C662" s="195" t="s">
        <v>419</v>
      </c>
      <c r="D662" s="195">
        <v>3</v>
      </c>
      <c r="E662" s="195" t="s">
        <v>424</v>
      </c>
      <c r="F662" s="196">
        <v>44386</v>
      </c>
      <c r="G662" s="197" t="s">
        <v>8</v>
      </c>
      <c r="H662" s="198">
        <v>2128</v>
      </c>
      <c r="I662" s="196" t="s">
        <v>426</v>
      </c>
      <c r="J662" s="199">
        <v>2134</v>
      </c>
      <c r="K662" s="198">
        <v>2139</v>
      </c>
      <c r="L662" s="216">
        <v>0</v>
      </c>
      <c r="M662" s="201"/>
      <c r="N662" s="199">
        <v>2128</v>
      </c>
      <c r="O662" s="202">
        <v>5.7</v>
      </c>
      <c r="P662" s="203">
        <v>4.5</v>
      </c>
      <c r="Q662" s="203">
        <v>1.2</v>
      </c>
      <c r="R662" s="204">
        <v>4.5999999999999996</v>
      </c>
      <c r="S662" s="203">
        <v>4.4000000000000004</v>
      </c>
      <c r="T662" s="203">
        <v>0.2</v>
      </c>
      <c r="V662" s="198">
        <v>2128</v>
      </c>
      <c r="W662" s="202">
        <v>4.8</v>
      </c>
      <c r="X662" s="203">
        <v>4.5</v>
      </c>
      <c r="Y662" s="203">
        <v>0.3</v>
      </c>
      <c r="Z662" s="204">
        <v>4.5999999999999996</v>
      </c>
      <c r="AA662" s="203">
        <v>4.4000000000000004</v>
      </c>
      <c r="AB662" s="203">
        <v>0.2</v>
      </c>
      <c r="AD662" s="198">
        <v>2128</v>
      </c>
      <c r="AE662" s="202">
        <v>-0.90000000000000036</v>
      </c>
      <c r="AF662" s="203" t="s">
        <v>82</v>
      </c>
      <c r="AG662" s="203">
        <v>-0.89999999999999991</v>
      </c>
      <c r="AH662" s="204"/>
      <c r="AI662" s="203" t="s">
        <v>82</v>
      </c>
      <c r="AJ662" s="203" t="s">
        <v>82</v>
      </c>
    </row>
    <row customFormat="1" r="663" s="205" spans="1:36" x14ac:dyDescent="0.2">
      <c r="A663" s="193">
        <v>659</v>
      </c>
      <c r="B663" s="215">
        <v>19</v>
      </c>
      <c r="C663" s="195" t="s">
        <v>419</v>
      </c>
      <c r="D663" s="195">
        <v>3</v>
      </c>
      <c r="E663" s="195" t="s">
        <v>424</v>
      </c>
      <c r="F663" s="196">
        <v>44393</v>
      </c>
      <c r="G663" s="197" t="s">
        <v>8</v>
      </c>
      <c r="H663" s="198">
        <v>2129</v>
      </c>
      <c r="I663" s="196" t="s">
        <v>217</v>
      </c>
      <c r="J663" s="199">
        <v>800</v>
      </c>
      <c r="K663" s="198">
        <v>949</v>
      </c>
      <c r="L663" s="216">
        <v>0</v>
      </c>
      <c r="M663" s="201"/>
      <c r="N663" s="199">
        <v>2129</v>
      </c>
      <c r="O663" s="202">
        <v>5.4</v>
      </c>
      <c r="P663" s="203">
        <v>5.4</v>
      </c>
      <c r="Q663" s="203">
        <v>0</v>
      </c>
      <c r="R663" s="204">
        <v>2.6</v>
      </c>
      <c r="S663" s="203">
        <v>2.6</v>
      </c>
      <c r="T663" s="203">
        <v>0</v>
      </c>
      <c r="V663" s="198">
        <v>2129</v>
      </c>
      <c r="W663" s="202">
        <v>5.4</v>
      </c>
      <c r="X663" s="203">
        <v>5.4</v>
      </c>
      <c r="Y663" s="203">
        <v>0</v>
      </c>
      <c r="Z663" s="204">
        <v>2.6</v>
      </c>
      <c r="AA663" s="203">
        <v>2.6</v>
      </c>
      <c r="AB663" s="203">
        <v>0</v>
      </c>
      <c r="AD663" s="198">
        <v>2129</v>
      </c>
      <c r="AE663" s="202" t="s">
        <v>82</v>
      </c>
      <c r="AF663" s="203" t="s">
        <v>82</v>
      </c>
      <c r="AG663" s="203" t="s">
        <v>82</v>
      </c>
      <c r="AH663" s="204" t="s">
        <v>82</v>
      </c>
      <c r="AI663" s="203" t="s">
        <v>82</v>
      </c>
      <c r="AJ663" s="203" t="s">
        <v>82</v>
      </c>
    </row>
    <row customFormat="1" r="664" s="205" spans="1:36" x14ac:dyDescent="0.2">
      <c r="A664" s="193">
        <v>660</v>
      </c>
      <c r="B664" s="215">
        <v>19</v>
      </c>
      <c r="C664" s="195" t="s">
        <v>419</v>
      </c>
      <c r="D664" s="195">
        <v>3</v>
      </c>
      <c r="E664" s="195" t="s">
        <v>424</v>
      </c>
      <c r="F664" s="196">
        <v>44393</v>
      </c>
      <c r="G664" s="197" t="s">
        <v>8</v>
      </c>
      <c r="H664" s="198">
        <v>2129</v>
      </c>
      <c r="I664" s="196" t="s">
        <v>279</v>
      </c>
      <c r="J664" s="199">
        <v>2000</v>
      </c>
      <c r="K664" s="198">
        <v>2157</v>
      </c>
      <c r="L664" s="216">
        <v>0</v>
      </c>
      <c r="M664" s="201"/>
      <c r="N664" s="199">
        <v>2129</v>
      </c>
      <c r="O664" s="202">
        <v>5.2</v>
      </c>
      <c r="P664" s="203">
        <v>4.8</v>
      </c>
      <c r="Q664" s="203">
        <v>0.4</v>
      </c>
      <c r="R664" s="204">
        <v>4</v>
      </c>
      <c r="S664" s="203">
        <v>3.7</v>
      </c>
      <c r="T664" s="203">
        <v>0.3</v>
      </c>
      <c r="V664" s="198">
        <v>2129</v>
      </c>
      <c r="W664" s="202">
        <v>5.0999999999999996</v>
      </c>
      <c r="X664" s="203">
        <v>4.8</v>
      </c>
      <c r="Y664" s="203">
        <v>0.3</v>
      </c>
      <c r="Z664" s="204">
        <v>4</v>
      </c>
      <c r="AA664" s="203">
        <v>3.7</v>
      </c>
      <c r="AB664" s="203">
        <v>0.3</v>
      </c>
      <c r="AD664" s="198">
        <v>2129</v>
      </c>
      <c r="AE664" s="202">
        <v>-0.10000000000000053</v>
      </c>
      <c r="AF664" s="203" t="s">
        <v>82</v>
      </c>
      <c r="AG664" s="203">
        <v>-0.10000000000000003</v>
      </c>
      <c r="AH664" s="204" t="s">
        <v>82</v>
      </c>
      <c r="AI664" s="203" t="s">
        <v>82</v>
      </c>
      <c r="AJ664" s="203" t="s">
        <v>82</v>
      </c>
    </row>
    <row customFormat="1" r="665" s="205" spans="1:36" x14ac:dyDescent="0.2">
      <c r="A665" s="193">
        <v>661</v>
      </c>
      <c r="B665" s="215">
        <v>20</v>
      </c>
      <c r="C665" s="195" t="s">
        <v>427</v>
      </c>
      <c r="D665" s="195">
        <v>2</v>
      </c>
      <c r="E665" s="195" t="s">
        <v>428</v>
      </c>
      <c r="F665" s="196">
        <v>44171</v>
      </c>
      <c r="G665" s="197" t="s">
        <v>10</v>
      </c>
      <c r="H665" s="198">
        <v>2049</v>
      </c>
      <c r="I665" s="196" t="s">
        <v>429</v>
      </c>
      <c r="J665" s="199">
        <v>2315</v>
      </c>
      <c r="K665" s="198">
        <v>2429</v>
      </c>
      <c r="L665" s="216">
        <v>0</v>
      </c>
      <c r="M665" s="201"/>
      <c r="N665" s="199">
        <v>2049</v>
      </c>
      <c r="O665" s="202">
        <v>2.7</v>
      </c>
      <c r="P665" s="203">
        <v>2.7</v>
      </c>
      <c r="Q665" s="203">
        <v>0</v>
      </c>
      <c r="R665" s="204">
        <v>1.4</v>
      </c>
      <c r="S665" s="203">
        <v>1.4</v>
      </c>
      <c r="T665" s="203">
        <v>0</v>
      </c>
      <c r="V665" s="198">
        <v>2049</v>
      </c>
      <c r="W665" s="202">
        <v>2.7</v>
      </c>
      <c r="X665" s="203">
        <v>2.7</v>
      </c>
      <c r="Y665" s="203">
        <v>0</v>
      </c>
      <c r="Z665" s="204">
        <v>1.4</v>
      </c>
      <c r="AA665" s="203">
        <v>1.4</v>
      </c>
      <c r="AB665" s="203">
        <v>0</v>
      </c>
      <c r="AD665" s="198">
        <v>2049</v>
      </c>
      <c r="AE665" s="202" t="s">
        <v>82</v>
      </c>
      <c r="AF665" s="203" t="s">
        <v>82</v>
      </c>
      <c r="AG665" s="203" t="s">
        <v>82</v>
      </c>
      <c r="AH665" s="204" t="s">
        <v>82</v>
      </c>
      <c r="AI665" s="203" t="s">
        <v>82</v>
      </c>
      <c r="AJ665" s="203" t="s">
        <v>82</v>
      </c>
    </row>
    <row customFormat="1" r="666" s="205" spans="1:36" x14ac:dyDescent="0.2">
      <c r="A666" s="193">
        <v>662</v>
      </c>
      <c r="B666" s="215">
        <v>20</v>
      </c>
      <c r="C666" s="195" t="s">
        <v>427</v>
      </c>
      <c r="D666" s="195">
        <v>2</v>
      </c>
      <c r="E666" s="195" t="s">
        <v>428</v>
      </c>
      <c r="F666" s="196">
        <v>44178</v>
      </c>
      <c r="G666" s="197" t="s">
        <v>10</v>
      </c>
      <c r="H666" s="198">
        <v>2050</v>
      </c>
      <c r="I666" s="196" t="s">
        <v>429</v>
      </c>
      <c r="J666" s="199">
        <v>2315</v>
      </c>
      <c r="K666" s="198">
        <v>2429</v>
      </c>
      <c r="L666" s="216">
        <v>0</v>
      </c>
      <c r="M666" s="201"/>
      <c r="N666" s="199">
        <v>2050</v>
      </c>
      <c r="O666" s="202">
        <v>2.6</v>
      </c>
      <c r="P666" s="203">
        <v>2.6</v>
      </c>
      <c r="Q666" s="203">
        <v>0</v>
      </c>
      <c r="R666" s="204">
        <v>1.4</v>
      </c>
      <c r="S666" s="203">
        <v>1.4</v>
      </c>
      <c r="T666" s="203">
        <v>0</v>
      </c>
      <c r="V666" s="198">
        <v>2050</v>
      </c>
      <c r="W666" s="202">
        <v>2.6</v>
      </c>
      <c r="X666" s="203">
        <v>2.6</v>
      </c>
      <c r="Y666" s="203">
        <v>0</v>
      </c>
      <c r="Z666" s="204">
        <v>1.4</v>
      </c>
      <c r="AA666" s="203">
        <v>1.4</v>
      </c>
      <c r="AB666" s="203">
        <v>0</v>
      </c>
      <c r="AD666" s="198">
        <v>2050</v>
      </c>
      <c r="AE666" s="202" t="s">
        <v>82</v>
      </c>
      <c r="AF666" s="203" t="s">
        <v>82</v>
      </c>
      <c r="AG666" s="203" t="s">
        <v>82</v>
      </c>
      <c r="AH666" s="204" t="s">
        <v>82</v>
      </c>
      <c r="AI666" s="203" t="s">
        <v>82</v>
      </c>
      <c r="AJ666" s="203" t="s">
        <v>82</v>
      </c>
    </row>
    <row customFormat="1" r="667" s="205" spans="1:36" x14ac:dyDescent="0.2">
      <c r="A667" s="193">
        <v>663</v>
      </c>
      <c r="B667" s="215">
        <v>20</v>
      </c>
      <c r="C667" s="195" t="s">
        <v>427</v>
      </c>
      <c r="D667" s="195">
        <v>2</v>
      </c>
      <c r="E667" s="195" t="s">
        <v>428</v>
      </c>
      <c r="F667" s="196">
        <v>44185</v>
      </c>
      <c r="G667" s="197" t="s">
        <v>10</v>
      </c>
      <c r="H667" s="198">
        <v>2051</v>
      </c>
      <c r="I667" s="196" t="s">
        <v>429</v>
      </c>
      <c r="J667" s="199">
        <v>2335</v>
      </c>
      <c r="K667" s="198">
        <v>2449</v>
      </c>
      <c r="L667" s="216">
        <v>0</v>
      </c>
      <c r="M667" s="201"/>
      <c r="N667" s="199">
        <v>2051</v>
      </c>
      <c r="O667" s="202">
        <v>2</v>
      </c>
      <c r="P667" s="203">
        <v>2</v>
      </c>
      <c r="Q667" s="203">
        <v>0</v>
      </c>
      <c r="R667" s="204">
        <v>1.2</v>
      </c>
      <c r="S667" s="203">
        <v>1.2</v>
      </c>
      <c r="T667" s="203">
        <v>0</v>
      </c>
      <c r="V667" s="198">
        <v>2051</v>
      </c>
      <c r="W667" s="202">
        <v>2</v>
      </c>
      <c r="X667" s="203">
        <v>2</v>
      </c>
      <c r="Y667" s="203">
        <v>0</v>
      </c>
      <c r="Z667" s="204">
        <v>1.2</v>
      </c>
      <c r="AA667" s="203">
        <v>1.2</v>
      </c>
      <c r="AB667" s="203">
        <v>0</v>
      </c>
      <c r="AD667" s="198">
        <v>2051</v>
      </c>
      <c r="AE667" s="202" t="s">
        <v>82</v>
      </c>
      <c r="AF667" s="203" t="s">
        <v>82</v>
      </c>
      <c r="AG667" s="203" t="s">
        <v>82</v>
      </c>
      <c r="AH667" s="204" t="s">
        <v>82</v>
      </c>
      <c r="AI667" s="203" t="s">
        <v>82</v>
      </c>
      <c r="AJ667" s="203" t="s">
        <v>82</v>
      </c>
    </row>
    <row customFormat="1" r="668" s="205" spans="1:36" x14ac:dyDescent="0.2">
      <c r="A668" s="193">
        <v>664</v>
      </c>
      <c r="B668" s="215">
        <v>20</v>
      </c>
      <c r="C668" s="195" t="s">
        <v>427</v>
      </c>
      <c r="D668" s="195">
        <v>2</v>
      </c>
      <c r="E668" s="195" t="s">
        <v>428</v>
      </c>
      <c r="F668" s="196">
        <v>44192</v>
      </c>
      <c r="G668" s="197" t="s">
        <v>10</v>
      </c>
      <c r="H668" s="198">
        <v>2052</v>
      </c>
      <c r="I668" s="196" t="s">
        <v>429</v>
      </c>
      <c r="J668" s="199">
        <v>2340</v>
      </c>
      <c r="K668" s="198">
        <v>2454</v>
      </c>
      <c r="L668" s="216">
        <v>0</v>
      </c>
      <c r="M668" s="201"/>
      <c r="N668" s="199">
        <v>2052</v>
      </c>
      <c r="O668" s="202">
        <v>1.4</v>
      </c>
      <c r="P668" s="203">
        <v>1.4</v>
      </c>
      <c r="Q668" s="203">
        <v>0</v>
      </c>
      <c r="R668" s="204">
        <v>1</v>
      </c>
      <c r="S668" s="203">
        <v>1</v>
      </c>
      <c r="T668" s="203" t="s">
        <v>84</v>
      </c>
      <c r="V668" s="198">
        <v>2052</v>
      </c>
      <c r="W668" s="202">
        <v>1.4</v>
      </c>
      <c r="X668" s="203">
        <v>1.4</v>
      </c>
      <c r="Y668" s="203">
        <v>0</v>
      </c>
      <c r="Z668" s="204">
        <v>1</v>
      </c>
      <c r="AA668" s="203">
        <v>1</v>
      </c>
      <c r="AB668" s="203" t="s">
        <v>84</v>
      </c>
      <c r="AD668" s="198">
        <v>2052</v>
      </c>
      <c r="AE668" s="202" t="s">
        <v>82</v>
      </c>
      <c r="AF668" s="203" t="s">
        <v>82</v>
      </c>
      <c r="AG668" s="203" t="s">
        <v>82</v>
      </c>
      <c r="AH668" s="204" t="s">
        <v>82</v>
      </c>
      <c r="AI668" s="203" t="s">
        <v>82</v>
      </c>
      <c r="AJ668" s="203" t="s">
        <v>82</v>
      </c>
    </row>
    <row customFormat="1" r="669" s="205" spans="1:36" x14ac:dyDescent="0.2">
      <c r="A669" s="193">
        <v>665</v>
      </c>
      <c r="B669" s="215">
        <v>20</v>
      </c>
      <c r="C669" s="195" t="s">
        <v>427</v>
      </c>
      <c r="D669" s="195">
        <v>2</v>
      </c>
      <c r="E669" s="195" t="s">
        <v>428</v>
      </c>
      <c r="F669" s="196">
        <v>44491</v>
      </c>
      <c r="G669" s="197" t="s">
        <v>8</v>
      </c>
      <c r="H669" s="198">
        <v>2143</v>
      </c>
      <c r="I669" s="196" t="s">
        <v>400</v>
      </c>
      <c r="J669" s="199">
        <v>1445</v>
      </c>
      <c r="K669" s="198">
        <v>1514</v>
      </c>
      <c r="L669" s="216">
        <v>1</v>
      </c>
      <c r="M669" s="201"/>
      <c r="N669" s="199">
        <v>2143</v>
      </c>
      <c r="O669" s="202">
        <v>2.2000000000000002</v>
      </c>
      <c r="P669" s="203">
        <v>1</v>
      </c>
      <c r="Q669" s="203">
        <v>1.2</v>
      </c>
      <c r="R669" s="204">
        <v>2.1</v>
      </c>
      <c r="S669" s="203">
        <v>0.9</v>
      </c>
      <c r="T669" s="203">
        <v>1.2</v>
      </c>
      <c r="V669" s="198">
        <v>2143</v>
      </c>
      <c r="W669" s="202">
        <v>1</v>
      </c>
      <c r="X669" s="203">
        <v>1</v>
      </c>
      <c r="Y669" s="203">
        <v>0</v>
      </c>
      <c r="Z669" s="204">
        <v>0.9</v>
      </c>
      <c r="AA669" s="203">
        <v>0.9</v>
      </c>
      <c r="AB669" s="203">
        <v>0</v>
      </c>
      <c r="AD669" s="198">
        <v>2143</v>
      </c>
      <c r="AE669" s="202">
        <v>-1.2000000000000002</v>
      </c>
      <c r="AF669" s="203" t="s">
        <v>82</v>
      </c>
      <c r="AG669" s="203">
        <v>-1.2</v>
      </c>
      <c r="AH669" s="204">
        <v>-1.2000000000000002</v>
      </c>
      <c r="AI669" s="203" t="s">
        <v>82</v>
      </c>
      <c r="AJ669" s="203">
        <v>-1.2</v>
      </c>
    </row>
    <row customFormat="1" r="670" s="205" spans="1:36" x14ac:dyDescent="0.2">
      <c r="A670" s="193">
        <v>666</v>
      </c>
      <c r="B670" s="215">
        <v>20</v>
      </c>
      <c r="C670" s="195" t="s">
        <v>427</v>
      </c>
      <c r="D670" s="195">
        <v>2</v>
      </c>
      <c r="E670" s="195" t="s">
        <v>428</v>
      </c>
      <c r="F670" s="196">
        <v>44498</v>
      </c>
      <c r="G670" s="197" t="s">
        <v>8</v>
      </c>
      <c r="H670" s="198">
        <v>2144</v>
      </c>
      <c r="I670" s="196" t="s">
        <v>400</v>
      </c>
      <c r="J670" s="199">
        <v>1445</v>
      </c>
      <c r="K670" s="198">
        <v>1514</v>
      </c>
      <c r="L670" s="216">
        <v>1</v>
      </c>
      <c r="M670" s="201"/>
      <c r="N670" s="199">
        <v>2144</v>
      </c>
      <c r="O670" s="202">
        <v>2</v>
      </c>
      <c r="P670" s="203">
        <v>0.8</v>
      </c>
      <c r="Q670" s="203">
        <v>1.2</v>
      </c>
      <c r="R670" s="204">
        <v>1.9</v>
      </c>
      <c r="S670" s="203">
        <v>0.7</v>
      </c>
      <c r="T670" s="203">
        <v>1.2</v>
      </c>
      <c r="V670" s="198">
        <v>2144</v>
      </c>
      <c r="W670" s="202">
        <v>0.8</v>
      </c>
      <c r="X670" s="203">
        <v>0.8</v>
      </c>
      <c r="Y670" s="203">
        <v>0</v>
      </c>
      <c r="Z670" s="204">
        <v>0.7</v>
      </c>
      <c r="AA670" s="203">
        <v>0.7</v>
      </c>
      <c r="AB670" s="203">
        <v>0</v>
      </c>
      <c r="AD670" s="198">
        <v>2144</v>
      </c>
      <c r="AE670" s="202">
        <v>-1.2</v>
      </c>
      <c r="AF670" s="203" t="s">
        <v>82</v>
      </c>
      <c r="AG670" s="203">
        <v>-1.2</v>
      </c>
      <c r="AH670" s="204">
        <v>-1.2</v>
      </c>
      <c r="AI670" s="203" t="s">
        <v>82</v>
      </c>
      <c r="AJ670" s="203">
        <v>-1.2</v>
      </c>
    </row>
    <row customFormat="1" r="671" s="205" spans="1:36" x14ac:dyDescent="0.2">
      <c r="A671" s="193">
        <v>667</v>
      </c>
      <c r="B671" s="215">
        <v>20</v>
      </c>
      <c r="C671" s="195" t="s">
        <v>427</v>
      </c>
      <c r="D671" s="195">
        <v>2</v>
      </c>
      <c r="E671" s="195" t="s">
        <v>428</v>
      </c>
      <c r="F671" s="196">
        <v>44505</v>
      </c>
      <c r="G671" s="197" t="s">
        <v>8</v>
      </c>
      <c r="H671" s="198">
        <v>2145</v>
      </c>
      <c r="I671" s="196" t="s">
        <v>430</v>
      </c>
      <c r="J671" s="199">
        <v>1445</v>
      </c>
      <c r="K671" s="198">
        <v>1514</v>
      </c>
      <c r="L671" s="216">
        <v>1</v>
      </c>
      <c r="M671" s="201"/>
      <c r="N671" s="199">
        <v>2145</v>
      </c>
      <c r="O671" s="202">
        <v>2.1</v>
      </c>
      <c r="P671" s="203">
        <v>0.9</v>
      </c>
      <c r="Q671" s="203">
        <v>1.2</v>
      </c>
      <c r="R671" s="204">
        <v>2</v>
      </c>
      <c r="S671" s="203">
        <v>0.8</v>
      </c>
      <c r="T671" s="203">
        <v>1.2</v>
      </c>
      <c r="V671" s="198">
        <v>2145</v>
      </c>
      <c r="W671" s="202">
        <v>0.9</v>
      </c>
      <c r="X671" s="203">
        <v>0.9</v>
      </c>
      <c r="Y671" s="203">
        <v>0</v>
      </c>
      <c r="Z671" s="204">
        <v>0.8</v>
      </c>
      <c r="AA671" s="203">
        <v>0.8</v>
      </c>
      <c r="AB671" s="203">
        <v>0</v>
      </c>
      <c r="AD671" s="198">
        <v>2145</v>
      </c>
      <c r="AE671" s="202">
        <v>-1.2000000000000002</v>
      </c>
      <c r="AF671" s="203" t="s">
        <v>82</v>
      </c>
      <c r="AG671" s="203">
        <v>-1.2</v>
      </c>
      <c r="AH671" s="204">
        <v>-1.2</v>
      </c>
      <c r="AI671" s="203" t="s">
        <v>82</v>
      </c>
      <c r="AJ671" s="203">
        <v>-1.2</v>
      </c>
    </row>
    <row customFormat="1" r="672" s="205" spans="1:36" x14ac:dyDescent="0.2">
      <c r="A672" s="193">
        <v>668</v>
      </c>
      <c r="B672" s="215">
        <v>20</v>
      </c>
      <c r="C672" s="195" t="s">
        <v>427</v>
      </c>
      <c r="D672" s="195">
        <v>2</v>
      </c>
      <c r="E672" s="195" t="s">
        <v>428</v>
      </c>
      <c r="F672" s="196">
        <v>44512</v>
      </c>
      <c r="G672" s="197" t="s">
        <v>8</v>
      </c>
      <c r="H672" s="198">
        <v>2146</v>
      </c>
      <c r="I672" s="196" t="s">
        <v>213</v>
      </c>
      <c r="J672" s="199">
        <v>1445</v>
      </c>
      <c r="K672" s="198">
        <v>1514</v>
      </c>
      <c r="L672" s="216">
        <v>1</v>
      </c>
      <c r="M672" s="201"/>
      <c r="N672" s="199">
        <v>2146</v>
      </c>
      <c r="O672" s="202">
        <v>2.1</v>
      </c>
      <c r="P672" s="203">
        <v>0.9</v>
      </c>
      <c r="Q672" s="203">
        <v>1.2</v>
      </c>
      <c r="R672" s="204">
        <v>2</v>
      </c>
      <c r="S672" s="203">
        <v>0.8</v>
      </c>
      <c r="T672" s="203">
        <v>1.2</v>
      </c>
      <c r="V672" s="198">
        <v>2146</v>
      </c>
      <c r="W672" s="202">
        <v>0.9</v>
      </c>
      <c r="X672" s="203">
        <v>0.9</v>
      </c>
      <c r="Y672" s="203">
        <v>0</v>
      </c>
      <c r="Z672" s="204">
        <v>0.8</v>
      </c>
      <c r="AA672" s="203">
        <v>0.8</v>
      </c>
      <c r="AB672" s="203">
        <v>0</v>
      </c>
      <c r="AD672" s="198">
        <v>2146</v>
      </c>
      <c r="AE672" s="202">
        <v>-1.2000000000000002</v>
      </c>
      <c r="AF672" s="203" t="s">
        <v>82</v>
      </c>
      <c r="AG672" s="203">
        <v>-1.2</v>
      </c>
      <c r="AH672" s="204">
        <v>-1.2</v>
      </c>
      <c r="AI672" s="203" t="s">
        <v>82</v>
      </c>
      <c r="AJ672" s="203">
        <v>-1.2</v>
      </c>
    </row>
    <row customFormat="1" r="673" s="205" spans="1:36" x14ac:dyDescent="0.2">
      <c r="A673" s="193">
        <v>669</v>
      </c>
      <c r="B673" s="215">
        <v>21</v>
      </c>
      <c r="C673" s="195" t="s">
        <v>431</v>
      </c>
      <c r="D673" s="195">
        <v>1</v>
      </c>
      <c r="E673" s="195" t="s">
        <v>432</v>
      </c>
      <c r="F673" s="196">
        <v>44481</v>
      </c>
      <c r="G673" s="197" t="s">
        <v>5</v>
      </c>
      <c r="H673" s="198">
        <v>2142</v>
      </c>
      <c r="I673" s="196" t="s">
        <v>433</v>
      </c>
      <c r="J673" s="199">
        <v>1650</v>
      </c>
      <c r="K673" s="198">
        <v>1752</v>
      </c>
      <c r="L673" s="216">
        <v>0</v>
      </c>
      <c r="M673" s="201"/>
      <c r="N673" s="199">
        <v>2142</v>
      </c>
      <c r="O673" s="202">
        <v>5.8</v>
      </c>
      <c r="P673" s="203">
        <v>5.6</v>
      </c>
      <c r="Q673" s="203">
        <v>0.2</v>
      </c>
      <c r="R673" s="204">
        <v>7.5</v>
      </c>
      <c r="S673" s="203">
        <v>7.5</v>
      </c>
      <c r="T673" s="203" t="s">
        <v>84</v>
      </c>
      <c r="V673" s="198">
        <v>2142</v>
      </c>
      <c r="W673" s="202">
        <v>5.6</v>
      </c>
      <c r="X673" s="203">
        <v>5.6</v>
      </c>
      <c r="Y673" s="203">
        <v>0</v>
      </c>
      <c r="Z673" s="204">
        <v>7.5</v>
      </c>
      <c r="AA673" s="203">
        <v>7.5</v>
      </c>
      <c r="AB673" s="203" t="s">
        <v>84</v>
      </c>
      <c r="AD673" s="198">
        <v>2142</v>
      </c>
      <c r="AE673" s="202">
        <v>-0.20000000000000018</v>
      </c>
      <c r="AF673" s="203" t="s">
        <v>82</v>
      </c>
      <c r="AG673" s="203">
        <v>-0.2</v>
      </c>
      <c r="AH673" s="204" t="s">
        <v>82</v>
      </c>
      <c r="AI673" s="203" t="s">
        <v>82</v>
      </c>
      <c r="AJ673" s="203" t="s">
        <v>82</v>
      </c>
    </row>
    <row customFormat="1" r="674" s="205" spans="1:36" x14ac:dyDescent="0.2">
      <c r="A674" s="193">
        <v>670</v>
      </c>
      <c r="B674" s="215">
        <v>21</v>
      </c>
      <c r="C674" s="195" t="s">
        <v>431</v>
      </c>
      <c r="D674" s="195">
        <v>1</v>
      </c>
      <c r="E674" s="195" t="s">
        <v>432</v>
      </c>
      <c r="F674" s="196">
        <v>44488</v>
      </c>
      <c r="G674" s="197" t="s">
        <v>5</v>
      </c>
      <c r="H674" s="198">
        <v>2143</v>
      </c>
      <c r="I674" s="196" t="s">
        <v>433</v>
      </c>
      <c r="J674" s="199">
        <v>1650</v>
      </c>
      <c r="K674" s="198">
        <v>1752</v>
      </c>
      <c r="L674" s="216">
        <v>0</v>
      </c>
      <c r="M674" s="201"/>
      <c r="N674" s="199">
        <v>2143</v>
      </c>
      <c r="O674" s="202">
        <v>6.1</v>
      </c>
      <c r="P674" s="203">
        <v>6</v>
      </c>
      <c r="Q674" s="203">
        <v>0.1</v>
      </c>
      <c r="R674" s="204">
        <v>7.8</v>
      </c>
      <c r="S674" s="203">
        <v>7.8</v>
      </c>
      <c r="T674" s="203" t="s">
        <v>84</v>
      </c>
      <c r="V674" s="198">
        <v>2143</v>
      </c>
      <c r="W674" s="202">
        <v>6</v>
      </c>
      <c r="X674" s="203">
        <v>6</v>
      </c>
      <c r="Y674" s="203">
        <v>0</v>
      </c>
      <c r="Z674" s="204">
        <v>7.8</v>
      </c>
      <c r="AA674" s="203">
        <v>7.8</v>
      </c>
      <c r="AB674" s="203" t="s">
        <v>84</v>
      </c>
      <c r="AD674" s="198">
        <v>2143</v>
      </c>
      <c r="AE674" s="202">
        <v>-9.9999999999999645E-2</v>
      </c>
      <c r="AF674" s="203" t="s">
        <v>82</v>
      </c>
      <c r="AG674" s="203">
        <v>-0.1</v>
      </c>
      <c r="AH674" s="204" t="s">
        <v>82</v>
      </c>
      <c r="AI674" s="203" t="s">
        <v>82</v>
      </c>
      <c r="AJ674" s="203" t="s">
        <v>82</v>
      </c>
    </row>
    <row customFormat="1" r="675" s="205" spans="1:36" x14ac:dyDescent="0.2">
      <c r="A675" s="193">
        <v>671</v>
      </c>
      <c r="B675" s="215">
        <v>21</v>
      </c>
      <c r="C675" s="195" t="s">
        <v>431</v>
      </c>
      <c r="D675" s="195">
        <v>1</v>
      </c>
      <c r="E675" s="195" t="s">
        <v>432</v>
      </c>
      <c r="F675" s="196">
        <v>44495</v>
      </c>
      <c r="G675" s="197" t="s">
        <v>5</v>
      </c>
      <c r="H675" s="198">
        <v>2144</v>
      </c>
      <c r="I675" s="196" t="s">
        <v>433</v>
      </c>
      <c r="J675" s="199">
        <v>1650</v>
      </c>
      <c r="K675" s="198">
        <v>1752</v>
      </c>
      <c r="L675" s="216">
        <v>0</v>
      </c>
      <c r="M675" s="201"/>
      <c r="N675" s="199">
        <v>2144</v>
      </c>
      <c r="O675" s="202">
        <v>6.3</v>
      </c>
      <c r="P675" s="203">
        <v>6.2</v>
      </c>
      <c r="Q675" s="203">
        <v>0.1</v>
      </c>
      <c r="R675" s="204">
        <v>8</v>
      </c>
      <c r="S675" s="203">
        <v>8</v>
      </c>
      <c r="T675" s="203" t="s">
        <v>84</v>
      </c>
      <c r="V675" s="198">
        <v>2144</v>
      </c>
      <c r="W675" s="202">
        <v>6.2</v>
      </c>
      <c r="X675" s="203">
        <v>6.2</v>
      </c>
      <c r="Y675" s="203">
        <v>0</v>
      </c>
      <c r="Z675" s="204">
        <v>8</v>
      </c>
      <c r="AA675" s="203">
        <v>8</v>
      </c>
      <c r="AB675" s="203" t="s">
        <v>84</v>
      </c>
      <c r="AD675" s="198">
        <v>2144</v>
      </c>
      <c r="AE675" s="202">
        <v>-9.9999999999999645E-2</v>
      </c>
      <c r="AF675" s="203" t="s">
        <v>82</v>
      </c>
      <c r="AG675" s="203">
        <v>-0.1</v>
      </c>
      <c r="AH675" s="204" t="s">
        <v>82</v>
      </c>
      <c r="AI675" s="203" t="s">
        <v>82</v>
      </c>
      <c r="AJ675" s="203" t="s">
        <v>82</v>
      </c>
    </row>
    <row customFormat="1" r="676" s="205" spans="1:36" x14ac:dyDescent="0.2">
      <c r="A676" s="193">
        <v>672</v>
      </c>
      <c r="B676" s="215">
        <v>21</v>
      </c>
      <c r="C676" s="195" t="s">
        <v>431</v>
      </c>
      <c r="D676" s="195">
        <v>1</v>
      </c>
      <c r="E676" s="195" t="s">
        <v>432</v>
      </c>
      <c r="F676" s="196">
        <v>44502</v>
      </c>
      <c r="G676" s="197" t="s">
        <v>5</v>
      </c>
      <c r="H676" s="198">
        <v>2145</v>
      </c>
      <c r="I676" s="196" t="s">
        <v>433</v>
      </c>
      <c r="J676" s="199">
        <v>1650</v>
      </c>
      <c r="K676" s="198">
        <v>1752</v>
      </c>
      <c r="L676" s="216">
        <v>0</v>
      </c>
      <c r="M676" s="201"/>
      <c r="N676" s="199">
        <v>2145</v>
      </c>
      <c r="O676" s="202">
        <v>6.2</v>
      </c>
      <c r="P676" s="203">
        <v>6.1</v>
      </c>
      <c r="Q676" s="203">
        <v>0.1</v>
      </c>
      <c r="R676" s="204">
        <v>7.5</v>
      </c>
      <c r="S676" s="203">
        <v>7.5</v>
      </c>
      <c r="T676" s="203" t="s">
        <v>84</v>
      </c>
      <c r="V676" s="198">
        <v>2145</v>
      </c>
      <c r="W676" s="202">
        <v>6.1</v>
      </c>
      <c r="X676" s="203">
        <v>6.1</v>
      </c>
      <c r="Y676" s="203">
        <v>0</v>
      </c>
      <c r="Z676" s="204">
        <v>7.5</v>
      </c>
      <c r="AA676" s="203">
        <v>7.5</v>
      </c>
      <c r="AB676" s="203" t="s">
        <v>84</v>
      </c>
      <c r="AD676" s="198">
        <v>2145</v>
      </c>
      <c r="AE676" s="202">
        <v>-0.10000000000000053</v>
      </c>
      <c r="AF676" s="203" t="s">
        <v>82</v>
      </c>
      <c r="AG676" s="203">
        <v>-0.1</v>
      </c>
      <c r="AH676" s="204" t="s">
        <v>82</v>
      </c>
      <c r="AI676" s="203" t="s">
        <v>82</v>
      </c>
      <c r="AJ676" s="203" t="s">
        <v>82</v>
      </c>
    </row>
    <row customFormat="1" r="677" s="205" spans="1:36" x14ac:dyDescent="0.2">
      <c r="A677" s="193">
        <v>673</v>
      </c>
      <c r="B677" s="215">
        <v>21</v>
      </c>
      <c r="C677" s="195" t="s">
        <v>431</v>
      </c>
      <c r="D677" s="195">
        <v>1</v>
      </c>
      <c r="E677" s="195" t="s">
        <v>432</v>
      </c>
      <c r="F677" s="196">
        <v>44543</v>
      </c>
      <c r="G677" s="197" t="s">
        <v>4</v>
      </c>
      <c r="H677" s="198">
        <v>2151</v>
      </c>
      <c r="I677" s="196" t="s">
        <v>434</v>
      </c>
      <c r="J677" s="199">
        <v>1620</v>
      </c>
      <c r="K677" s="198">
        <v>1649</v>
      </c>
      <c r="L677" s="216">
        <v>0</v>
      </c>
      <c r="M677" s="201"/>
      <c r="N677" s="199">
        <v>2151</v>
      </c>
      <c r="O677" s="202">
        <v>4.0999999999999996</v>
      </c>
      <c r="P677" s="203">
        <v>3.9</v>
      </c>
      <c r="Q677" s="203">
        <v>0.2</v>
      </c>
      <c r="R677" s="204">
        <v>4.3</v>
      </c>
      <c r="S677" s="203">
        <v>4.3</v>
      </c>
      <c r="T677" s="203" t="s">
        <v>84</v>
      </c>
      <c r="V677" s="198">
        <v>2151</v>
      </c>
      <c r="W677" s="202">
        <v>3.9</v>
      </c>
      <c r="X677" s="203">
        <v>3.9</v>
      </c>
      <c r="Y677" s="203">
        <v>0</v>
      </c>
      <c r="Z677" s="204">
        <v>4.3</v>
      </c>
      <c r="AA677" s="203">
        <v>4.3</v>
      </c>
      <c r="AB677" s="203" t="s">
        <v>84</v>
      </c>
      <c r="AD677" s="198">
        <v>2151</v>
      </c>
      <c r="AE677" s="202">
        <v>-0.19999999999999973</v>
      </c>
      <c r="AF677" s="203" t="s">
        <v>82</v>
      </c>
      <c r="AG677" s="203">
        <v>-0.2</v>
      </c>
      <c r="AH677" s="204" t="s">
        <v>82</v>
      </c>
      <c r="AI677" s="203" t="s">
        <v>82</v>
      </c>
      <c r="AJ677" s="203" t="s">
        <v>82</v>
      </c>
    </row>
    <row customFormat="1" r="678" s="205" spans="1:36" x14ac:dyDescent="0.2">
      <c r="A678" s="193">
        <v>674</v>
      </c>
      <c r="B678" s="215">
        <v>21</v>
      </c>
      <c r="C678" s="195" t="s">
        <v>431</v>
      </c>
      <c r="D678" s="195">
        <v>1</v>
      </c>
      <c r="E678" s="195" t="s">
        <v>432</v>
      </c>
      <c r="F678" s="196">
        <v>44550</v>
      </c>
      <c r="G678" s="197" t="s">
        <v>4</v>
      </c>
      <c r="H678" s="198">
        <v>2152</v>
      </c>
      <c r="I678" s="196" t="s">
        <v>435</v>
      </c>
      <c r="J678" s="199">
        <v>1550</v>
      </c>
      <c r="K678" s="198">
        <v>1649</v>
      </c>
      <c r="L678" s="216">
        <v>0</v>
      </c>
      <c r="M678" s="201"/>
      <c r="N678" s="199">
        <v>2152</v>
      </c>
      <c r="O678" s="202">
        <v>4.2</v>
      </c>
      <c r="P678" s="203">
        <v>4.0999999999999996</v>
      </c>
      <c r="Q678" s="203">
        <v>0.1</v>
      </c>
      <c r="R678" s="204">
        <v>4.5999999999999996</v>
      </c>
      <c r="S678" s="203">
        <v>4.5999999999999996</v>
      </c>
      <c r="T678" s="203" t="s">
        <v>84</v>
      </c>
      <c r="V678" s="198">
        <v>2152</v>
      </c>
      <c r="W678" s="202">
        <v>4.0999999999999996</v>
      </c>
      <c r="X678" s="203">
        <v>4.0999999999999996</v>
      </c>
      <c r="Y678" s="203">
        <v>0</v>
      </c>
      <c r="Z678" s="204">
        <v>4.5999999999999996</v>
      </c>
      <c r="AA678" s="203">
        <v>4.5999999999999996</v>
      </c>
      <c r="AB678" s="203" t="s">
        <v>84</v>
      </c>
      <c r="AD678" s="198">
        <v>2152</v>
      </c>
      <c r="AE678" s="202">
        <v>-0.10000000000000053</v>
      </c>
      <c r="AF678" s="203" t="s">
        <v>82</v>
      </c>
      <c r="AG678" s="203">
        <v>-0.1</v>
      </c>
      <c r="AH678" s="204" t="s">
        <v>82</v>
      </c>
      <c r="AI678" s="203" t="s">
        <v>82</v>
      </c>
      <c r="AJ678" s="203" t="s">
        <v>82</v>
      </c>
    </row>
    <row customFormat="1" r="679" s="205" spans="1:36" x14ac:dyDescent="0.2">
      <c r="A679" s="193">
        <v>675</v>
      </c>
      <c r="B679" s="215">
        <v>21</v>
      </c>
      <c r="C679" s="195" t="s">
        <v>431</v>
      </c>
      <c r="D679" s="195">
        <v>1</v>
      </c>
      <c r="E679" s="195" t="s">
        <v>432</v>
      </c>
      <c r="F679" s="196">
        <v>44557</v>
      </c>
      <c r="G679" s="197" t="s">
        <v>4</v>
      </c>
      <c r="H679" s="198">
        <v>2201</v>
      </c>
      <c r="I679" s="196" t="s">
        <v>436</v>
      </c>
      <c r="J679" s="199">
        <v>1550</v>
      </c>
      <c r="K679" s="198">
        <v>1649</v>
      </c>
      <c r="L679" s="216">
        <v>0</v>
      </c>
      <c r="M679" s="201"/>
      <c r="N679" s="199">
        <v>2201</v>
      </c>
      <c r="O679" s="202">
        <v>4.2</v>
      </c>
      <c r="P679" s="203">
        <v>4.0999999999999996</v>
      </c>
      <c r="Q679" s="203">
        <v>0.1</v>
      </c>
      <c r="R679" s="204">
        <v>4.4000000000000004</v>
      </c>
      <c r="S679" s="203">
        <v>4.4000000000000004</v>
      </c>
      <c r="T679" s="203">
        <v>0</v>
      </c>
      <c r="V679" s="198">
        <v>2201</v>
      </c>
      <c r="W679" s="202">
        <v>4.0999999999999996</v>
      </c>
      <c r="X679" s="203">
        <v>4.0999999999999996</v>
      </c>
      <c r="Y679" s="203">
        <v>0</v>
      </c>
      <c r="Z679" s="204">
        <v>4.4000000000000004</v>
      </c>
      <c r="AA679" s="203">
        <v>4.4000000000000004</v>
      </c>
      <c r="AB679" s="203">
        <v>0</v>
      </c>
      <c r="AD679" s="198">
        <v>2201</v>
      </c>
      <c r="AE679" s="202">
        <v>-0.10000000000000053</v>
      </c>
      <c r="AF679" s="203" t="s">
        <v>82</v>
      </c>
      <c r="AG679" s="203">
        <v>-0.1</v>
      </c>
      <c r="AH679" s="204" t="s">
        <v>82</v>
      </c>
      <c r="AI679" s="203" t="s">
        <v>82</v>
      </c>
      <c r="AJ679" s="203" t="s">
        <v>82</v>
      </c>
    </row>
    <row customFormat="1" r="680" s="205" spans="1:36" x14ac:dyDescent="0.2">
      <c r="A680" s="193">
        <v>676</v>
      </c>
      <c r="B680" s="215">
        <v>21</v>
      </c>
      <c r="C680" s="195" t="s">
        <v>431</v>
      </c>
      <c r="D680" s="195">
        <v>1</v>
      </c>
      <c r="E680" s="195" t="s">
        <v>432</v>
      </c>
      <c r="F680" s="196">
        <v>44563</v>
      </c>
      <c r="G680" s="197" t="s">
        <v>10</v>
      </c>
      <c r="H680" s="198">
        <v>2201</v>
      </c>
      <c r="I680" s="196" t="s">
        <v>437</v>
      </c>
      <c r="J680" s="199">
        <v>1605</v>
      </c>
      <c r="K680" s="198">
        <v>1759</v>
      </c>
      <c r="L680" s="216">
        <v>0</v>
      </c>
      <c r="M680" s="201"/>
      <c r="N680" s="199">
        <v>2201</v>
      </c>
      <c r="O680" s="202">
        <v>7.6</v>
      </c>
      <c r="P680" s="203">
        <v>7.5</v>
      </c>
      <c r="Q680" s="203">
        <v>0.1</v>
      </c>
      <c r="R680" s="204">
        <v>12</v>
      </c>
      <c r="S680" s="203">
        <v>12</v>
      </c>
      <c r="T680" s="203">
        <v>0</v>
      </c>
      <c r="V680" s="198">
        <v>2201</v>
      </c>
      <c r="W680" s="202">
        <v>7.5</v>
      </c>
      <c r="X680" s="203">
        <v>7.5</v>
      </c>
      <c r="Y680" s="203">
        <v>0</v>
      </c>
      <c r="Z680" s="204">
        <v>12</v>
      </c>
      <c r="AA680" s="203">
        <v>12</v>
      </c>
      <c r="AB680" s="203">
        <v>0</v>
      </c>
      <c r="AD680" s="198">
        <v>2201</v>
      </c>
      <c r="AE680" s="202">
        <v>-9.9999999999999645E-2</v>
      </c>
      <c r="AF680" s="203" t="s">
        <v>82</v>
      </c>
      <c r="AG680" s="203">
        <v>-0.1</v>
      </c>
      <c r="AH680" s="204" t="s">
        <v>82</v>
      </c>
      <c r="AI680" s="203" t="s">
        <v>82</v>
      </c>
      <c r="AJ680" s="203" t="s">
        <v>82</v>
      </c>
    </row>
    <row customFormat="1" r="681" s="205" spans="1:36" x14ac:dyDescent="0.2">
      <c r="A681" s="193">
        <v>677</v>
      </c>
      <c r="B681" s="215">
        <v>21</v>
      </c>
      <c r="C681" s="195" t="s">
        <v>431</v>
      </c>
      <c r="D681" s="195">
        <v>1</v>
      </c>
      <c r="E681" s="195" t="s">
        <v>432</v>
      </c>
      <c r="F681" s="196">
        <v>44564</v>
      </c>
      <c r="G681" s="197" t="s">
        <v>4</v>
      </c>
      <c r="H681" s="198">
        <v>2202</v>
      </c>
      <c r="I681" s="196" t="s">
        <v>271</v>
      </c>
      <c r="J681" s="199">
        <v>1630</v>
      </c>
      <c r="K681" s="198">
        <v>1729</v>
      </c>
      <c r="L681" s="216">
        <v>0</v>
      </c>
      <c r="M681" s="201"/>
      <c r="N681" s="199">
        <v>2202</v>
      </c>
      <c r="O681" s="202">
        <v>5.8</v>
      </c>
      <c r="P681" s="203">
        <v>5.6</v>
      </c>
      <c r="Q681" s="203">
        <v>0.2</v>
      </c>
      <c r="R681" s="204">
        <v>7.9</v>
      </c>
      <c r="S681" s="203">
        <v>7.9</v>
      </c>
      <c r="T681" s="203" t="s">
        <v>84</v>
      </c>
      <c r="V681" s="198">
        <v>2202</v>
      </c>
      <c r="W681" s="202">
        <v>5.7</v>
      </c>
      <c r="X681" s="203">
        <v>5.6</v>
      </c>
      <c r="Y681" s="203">
        <v>0.1</v>
      </c>
      <c r="Z681" s="204">
        <v>7.9</v>
      </c>
      <c r="AA681" s="203">
        <v>7.9</v>
      </c>
      <c r="AB681" s="203" t="s">
        <v>84</v>
      </c>
      <c r="AD681" s="198">
        <v>2202</v>
      </c>
      <c r="AE681" s="202">
        <v>-9.9999999999999645E-2</v>
      </c>
      <c r="AF681" s="203" t="s">
        <v>82</v>
      </c>
      <c r="AG681" s="203">
        <v>-0.1</v>
      </c>
      <c r="AH681" s="204" t="s">
        <v>82</v>
      </c>
      <c r="AI681" s="203" t="s">
        <v>82</v>
      </c>
      <c r="AJ681" s="203" t="s">
        <v>82</v>
      </c>
    </row>
    <row customFormat="1" r="682" s="205" spans="1:36" x14ac:dyDescent="0.2">
      <c r="A682" s="193">
        <v>678</v>
      </c>
      <c r="B682" s="215">
        <v>21</v>
      </c>
      <c r="C682" s="195" t="s">
        <v>431</v>
      </c>
      <c r="D682" s="195">
        <v>1</v>
      </c>
      <c r="E682" s="195" t="s">
        <v>432</v>
      </c>
      <c r="F682" s="196">
        <v>44570</v>
      </c>
      <c r="G682" s="197" t="s">
        <v>10</v>
      </c>
      <c r="H682" s="198">
        <v>2202</v>
      </c>
      <c r="I682" s="196" t="s">
        <v>438</v>
      </c>
      <c r="J682" s="199">
        <v>1555</v>
      </c>
      <c r="K682" s="198">
        <v>1724</v>
      </c>
      <c r="L682" s="216">
        <v>0</v>
      </c>
      <c r="M682" s="201"/>
      <c r="N682" s="199">
        <v>2202</v>
      </c>
      <c r="O682" s="202">
        <v>6.2</v>
      </c>
      <c r="P682" s="203">
        <v>6.1</v>
      </c>
      <c r="Q682" s="203">
        <v>0.1</v>
      </c>
      <c r="R682" s="204">
        <v>5.7</v>
      </c>
      <c r="S682" s="203">
        <v>5.7</v>
      </c>
      <c r="T682" s="203">
        <v>0</v>
      </c>
      <c r="V682" s="198">
        <v>2202</v>
      </c>
      <c r="W682" s="202">
        <v>6.2</v>
      </c>
      <c r="X682" s="203">
        <v>6.1</v>
      </c>
      <c r="Y682" s="203">
        <v>0.1</v>
      </c>
      <c r="Z682" s="204">
        <v>5.7</v>
      </c>
      <c r="AA682" s="203">
        <v>5.7</v>
      </c>
      <c r="AB682" s="203">
        <v>0</v>
      </c>
      <c r="AD682" s="198">
        <v>2202</v>
      </c>
      <c r="AE682" s="202"/>
      <c r="AF682" s="203" t="s">
        <v>82</v>
      </c>
      <c r="AG682" s="203" t="s">
        <v>82</v>
      </c>
      <c r="AH682" s="204" t="s">
        <v>82</v>
      </c>
      <c r="AI682" s="203" t="s">
        <v>82</v>
      </c>
      <c r="AJ682" s="203" t="s">
        <v>82</v>
      </c>
    </row>
    <row customFormat="1" r="683" s="205" spans="1:36" x14ac:dyDescent="0.2">
      <c r="A683" s="193">
        <v>679</v>
      </c>
      <c r="B683" s="215">
        <v>21</v>
      </c>
      <c r="C683" s="195" t="s">
        <v>431</v>
      </c>
      <c r="D683" s="195">
        <v>1</v>
      </c>
      <c r="E683" s="195" t="s">
        <v>432</v>
      </c>
      <c r="F683" s="196">
        <v>44577</v>
      </c>
      <c r="G683" s="197" t="s">
        <v>10</v>
      </c>
      <c r="H683" s="198">
        <v>2203</v>
      </c>
      <c r="I683" s="196" t="s">
        <v>439</v>
      </c>
      <c r="J683" s="199">
        <v>1700</v>
      </c>
      <c r="K683" s="198">
        <v>1724</v>
      </c>
      <c r="L683" s="216">
        <v>0</v>
      </c>
      <c r="M683" s="201"/>
      <c r="N683" s="199">
        <v>2203</v>
      </c>
      <c r="O683" s="202">
        <v>5.8</v>
      </c>
      <c r="P683" s="203">
        <v>5.4</v>
      </c>
      <c r="Q683" s="203">
        <v>0.4</v>
      </c>
      <c r="R683" s="204">
        <v>5.7</v>
      </c>
      <c r="S683" s="203">
        <v>5.5</v>
      </c>
      <c r="T683" s="203">
        <v>0.2</v>
      </c>
      <c r="V683" s="198">
        <v>2203</v>
      </c>
      <c r="W683" s="202">
        <v>5.5</v>
      </c>
      <c r="X683" s="203">
        <v>5.4</v>
      </c>
      <c r="Y683" s="203">
        <v>0.1</v>
      </c>
      <c r="Z683" s="204">
        <v>5.7</v>
      </c>
      <c r="AA683" s="203">
        <v>5.5</v>
      </c>
      <c r="AB683" s="203">
        <v>0.2</v>
      </c>
      <c r="AD683" s="198">
        <v>2203</v>
      </c>
      <c r="AE683" s="202">
        <v>-0.29999999999999982</v>
      </c>
      <c r="AF683" s="203" t="s">
        <v>82</v>
      </c>
      <c r="AG683" s="203">
        <v>-0.30000000000000004</v>
      </c>
      <c r="AH683" s="204" t="s">
        <v>82</v>
      </c>
      <c r="AI683" s="203" t="s">
        <v>82</v>
      </c>
      <c r="AJ683" s="203" t="s">
        <v>82</v>
      </c>
    </row>
    <row customFormat="1" r="684" s="205" spans="1:36" x14ac:dyDescent="0.2">
      <c r="A684" s="193">
        <v>680</v>
      </c>
      <c r="B684" s="215">
        <v>21</v>
      </c>
      <c r="C684" s="195" t="s">
        <v>431</v>
      </c>
      <c r="D684" s="195">
        <v>1</v>
      </c>
      <c r="E684" s="195" t="s">
        <v>432</v>
      </c>
      <c r="F684" s="196">
        <v>44584</v>
      </c>
      <c r="G684" s="197" t="s">
        <v>10</v>
      </c>
      <c r="H684" s="198">
        <v>2204</v>
      </c>
      <c r="I684" s="196" t="s">
        <v>439</v>
      </c>
      <c r="J684" s="199">
        <v>1700</v>
      </c>
      <c r="K684" s="198">
        <v>1724</v>
      </c>
      <c r="L684" s="216">
        <v>0</v>
      </c>
      <c r="M684" s="201"/>
      <c r="N684" s="199">
        <v>2204</v>
      </c>
      <c r="O684" s="202">
        <v>5.4</v>
      </c>
      <c r="P684" s="203">
        <v>5</v>
      </c>
      <c r="Q684" s="203">
        <v>0.4</v>
      </c>
      <c r="R684" s="204">
        <v>5</v>
      </c>
      <c r="S684" s="203">
        <v>4.8</v>
      </c>
      <c r="T684" s="203">
        <v>0.2</v>
      </c>
      <c r="V684" s="198">
        <v>2204</v>
      </c>
      <c r="W684" s="202">
        <v>5.0999999999999996</v>
      </c>
      <c r="X684" s="203">
        <v>5</v>
      </c>
      <c r="Y684" s="203">
        <v>0.1</v>
      </c>
      <c r="Z684" s="204">
        <v>5</v>
      </c>
      <c r="AA684" s="203">
        <v>4.8</v>
      </c>
      <c r="AB684" s="203">
        <v>0.2</v>
      </c>
      <c r="AD684" s="198">
        <v>2204</v>
      </c>
      <c r="AE684" s="202">
        <v>-0.30000000000000071</v>
      </c>
      <c r="AF684" s="203" t="s">
        <v>82</v>
      </c>
      <c r="AG684" s="203">
        <v>-0.30000000000000004</v>
      </c>
      <c r="AH684" s="204" t="s">
        <v>82</v>
      </c>
      <c r="AI684" s="203" t="s">
        <v>82</v>
      </c>
      <c r="AJ684" s="203" t="s">
        <v>82</v>
      </c>
    </row>
    <row customFormat="1" r="685" s="205" spans="1:36" x14ac:dyDescent="0.2">
      <c r="A685" s="193">
        <v>681</v>
      </c>
      <c r="B685" s="215">
        <v>21</v>
      </c>
      <c r="C685" s="195" t="s">
        <v>431</v>
      </c>
      <c r="D685" s="195">
        <v>2</v>
      </c>
      <c r="E685" s="195" t="s">
        <v>440</v>
      </c>
      <c r="F685" s="196">
        <v>44576</v>
      </c>
      <c r="G685" s="197" t="s">
        <v>9</v>
      </c>
      <c r="H685" s="198">
        <v>2203</v>
      </c>
      <c r="I685" s="196" t="s">
        <v>279</v>
      </c>
      <c r="J685" s="199">
        <v>1900</v>
      </c>
      <c r="K685" s="198">
        <v>2053</v>
      </c>
      <c r="L685" s="216">
        <v>0</v>
      </c>
      <c r="M685" s="201"/>
      <c r="N685" s="199">
        <v>2203</v>
      </c>
      <c r="O685" s="202">
        <v>5.4</v>
      </c>
      <c r="P685" s="203">
        <v>4.3</v>
      </c>
      <c r="Q685" s="203">
        <v>1.1000000000000001</v>
      </c>
      <c r="R685" s="204">
        <v>5.4</v>
      </c>
      <c r="S685" s="203">
        <v>5</v>
      </c>
      <c r="T685" s="203">
        <v>0.4</v>
      </c>
      <c r="V685" s="198">
        <v>2203</v>
      </c>
      <c r="W685" s="202">
        <v>4.5999999999999996</v>
      </c>
      <c r="X685" s="203">
        <v>4.3</v>
      </c>
      <c r="Y685" s="203">
        <v>0.3</v>
      </c>
      <c r="Z685" s="204">
        <v>5.4</v>
      </c>
      <c r="AA685" s="203">
        <v>5</v>
      </c>
      <c r="AB685" s="203">
        <v>0.4</v>
      </c>
      <c r="AD685" s="198">
        <v>2203</v>
      </c>
      <c r="AE685" s="202">
        <v>-0.80000000000000071</v>
      </c>
      <c r="AF685" s="203" t="s">
        <v>82</v>
      </c>
      <c r="AG685" s="203">
        <v>-0.8</v>
      </c>
      <c r="AH685" s="204" t="s">
        <v>82</v>
      </c>
      <c r="AI685" s="203" t="s">
        <v>82</v>
      </c>
      <c r="AJ685" s="203" t="s">
        <v>82</v>
      </c>
    </row>
    <row customFormat="1" r="686" s="205" spans="1:36" x14ac:dyDescent="0.2">
      <c r="A686" s="193">
        <v>682</v>
      </c>
      <c r="B686" s="215">
        <v>21</v>
      </c>
      <c r="C686" s="195" t="s">
        <v>431</v>
      </c>
      <c r="D686" s="195">
        <v>2</v>
      </c>
      <c r="E686" s="195" t="s">
        <v>440</v>
      </c>
      <c r="F686" s="196">
        <v>44583</v>
      </c>
      <c r="G686" s="197" t="s">
        <v>9</v>
      </c>
      <c r="H686" s="198">
        <v>2204</v>
      </c>
      <c r="I686" s="196" t="s">
        <v>280</v>
      </c>
      <c r="J686" s="199">
        <v>1900</v>
      </c>
      <c r="K686" s="198">
        <v>2053</v>
      </c>
      <c r="L686" s="216">
        <v>0</v>
      </c>
      <c r="M686" s="201"/>
      <c r="N686" s="199">
        <v>2204</v>
      </c>
      <c r="O686" s="202">
        <v>5.3</v>
      </c>
      <c r="P686" s="203">
        <v>4.3</v>
      </c>
      <c r="Q686" s="203">
        <v>1</v>
      </c>
      <c r="R686" s="204">
        <v>5.7</v>
      </c>
      <c r="S686" s="203">
        <v>5.3</v>
      </c>
      <c r="T686" s="203">
        <v>0.4</v>
      </c>
      <c r="V686" s="198">
        <v>2204</v>
      </c>
      <c r="W686" s="202">
        <v>4.5999999999999996</v>
      </c>
      <c r="X686" s="203">
        <v>4.3</v>
      </c>
      <c r="Y686" s="203">
        <v>0.3</v>
      </c>
      <c r="Z686" s="204">
        <v>5.7</v>
      </c>
      <c r="AA686" s="203">
        <v>5.3</v>
      </c>
      <c r="AB686" s="203">
        <v>0.4</v>
      </c>
      <c r="AD686" s="198">
        <v>2204</v>
      </c>
      <c r="AE686" s="202">
        <v>-0.70000000000000018</v>
      </c>
      <c r="AF686" s="203" t="s">
        <v>82</v>
      </c>
      <c r="AG686" s="203">
        <v>-0.7</v>
      </c>
      <c r="AH686" s="204" t="s">
        <v>82</v>
      </c>
      <c r="AI686" s="203" t="s">
        <v>82</v>
      </c>
      <c r="AJ686" s="203" t="s">
        <v>82</v>
      </c>
    </row>
    <row customFormat="1" r="687" s="205" spans="1:36" x14ac:dyDescent="0.2">
      <c r="A687" s="193">
        <v>683</v>
      </c>
      <c r="B687" s="215">
        <v>21</v>
      </c>
      <c r="C687" s="195" t="s">
        <v>431</v>
      </c>
      <c r="D687" s="195">
        <v>2</v>
      </c>
      <c r="E687" s="195" t="s">
        <v>440</v>
      </c>
      <c r="F687" s="196">
        <v>44590</v>
      </c>
      <c r="G687" s="197" t="s">
        <v>9</v>
      </c>
      <c r="H687" s="198">
        <v>2205</v>
      </c>
      <c r="I687" s="196" t="s">
        <v>281</v>
      </c>
      <c r="J687" s="199">
        <v>1900</v>
      </c>
      <c r="K687" s="198">
        <v>1959</v>
      </c>
      <c r="L687" s="216">
        <v>0</v>
      </c>
      <c r="M687" s="201"/>
      <c r="N687" s="199">
        <v>2205</v>
      </c>
      <c r="O687" s="202">
        <v>6.1</v>
      </c>
      <c r="P687" s="203">
        <v>4.0999999999999996</v>
      </c>
      <c r="Q687" s="203">
        <v>2</v>
      </c>
      <c r="R687" s="204">
        <v>4.5</v>
      </c>
      <c r="S687" s="203">
        <v>4.5</v>
      </c>
      <c r="T687" s="203" t="s">
        <v>84</v>
      </c>
      <c r="V687" s="198">
        <v>2205</v>
      </c>
      <c r="W687" s="202">
        <v>4.4000000000000004</v>
      </c>
      <c r="X687" s="203">
        <v>4.0999999999999996</v>
      </c>
      <c r="Y687" s="203">
        <v>0.3</v>
      </c>
      <c r="Z687" s="204">
        <v>4.5</v>
      </c>
      <c r="AA687" s="203">
        <v>4.5</v>
      </c>
      <c r="AB687" s="203" t="s">
        <v>84</v>
      </c>
      <c r="AD687" s="198">
        <v>2205</v>
      </c>
      <c r="AE687" s="202">
        <v>-1.6999999999999993</v>
      </c>
      <c r="AF687" s="203" t="s">
        <v>82</v>
      </c>
      <c r="AG687" s="203">
        <v>-1.7</v>
      </c>
      <c r="AH687" s="204" t="s">
        <v>82</v>
      </c>
      <c r="AI687" s="203" t="s">
        <v>82</v>
      </c>
      <c r="AJ687" s="203" t="s">
        <v>82</v>
      </c>
    </row>
    <row customFormat="1" r="688" s="205" spans="1:36" x14ac:dyDescent="0.2">
      <c r="A688" s="193">
        <v>684</v>
      </c>
      <c r="B688" s="215">
        <v>21</v>
      </c>
      <c r="C688" s="195" t="s">
        <v>431</v>
      </c>
      <c r="D688" s="195">
        <v>2</v>
      </c>
      <c r="E688" s="195" t="s">
        <v>440</v>
      </c>
      <c r="F688" s="196">
        <v>44597</v>
      </c>
      <c r="G688" s="197" t="s">
        <v>9</v>
      </c>
      <c r="H688" s="198">
        <v>2206</v>
      </c>
      <c r="I688" s="196" t="s">
        <v>281</v>
      </c>
      <c r="J688" s="199">
        <v>1900</v>
      </c>
      <c r="K688" s="198">
        <v>1959</v>
      </c>
      <c r="L688" s="216">
        <v>0</v>
      </c>
      <c r="M688" s="201"/>
      <c r="N688" s="199">
        <v>2206</v>
      </c>
      <c r="O688" s="202">
        <v>6.6</v>
      </c>
      <c r="P688" s="203">
        <v>4.5</v>
      </c>
      <c r="Q688" s="203">
        <v>2.1</v>
      </c>
      <c r="R688" s="204">
        <v>5.4</v>
      </c>
      <c r="S688" s="203">
        <v>5.4</v>
      </c>
      <c r="T688" s="203" t="s">
        <v>84</v>
      </c>
      <c r="V688" s="198">
        <v>2206</v>
      </c>
      <c r="W688" s="202">
        <v>4.9000000000000004</v>
      </c>
      <c r="X688" s="203">
        <v>4.5</v>
      </c>
      <c r="Y688" s="203">
        <v>0.4</v>
      </c>
      <c r="Z688" s="204">
        <v>5.4</v>
      </c>
      <c r="AA688" s="203">
        <v>5.4</v>
      </c>
      <c r="AB688" s="203" t="s">
        <v>84</v>
      </c>
      <c r="AD688" s="198">
        <v>2206</v>
      </c>
      <c r="AE688" s="202">
        <v>-1.6999999999999993</v>
      </c>
      <c r="AF688" s="203" t="s">
        <v>82</v>
      </c>
      <c r="AG688" s="203">
        <v>-1.7000000000000002</v>
      </c>
      <c r="AH688" s="204" t="s">
        <v>82</v>
      </c>
      <c r="AI688" s="203" t="s">
        <v>82</v>
      </c>
      <c r="AJ688" s="203" t="s">
        <v>82</v>
      </c>
    </row>
    <row customFormat="1" r="689" s="205" spans="1:36" x14ac:dyDescent="0.2">
      <c r="A689" s="193">
        <v>685</v>
      </c>
      <c r="B689" s="215">
        <v>21</v>
      </c>
      <c r="C689" s="195" t="s">
        <v>431</v>
      </c>
      <c r="D689" s="195">
        <v>3</v>
      </c>
      <c r="E689" s="195" t="s">
        <v>441</v>
      </c>
      <c r="F689" s="196">
        <v>44172</v>
      </c>
      <c r="G689" s="197" t="s">
        <v>4</v>
      </c>
      <c r="H689" s="198">
        <v>2050</v>
      </c>
      <c r="I689" s="196" t="s">
        <v>250</v>
      </c>
      <c r="J689" s="199">
        <v>1355</v>
      </c>
      <c r="K689" s="198">
        <v>1548</v>
      </c>
      <c r="L689" s="216">
        <v>0</v>
      </c>
      <c r="M689" s="201"/>
      <c r="N689" s="199">
        <v>2050</v>
      </c>
      <c r="O689" s="202">
        <v>2.4</v>
      </c>
      <c r="P689" s="203">
        <v>1.9</v>
      </c>
      <c r="Q689" s="203">
        <v>0.5</v>
      </c>
      <c r="R689" s="204">
        <v>1.5</v>
      </c>
      <c r="S689" s="203">
        <v>1.5</v>
      </c>
      <c r="T689" s="203" t="s">
        <v>84</v>
      </c>
      <c r="V689" s="198">
        <v>2050</v>
      </c>
      <c r="W689" s="202">
        <v>1.9</v>
      </c>
      <c r="X689" s="203">
        <v>1.9</v>
      </c>
      <c r="Y689" s="203">
        <v>0</v>
      </c>
      <c r="Z689" s="204">
        <v>1.5</v>
      </c>
      <c r="AA689" s="203">
        <v>1.5</v>
      </c>
      <c r="AB689" s="203" t="s">
        <v>84</v>
      </c>
      <c r="AD689" s="198">
        <v>2050</v>
      </c>
      <c r="AE689" s="202">
        <v>-0.5</v>
      </c>
      <c r="AF689" s="203" t="s">
        <v>82</v>
      </c>
      <c r="AG689" s="203">
        <v>-0.5</v>
      </c>
      <c r="AH689" s="204" t="s">
        <v>82</v>
      </c>
      <c r="AI689" s="203" t="s">
        <v>82</v>
      </c>
      <c r="AJ689" s="203" t="s">
        <v>82</v>
      </c>
    </row>
    <row customFormat="1" r="690" s="205" spans="1:36" x14ac:dyDescent="0.2">
      <c r="A690" s="193">
        <v>686</v>
      </c>
      <c r="B690" s="215">
        <v>21</v>
      </c>
      <c r="C690" s="195" t="s">
        <v>431</v>
      </c>
      <c r="D690" s="195">
        <v>3</v>
      </c>
      <c r="E690" s="195" t="s">
        <v>441</v>
      </c>
      <c r="F690" s="196">
        <v>44179</v>
      </c>
      <c r="G690" s="197" t="s">
        <v>4</v>
      </c>
      <c r="H690" s="198">
        <v>2051</v>
      </c>
      <c r="I690" s="196" t="s">
        <v>250</v>
      </c>
      <c r="J690" s="199">
        <v>1355</v>
      </c>
      <c r="K690" s="198">
        <v>1548</v>
      </c>
      <c r="L690" s="216">
        <v>0</v>
      </c>
      <c r="M690" s="201"/>
      <c r="N690" s="199">
        <v>2051</v>
      </c>
      <c r="O690" s="202">
        <v>2.4</v>
      </c>
      <c r="P690" s="203">
        <v>2</v>
      </c>
      <c r="Q690" s="203">
        <v>0.4</v>
      </c>
      <c r="R690" s="204">
        <v>1.9</v>
      </c>
      <c r="S690" s="203">
        <v>1.9</v>
      </c>
      <c r="T690" s="203" t="s">
        <v>84</v>
      </c>
      <c r="V690" s="198">
        <v>2051</v>
      </c>
      <c r="W690" s="202">
        <v>2</v>
      </c>
      <c r="X690" s="203">
        <v>2</v>
      </c>
      <c r="Y690" s="203">
        <v>0</v>
      </c>
      <c r="Z690" s="204">
        <v>1.9</v>
      </c>
      <c r="AA690" s="203">
        <v>1.9</v>
      </c>
      <c r="AB690" s="203" t="s">
        <v>84</v>
      </c>
      <c r="AD690" s="198">
        <v>2051</v>
      </c>
      <c r="AE690" s="202">
        <v>-0.39999999999999991</v>
      </c>
      <c r="AF690" s="203" t="s">
        <v>82</v>
      </c>
      <c r="AG690" s="203">
        <v>-0.4</v>
      </c>
      <c r="AH690" s="204" t="s">
        <v>82</v>
      </c>
      <c r="AI690" s="203" t="s">
        <v>82</v>
      </c>
      <c r="AJ690" s="203" t="s">
        <v>82</v>
      </c>
    </row>
    <row customFormat="1" r="691" s="205" spans="1:36" x14ac:dyDescent="0.2">
      <c r="A691" s="193">
        <v>687</v>
      </c>
      <c r="B691" s="215">
        <v>21</v>
      </c>
      <c r="C691" s="195" t="s">
        <v>431</v>
      </c>
      <c r="D691" s="195">
        <v>3</v>
      </c>
      <c r="E691" s="195" t="s">
        <v>441</v>
      </c>
      <c r="F691" s="196">
        <v>44186</v>
      </c>
      <c r="G691" s="197" t="s">
        <v>4</v>
      </c>
      <c r="H691" s="198">
        <v>2052</v>
      </c>
      <c r="I691" s="196" t="s">
        <v>250</v>
      </c>
      <c r="J691" s="199">
        <v>1355</v>
      </c>
      <c r="K691" s="198">
        <v>1548</v>
      </c>
      <c r="L691" s="216">
        <v>0</v>
      </c>
      <c r="M691" s="201"/>
      <c r="N691" s="199">
        <v>2052</v>
      </c>
      <c r="O691" s="202">
        <v>2.4</v>
      </c>
      <c r="P691" s="203">
        <v>2</v>
      </c>
      <c r="Q691" s="203">
        <v>0.4</v>
      </c>
      <c r="R691" s="204">
        <v>2.2000000000000002</v>
      </c>
      <c r="S691" s="203">
        <v>2.2000000000000002</v>
      </c>
      <c r="T691" s="203" t="s">
        <v>84</v>
      </c>
      <c r="V691" s="198">
        <v>2052</v>
      </c>
      <c r="W691" s="202">
        <v>2</v>
      </c>
      <c r="X691" s="203">
        <v>2</v>
      </c>
      <c r="Y691" s="203">
        <v>0</v>
      </c>
      <c r="Z691" s="204">
        <v>2.2000000000000002</v>
      </c>
      <c r="AA691" s="203">
        <v>2.2000000000000002</v>
      </c>
      <c r="AB691" s="203" t="s">
        <v>84</v>
      </c>
      <c r="AD691" s="198">
        <v>2052</v>
      </c>
      <c r="AE691" s="202">
        <v>-0.39999999999999991</v>
      </c>
      <c r="AF691" s="203" t="s">
        <v>82</v>
      </c>
      <c r="AG691" s="203">
        <v>-0.4</v>
      </c>
      <c r="AH691" s="204" t="s">
        <v>82</v>
      </c>
      <c r="AI691" s="203" t="s">
        <v>82</v>
      </c>
      <c r="AJ691" s="203" t="s">
        <v>82</v>
      </c>
    </row>
    <row customFormat="1" r="692" s="205" spans="1:36" x14ac:dyDescent="0.2">
      <c r="A692" s="193">
        <v>688</v>
      </c>
      <c r="B692" s="215">
        <v>21</v>
      </c>
      <c r="C692" s="195" t="s">
        <v>431</v>
      </c>
      <c r="D692" s="195">
        <v>3</v>
      </c>
      <c r="E692" s="195" t="s">
        <v>441</v>
      </c>
      <c r="F692" s="196">
        <v>44193</v>
      </c>
      <c r="G692" s="197" t="s">
        <v>4</v>
      </c>
      <c r="H692" s="198">
        <v>2101</v>
      </c>
      <c r="I692" s="196" t="s">
        <v>442</v>
      </c>
      <c r="J692" s="199">
        <v>1354</v>
      </c>
      <c r="K692" s="198">
        <v>1450</v>
      </c>
      <c r="L692" s="216">
        <v>0</v>
      </c>
      <c r="M692" s="201"/>
      <c r="N692" s="199">
        <v>2101</v>
      </c>
      <c r="O692" s="202">
        <v>2.8</v>
      </c>
      <c r="P692" s="203">
        <v>1.9</v>
      </c>
      <c r="Q692" s="203">
        <v>0.9</v>
      </c>
      <c r="R692" s="204">
        <v>2.2999999999999998</v>
      </c>
      <c r="S692" s="203">
        <v>2.2999999999999998</v>
      </c>
      <c r="T692" s="203" t="s">
        <v>84</v>
      </c>
      <c r="V692" s="198">
        <v>2101</v>
      </c>
      <c r="W692" s="202">
        <v>1.9</v>
      </c>
      <c r="X692" s="203">
        <v>1.9</v>
      </c>
      <c r="Y692" s="203">
        <v>0</v>
      </c>
      <c r="Z692" s="204">
        <v>2.2999999999999998</v>
      </c>
      <c r="AA692" s="203">
        <v>2.2999999999999998</v>
      </c>
      <c r="AB692" s="203" t="s">
        <v>84</v>
      </c>
      <c r="AD692" s="198">
        <v>2101</v>
      </c>
      <c r="AE692" s="202">
        <v>-0.89999999999999991</v>
      </c>
      <c r="AF692" s="203" t="s">
        <v>82</v>
      </c>
      <c r="AG692" s="203">
        <v>-0.9</v>
      </c>
      <c r="AH692" s="204" t="s">
        <v>82</v>
      </c>
      <c r="AI692" s="203" t="s">
        <v>82</v>
      </c>
      <c r="AJ692" s="203" t="s">
        <v>82</v>
      </c>
    </row>
    <row customFormat="1" r="693" s="205" spans="1:36" x14ac:dyDescent="0.2">
      <c r="A693" s="193">
        <v>689</v>
      </c>
      <c r="B693" s="215">
        <v>22</v>
      </c>
      <c r="C693" s="195" t="s">
        <v>443</v>
      </c>
      <c r="D693" s="195">
        <v>1</v>
      </c>
      <c r="E693" s="195" t="s">
        <v>444</v>
      </c>
      <c r="F693" s="196">
        <v>44060</v>
      </c>
      <c r="G693" s="197" t="s">
        <v>4</v>
      </c>
      <c r="H693" s="198">
        <v>2034</v>
      </c>
      <c r="I693" s="196" t="s">
        <v>395</v>
      </c>
      <c r="J693" s="199">
        <v>2000</v>
      </c>
      <c r="K693" s="198">
        <v>2059</v>
      </c>
      <c r="L693" s="216">
        <v>0</v>
      </c>
      <c r="M693" s="201"/>
      <c r="N693" s="199">
        <v>2034</v>
      </c>
      <c r="O693" s="202">
        <v>10.3</v>
      </c>
      <c r="P693" s="203">
        <v>9.6</v>
      </c>
      <c r="Q693" s="203">
        <v>0.7</v>
      </c>
      <c r="R693" s="204">
        <v>9</v>
      </c>
      <c r="S693" s="203">
        <v>9</v>
      </c>
      <c r="T693" s="203" t="s">
        <v>84</v>
      </c>
      <c r="V693" s="198">
        <v>2034</v>
      </c>
      <c r="W693" s="202">
        <v>10.199999999999999</v>
      </c>
      <c r="X693" s="203">
        <v>9.6</v>
      </c>
      <c r="Y693" s="203">
        <v>0.6</v>
      </c>
      <c r="Z693" s="204">
        <v>9</v>
      </c>
      <c r="AA693" s="203">
        <v>9</v>
      </c>
      <c r="AB693" s="203" t="s">
        <v>84</v>
      </c>
      <c r="AD693" s="198">
        <v>2034</v>
      </c>
      <c r="AE693" s="202">
        <v>-0.10000000000000142</v>
      </c>
      <c r="AF693" s="203" t="s">
        <v>82</v>
      </c>
      <c r="AG693" s="203">
        <v>-9.9999999999999978E-2</v>
      </c>
      <c r="AH693" s="204" t="s">
        <v>82</v>
      </c>
      <c r="AI693" s="203" t="s">
        <v>82</v>
      </c>
      <c r="AJ693" s="203" t="s">
        <v>82</v>
      </c>
    </row>
    <row customFormat="1" r="694" s="205" spans="1:36" x14ac:dyDescent="0.2">
      <c r="A694" s="193">
        <v>690</v>
      </c>
      <c r="B694" s="215">
        <v>22</v>
      </c>
      <c r="C694" s="195" t="s">
        <v>443</v>
      </c>
      <c r="D694" s="195">
        <v>1</v>
      </c>
      <c r="E694" s="195" t="s">
        <v>444</v>
      </c>
      <c r="F694" s="196">
        <v>44067</v>
      </c>
      <c r="G694" s="197" t="s">
        <v>4</v>
      </c>
      <c r="H694" s="198">
        <v>2035</v>
      </c>
      <c r="I694" s="196" t="s">
        <v>395</v>
      </c>
      <c r="J694" s="199">
        <v>2000</v>
      </c>
      <c r="K694" s="198">
        <v>2059</v>
      </c>
      <c r="L694" s="216">
        <v>0</v>
      </c>
      <c r="M694" s="201"/>
      <c r="N694" s="199">
        <v>2035</v>
      </c>
      <c r="O694" s="202">
        <v>10.4</v>
      </c>
      <c r="P694" s="203">
        <v>9.5</v>
      </c>
      <c r="Q694" s="203">
        <v>0.9</v>
      </c>
      <c r="R694" s="204">
        <v>8.6</v>
      </c>
      <c r="S694" s="203">
        <v>8.6</v>
      </c>
      <c r="T694" s="203" t="s">
        <v>84</v>
      </c>
      <c r="V694" s="198">
        <v>2035</v>
      </c>
      <c r="W694" s="202">
        <v>10.3</v>
      </c>
      <c r="X694" s="203">
        <v>9.5</v>
      </c>
      <c r="Y694" s="203">
        <v>0.8</v>
      </c>
      <c r="Z694" s="204">
        <v>8.6</v>
      </c>
      <c r="AA694" s="203">
        <v>8.6</v>
      </c>
      <c r="AB694" s="203" t="s">
        <v>84</v>
      </c>
      <c r="AD694" s="198">
        <v>2035</v>
      </c>
      <c r="AE694" s="202">
        <v>-9.9999999999999645E-2</v>
      </c>
      <c r="AF694" s="203" t="s">
        <v>82</v>
      </c>
      <c r="AG694" s="203">
        <v>-9.9999999999999978E-2</v>
      </c>
      <c r="AH694" s="204" t="s">
        <v>82</v>
      </c>
      <c r="AI694" s="203" t="s">
        <v>82</v>
      </c>
      <c r="AJ694" s="203" t="s">
        <v>82</v>
      </c>
    </row>
    <row customFormat="1" r="695" s="205" spans="1:36" x14ac:dyDescent="0.2">
      <c r="A695" s="193">
        <v>691</v>
      </c>
      <c r="B695" s="215">
        <v>22</v>
      </c>
      <c r="C695" s="195" t="s">
        <v>443</v>
      </c>
      <c r="D695" s="195">
        <v>1</v>
      </c>
      <c r="E695" s="195" t="s">
        <v>444</v>
      </c>
      <c r="F695" s="196">
        <v>44074</v>
      </c>
      <c r="G695" s="197" t="s">
        <v>4</v>
      </c>
      <c r="H695" s="198">
        <v>2036</v>
      </c>
      <c r="I695" s="196" t="s">
        <v>398</v>
      </c>
      <c r="J695" s="199">
        <v>1900</v>
      </c>
      <c r="K695" s="198">
        <v>2059</v>
      </c>
      <c r="L695" s="216">
        <v>0</v>
      </c>
      <c r="M695" s="201"/>
      <c r="N695" s="199">
        <v>2036</v>
      </c>
      <c r="O695" s="202">
        <v>10.1</v>
      </c>
      <c r="P695" s="203">
        <v>9</v>
      </c>
      <c r="Q695" s="203">
        <v>1.1000000000000001</v>
      </c>
      <c r="R695" s="204">
        <v>9.5</v>
      </c>
      <c r="S695" s="203">
        <v>9.5</v>
      </c>
      <c r="T695" s="203" t="s">
        <v>84</v>
      </c>
      <c r="V695" s="198">
        <v>2036</v>
      </c>
      <c r="W695" s="202">
        <v>10.1</v>
      </c>
      <c r="X695" s="203">
        <v>9</v>
      </c>
      <c r="Y695" s="203">
        <v>1.1000000000000001</v>
      </c>
      <c r="Z695" s="204">
        <v>9.5</v>
      </c>
      <c r="AA695" s="203">
        <v>9.5</v>
      </c>
      <c r="AB695" s="203" t="s">
        <v>84</v>
      </c>
      <c r="AD695" s="198">
        <v>2036</v>
      </c>
      <c r="AE695" s="202" t="s">
        <v>82</v>
      </c>
      <c r="AF695" s="203" t="s">
        <v>82</v>
      </c>
      <c r="AG695" s="203" t="s">
        <v>82</v>
      </c>
      <c r="AH695" s="204" t="s">
        <v>82</v>
      </c>
      <c r="AI695" s="203" t="s">
        <v>82</v>
      </c>
      <c r="AJ695" s="203" t="s">
        <v>82</v>
      </c>
    </row>
    <row customFormat="1" r="696" s="205" spans="1:36" x14ac:dyDescent="0.2">
      <c r="A696" s="193">
        <v>692</v>
      </c>
      <c r="B696" s="215">
        <v>22</v>
      </c>
      <c r="C696" s="195" t="s">
        <v>443</v>
      </c>
      <c r="D696" s="195">
        <v>1</v>
      </c>
      <c r="E696" s="195" t="s">
        <v>444</v>
      </c>
      <c r="F696" s="196">
        <v>44081</v>
      </c>
      <c r="G696" s="197" t="s">
        <v>4</v>
      </c>
      <c r="H696" s="198">
        <v>2037</v>
      </c>
      <c r="I696" s="196" t="s">
        <v>395</v>
      </c>
      <c r="J696" s="199">
        <v>2000</v>
      </c>
      <c r="K696" s="198">
        <v>2059</v>
      </c>
      <c r="L696" s="216">
        <v>0</v>
      </c>
      <c r="M696" s="201"/>
      <c r="N696" s="199">
        <v>2037</v>
      </c>
      <c r="O696" s="202">
        <v>10.8</v>
      </c>
      <c r="P696" s="203">
        <v>9.6999999999999993</v>
      </c>
      <c r="Q696" s="203">
        <v>1.1000000000000001</v>
      </c>
      <c r="R696" s="204">
        <v>9.3000000000000007</v>
      </c>
      <c r="S696" s="203">
        <v>9.3000000000000007</v>
      </c>
      <c r="T696" s="203" t="s">
        <v>84</v>
      </c>
      <c r="V696" s="198">
        <v>2037</v>
      </c>
      <c r="W696" s="202">
        <v>10.7</v>
      </c>
      <c r="X696" s="203">
        <v>9.6999999999999993</v>
      </c>
      <c r="Y696" s="203">
        <v>1</v>
      </c>
      <c r="Z696" s="204">
        <v>9.3000000000000007</v>
      </c>
      <c r="AA696" s="203">
        <v>9.3000000000000007</v>
      </c>
      <c r="AB696" s="203" t="s">
        <v>84</v>
      </c>
      <c r="AD696" s="198">
        <v>2037</v>
      </c>
      <c r="AE696" s="202">
        <v>-0.10000000000000142</v>
      </c>
      <c r="AF696" s="203" t="s">
        <v>82</v>
      </c>
      <c r="AG696" s="203">
        <v>-0.10000000000000009</v>
      </c>
      <c r="AH696" s="204" t="s">
        <v>82</v>
      </c>
      <c r="AI696" s="203" t="s">
        <v>82</v>
      </c>
      <c r="AJ696" s="203" t="s">
        <v>82</v>
      </c>
    </row>
    <row customFormat="1" r="697" s="205" spans="1:36" x14ac:dyDescent="0.2">
      <c r="A697" s="193">
        <v>693</v>
      </c>
      <c r="B697" s="215">
        <v>22</v>
      </c>
      <c r="C697" s="195" t="s">
        <v>443</v>
      </c>
      <c r="D697" s="195">
        <v>1</v>
      </c>
      <c r="E697" s="195" t="s">
        <v>444</v>
      </c>
      <c r="F697" s="196">
        <v>44440</v>
      </c>
      <c r="G697" s="197" t="s">
        <v>6</v>
      </c>
      <c r="H697" s="198">
        <v>2136</v>
      </c>
      <c r="I697" s="196" t="s">
        <v>205</v>
      </c>
      <c r="J697" s="199">
        <v>1355</v>
      </c>
      <c r="K697" s="198">
        <v>1549</v>
      </c>
      <c r="L697" s="216">
        <v>0</v>
      </c>
      <c r="M697" s="201"/>
      <c r="N697" s="199">
        <v>2136</v>
      </c>
      <c r="O697" s="202">
        <v>4.3</v>
      </c>
      <c r="P697" s="203">
        <v>4</v>
      </c>
      <c r="Q697" s="203">
        <v>0.3</v>
      </c>
      <c r="R697" s="204">
        <v>3.4</v>
      </c>
      <c r="S697" s="203">
        <v>3.4</v>
      </c>
      <c r="T697" s="203">
        <v>0</v>
      </c>
      <c r="V697" s="198">
        <v>2136</v>
      </c>
      <c r="W697" s="202">
        <v>4</v>
      </c>
      <c r="X697" s="203">
        <v>4</v>
      </c>
      <c r="Y697" s="203">
        <v>0</v>
      </c>
      <c r="Z697" s="204">
        <v>3.4</v>
      </c>
      <c r="AA697" s="203">
        <v>3.4</v>
      </c>
      <c r="AB697" s="203">
        <v>0</v>
      </c>
      <c r="AD697" s="198">
        <v>2136</v>
      </c>
      <c r="AE697" s="202">
        <v>-0.29999999999999982</v>
      </c>
      <c r="AF697" s="203" t="s">
        <v>82</v>
      </c>
      <c r="AG697" s="203">
        <v>-0.3</v>
      </c>
      <c r="AH697" s="204" t="s">
        <v>82</v>
      </c>
      <c r="AI697" s="203" t="s">
        <v>82</v>
      </c>
      <c r="AJ697" s="203" t="s">
        <v>82</v>
      </c>
    </row>
    <row customFormat="1" r="698" s="205" spans="1:36" x14ac:dyDescent="0.2">
      <c r="A698" s="193">
        <v>694</v>
      </c>
      <c r="B698" s="215">
        <v>22</v>
      </c>
      <c r="C698" s="195" t="s">
        <v>443</v>
      </c>
      <c r="D698" s="195">
        <v>1</v>
      </c>
      <c r="E698" s="195" t="s">
        <v>444</v>
      </c>
      <c r="F698" s="196">
        <v>44447</v>
      </c>
      <c r="G698" s="197" t="s">
        <v>6</v>
      </c>
      <c r="H698" s="198">
        <v>2137</v>
      </c>
      <c r="I698" s="196" t="s">
        <v>205</v>
      </c>
      <c r="J698" s="199">
        <v>1355</v>
      </c>
      <c r="K698" s="198">
        <v>1549</v>
      </c>
      <c r="L698" s="216">
        <v>0</v>
      </c>
      <c r="M698" s="201"/>
      <c r="N698" s="199">
        <v>2137</v>
      </c>
      <c r="O698" s="202">
        <v>4</v>
      </c>
      <c r="P698" s="203">
        <v>3.7</v>
      </c>
      <c r="Q698" s="203">
        <v>0.3</v>
      </c>
      <c r="R698" s="204">
        <v>3.3</v>
      </c>
      <c r="S698" s="203">
        <v>3.3</v>
      </c>
      <c r="T698" s="203">
        <v>0</v>
      </c>
      <c r="V698" s="198">
        <v>2137</v>
      </c>
      <c r="W698" s="202">
        <v>3.7</v>
      </c>
      <c r="X698" s="203">
        <v>3.7</v>
      </c>
      <c r="Y698" s="203">
        <v>0</v>
      </c>
      <c r="Z698" s="204">
        <v>3.3</v>
      </c>
      <c r="AA698" s="203">
        <v>3.3</v>
      </c>
      <c r="AB698" s="203">
        <v>0</v>
      </c>
      <c r="AD698" s="198">
        <v>2137</v>
      </c>
      <c r="AE698" s="202">
        <v>-0.29999999999999982</v>
      </c>
      <c r="AF698" s="203" t="s">
        <v>82</v>
      </c>
      <c r="AG698" s="203">
        <v>-0.3</v>
      </c>
      <c r="AH698" s="204" t="s">
        <v>82</v>
      </c>
      <c r="AI698" s="203" t="s">
        <v>82</v>
      </c>
      <c r="AJ698" s="203" t="s">
        <v>82</v>
      </c>
    </row>
    <row customFormat="1" r="699" s="205" spans="1:36" x14ac:dyDescent="0.2">
      <c r="A699" s="193">
        <v>695</v>
      </c>
      <c r="B699" s="215">
        <v>22</v>
      </c>
      <c r="C699" s="195" t="s">
        <v>443</v>
      </c>
      <c r="D699" s="195">
        <v>1</v>
      </c>
      <c r="E699" s="195" t="s">
        <v>444</v>
      </c>
      <c r="F699" s="196">
        <v>44454</v>
      </c>
      <c r="G699" s="197" t="s">
        <v>6</v>
      </c>
      <c r="H699" s="198">
        <v>2138</v>
      </c>
      <c r="I699" s="196" t="s">
        <v>205</v>
      </c>
      <c r="J699" s="199">
        <v>1355</v>
      </c>
      <c r="K699" s="198">
        <v>1549</v>
      </c>
      <c r="L699" s="216">
        <v>0</v>
      </c>
      <c r="M699" s="201"/>
      <c r="N699" s="199">
        <v>2138</v>
      </c>
      <c r="O699" s="202">
        <v>3.8</v>
      </c>
      <c r="P699" s="203">
        <v>3.5</v>
      </c>
      <c r="Q699" s="203">
        <v>0.3</v>
      </c>
      <c r="R699" s="204">
        <v>2.9</v>
      </c>
      <c r="S699" s="203">
        <v>2.9</v>
      </c>
      <c r="T699" s="203">
        <v>0</v>
      </c>
      <c r="V699" s="198">
        <v>2138</v>
      </c>
      <c r="W699" s="202">
        <v>3.5</v>
      </c>
      <c r="X699" s="203">
        <v>3.5</v>
      </c>
      <c r="Y699" s="203">
        <v>0</v>
      </c>
      <c r="Z699" s="204">
        <v>2.9</v>
      </c>
      <c r="AA699" s="203">
        <v>2.9</v>
      </c>
      <c r="AB699" s="203">
        <v>0</v>
      </c>
      <c r="AD699" s="198">
        <v>2138</v>
      </c>
      <c r="AE699" s="202">
        <v>-0.29999999999999982</v>
      </c>
      <c r="AF699" s="203" t="s">
        <v>82</v>
      </c>
      <c r="AG699" s="203">
        <v>-0.3</v>
      </c>
      <c r="AH699" s="204" t="s">
        <v>82</v>
      </c>
      <c r="AI699" s="203" t="s">
        <v>82</v>
      </c>
      <c r="AJ699" s="203" t="s">
        <v>82</v>
      </c>
    </row>
    <row customFormat="1" r="700" s="205" spans="1:36" x14ac:dyDescent="0.2">
      <c r="A700" s="193">
        <v>696</v>
      </c>
      <c r="B700" s="215">
        <v>22</v>
      </c>
      <c r="C700" s="195" t="s">
        <v>443</v>
      </c>
      <c r="D700" s="195">
        <v>1</v>
      </c>
      <c r="E700" s="195" t="s">
        <v>444</v>
      </c>
      <c r="F700" s="196">
        <v>44461</v>
      </c>
      <c r="G700" s="197" t="s">
        <v>6</v>
      </c>
      <c r="H700" s="198">
        <v>2139</v>
      </c>
      <c r="I700" s="196" t="s">
        <v>205</v>
      </c>
      <c r="J700" s="199">
        <v>1355</v>
      </c>
      <c r="K700" s="198">
        <v>1549</v>
      </c>
      <c r="L700" s="216">
        <v>0</v>
      </c>
      <c r="M700" s="201"/>
      <c r="N700" s="199">
        <v>2139</v>
      </c>
      <c r="O700" s="202">
        <v>3.5</v>
      </c>
      <c r="P700" s="203">
        <v>3.2</v>
      </c>
      <c r="Q700" s="203">
        <v>0.3</v>
      </c>
      <c r="R700" s="204">
        <v>3.1</v>
      </c>
      <c r="S700" s="203">
        <v>3.1</v>
      </c>
      <c r="T700" s="203">
        <v>0</v>
      </c>
      <c r="V700" s="198">
        <v>2139</v>
      </c>
      <c r="W700" s="202">
        <v>3.2</v>
      </c>
      <c r="X700" s="203">
        <v>3.2</v>
      </c>
      <c r="Y700" s="203">
        <v>0</v>
      </c>
      <c r="Z700" s="204">
        <v>3.1</v>
      </c>
      <c r="AA700" s="203">
        <v>3.1</v>
      </c>
      <c r="AB700" s="203">
        <v>0</v>
      </c>
      <c r="AD700" s="198">
        <v>2139</v>
      </c>
      <c r="AE700" s="202">
        <v>-0.29999999999999982</v>
      </c>
      <c r="AF700" s="203" t="s">
        <v>82</v>
      </c>
      <c r="AG700" s="203">
        <v>-0.3</v>
      </c>
      <c r="AH700" s="204" t="s">
        <v>82</v>
      </c>
      <c r="AI700" s="203" t="s">
        <v>82</v>
      </c>
      <c r="AJ700" s="203" t="s">
        <v>82</v>
      </c>
    </row>
    <row customFormat="1" r="701" s="205" spans="1:36" x14ac:dyDescent="0.2">
      <c r="A701" s="193">
        <v>697</v>
      </c>
      <c r="B701" s="215">
        <v>22</v>
      </c>
      <c r="C701" s="195" t="s">
        <v>443</v>
      </c>
      <c r="D701" s="195">
        <v>2</v>
      </c>
      <c r="E701" s="195" t="s">
        <v>445</v>
      </c>
      <c r="F701" s="196">
        <v>44128</v>
      </c>
      <c r="G701" s="197" t="s">
        <v>9</v>
      </c>
      <c r="H701" s="198">
        <v>2043</v>
      </c>
      <c r="I701" s="196" t="s">
        <v>446</v>
      </c>
      <c r="J701" s="199">
        <v>2430</v>
      </c>
      <c r="K701" s="198">
        <v>2527</v>
      </c>
      <c r="L701" s="216">
        <v>0</v>
      </c>
      <c r="M701" s="201"/>
      <c r="N701" s="199">
        <v>2043</v>
      </c>
      <c r="O701" s="202">
        <v>1</v>
      </c>
      <c r="P701" s="203">
        <v>0.9</v>
      </c>
      <c r="Q701" s="203">
        <v>0.1</v>
      </c>
      <c r="R701" s="204">
        <v>0.8</v>
      </c>
      <c r="S701" s="203">
        <v>0.8</v>
      </c>
      <c r="T701" s="203" t="s">
        <v>84</v>
      </c>
      <c r="V701" s="198">
        <v>2043</v>
      </c>
      <c r="W701" s="202">
        <v>0.9</v>
      </c>
      <c r="X701" s="203">
        <v>0.9</v>
      </c>
      <c r="Y701" s="203">
        <v>0</v>
      </c>
      <c r="Z701" s="204">
        <v>0.8</v>
      </c>
      <c r="AA701" s="203">
        <v>0.8</v>
      </c>
      <c r="AB701" s="203" t="s">
        <v>84</v>
      </c>
      <c r="AD701" s="198">
        <v>2043</v>
      </c>
      <c r="AE701" s="202">
        <v>-9.9999999999999978E-2</v>
      </c>
      <c r="AF701" s="203" t="s">
        <v>82</v>
      </c>
      <c r="AG701" s="203">
        <v>-0.1</v>
      </c>
      <c r="AH701" s="204" t="s">
        <v>82</v>
      </c>
      <c r="AI701" s="203" t="s">
        <v>82</v>
      </c>
      <c r="AJ701" s="203" t="s">
        <v>82</v>
      </c>
    </row>
    <row customFormat="1" r="702" s="205" spans="1:36" x14ac:dyDescent="0.2">
      <c r="A702" s="193">
        <v>698</v>
      </c>
      <c r="B702" s="215">
        <v>22</v>
      </c>
      <c r="C702" s="195" t="s">
        <v>443</v>
      </c>
      <c r="D702" s="195">
        <v>2</v>
      </c>
      <c r="E702" s="195" t="s">
        <v>445</v>
      </c>
      <c r="F702" s="196">
        <v>44135</v>
      </c>
      <c r="G702" s="197" t="s">
        <v>9</v>
      </c>
      <c r="H702" s="198">
        <v>2044</v>
      </c>
      <c r="I702" s="196" t="s">
        <v>447</v>
      </c>
      <c r="J702" s="199">
        <v>2458</v>
      </c>
      <c r="K702" s="198">
        <v>2527</v>
      </c>
      <c r="L702" s="216">
        <v>0</v>
      </c>
      <c r="M702" s="201"/>
      <c r="N702" s="199">
        <v>2044</v>
      </c>
      <c r="O702" s="202">
        <v>1.5</v>
      </c>
      <c r="P702" s="203">
        <v>1.2</v>
      </c>
      <c r="Q702" s="203">
        <v>0.3</v>
      </c>
      <c r="R702" s="204">
        <v>1.1000000000000001</v>
      </c>
      <c r="S702" s="203">
        <v>1.1000000000000001</v>
      </c>
      <c r="T702" s="203">
        <v>0</v>
      </c>
      <c r="V702" s="198">
        <v>2044</v>
      </c>
      <c r="W702" s="202">
        <v>1.3</v>
      </c>
      <c r="X702" s="203">
        <v>1.2</v>
      </c>
      <c r="Y702" s="203">
        <v>0.1</v>
      </c>
      <c r="Z702" s="204">
        <v>1.1000000000000001</v>
      </c>
      <c r="AA702" s="203">
        <v>1.1000000000000001</v>
      </c>
      <c r="AB702" s="203">
        <v>0</v>
      </c>
      <c r="AD702" s="198">
        <v>2044</v>
      </c>
      <c r="AE702" s="202">
        <v>-0.19999999999999996</v>
      </c>
      <c r="AF702" s="203" t="s">
        <v>82</v>
      </c>
      <c r="AG702" s="203">
        <v>-0.19999999999999998</v>
      </c>
      <c r="AH702" s="204" t="s">
        <v>82</v>
      </c>
      <c r="AI702" s="203" t="s">
        <v>82</v>
      </c>
      <c r="AJ702" s="203" t="s">
        <v>82</v>
      </c>
    </row>
    <row customFormat="1" r="703" s="205" spans="1:36" x14ac:dyDescent="0.2">
      <c r="A703" s="193">
        <v>699</v>
      </c>
      <c r="B703" s="215">
        <v>22</v>
      </c>
      <c r="C703" s="195" t="s">
        <v>443</v>
      </c>
      <c r="D703" s="195">
        <v>2</v>
      </c>
      <c r="E703" s="195" t="s">
        <v>445</v>
      </c>
      <c r="F703" s="196">
        <v>44142</v>
      </c>
      <c r="G703" s="197" t="s">
        <v>9</v>
      </c>
      <c r="H703" s="198">
        <v>2045</v>
      </c>
      <c r="I703" s="196" t="s">
        <v>447</v>
      </c>
      <c r="J703" s="199">
        <v>2458</v>
      </c>
      <c r="K703" s="198">
        <v>2527</v>
      </c>
      <c r="L703" s="216">
        <v>0</v>
      </c>
      <c r="M703" s="201"/>
      <c r="N703" s="199">
        <v>2045</v>
      </c>
      <c r="O703" s="202">
        <v>1.7</v>
      </c>
      <c r="P703" s="203">
        <v>1.4</v>
      </c>
      <c r="Q703" s="203">
        <v>0.3</v>
      </c>
      <c r="R703" s="204">
        <v>1.1000000000000001</v>
      </c>
      <c r="S703" s="203">
        <v>1.1000000000000001</v>
      </c>
      <c r="T703" s="203">
        <v>0</v>
      </c>
      <c r="V703" s="198">
        <v>2045</v>
      </c>
      <c r="W703" s="202">
        <v>1.5</v>
      </c>
      <c r="X703" s="203">
        <v>1.4</v>
      </c>
      <c r="Y703" s="203">
        <v>0.1</v>
      </c>
      <c r="Z703" s="204">
        <v>1.1000000000000001</v>
      </c>
      <c r="AA703" s="203">
        <v>1.1000000000000001</v>
      </c>
      <c r="AB703" s="203">
        <v>0</v>
      </c>
      <c r="AD703" s="198">
        <v>2045</v>
      </c>
      <c r="AE703" s="202">
        <v>-0.19999999999999996</v>
      </c>
      <c r="AF703" s="203" t="s">
        <v>82</v>
      </c>
      <c r="AG703" s="203">
        <v>-0.19999999999999998</v>
      </c>
      <c r="AH703" s="204" t="s">
        <v>82</v>
      </c>
      <c r="AI703" s="203" t="s">
        <v>82</v>
      </c>
      <c r="AJ703" s="203" t="s">
        <v>82</v>
      </c>
    </row>
    <row customFormat="1" r="704" s="205" spans="1:36" x14ac:dyDescent="0.2">
      <c r="A704" s="193">
        <v>700</v>
      </c>
      <c r="B704" s="215">
        <v>22</v>
      </c>
      <c r="C704" s="195" t="s">
        <v>443</v>
      </c>
      <c r="D704" s="195">
        <v>2</v>
      </c>
      <c r="E704" s="195" t="s">
        <v>445</v>
      </c>
      <c r="F704" s="196">
        <v>44149</v>
      </c>
      <c r="G704" s="197" t="s">
        <v>9</v>
      </c>
      <c r="H704" s="198">
        <v>2046</v>
      </c>
      <c r="I704" s="196" t="s">
        <v>447</v>
      </c>
      <c r="J704" s="199">
        <v>2515</v>
      </c>
      <c r="K704" s="198">
        <v>2544</v>
      </c>
      <c r="L704" s="216">
        <v>0</v>
      </c>
      <c r="M704" s="201"/>
      <c r="N704" s="199">
        <v>2046</v>
      </c>
      <c r="O704" s="202">
        <v>1.4</v>
      </c>
      <c r="P704" s="203">
        <v>1.1000000000000001</v>
      </c>
      <c r="Q704" s="203">
        <v>0.3</v>
      </c>
      <c r="R704" s="204">
        <v>1</v>
      </c>
      <c r="S704" s="203">
        <v>1</v>
      </c>
      <c r="T704" s="203" t="s">
        <v>84</v>
      </c>
      <c r="V704" s="198">
        <v>2046</v>
      </c>
      <c r="W704" s="202">
        <v>1.2</v>
      </c>
      <c r="X704" s="203">
        <v>1.1000000000000001</v>
      </c>
      <c r="Y704" s="203">
        <v>0.1</v>
      </c>
      <c r="Z704" s="204">
        <v>1</v>
      </c>
      <c r="AA704" s="203">
        <v>1</v>
      </c>
      <c r="AB704" s="203" t="s">
        <v>84</v>
      </c>
      <c r="AD704" s="198">
        <v>2046</v>
      </c>
      <c r="AE704" s="202">
        <v>-0.19999999999999996</v>
      </c>
      <c r="AF704" s="203" t="s">
        <v>82</v>
      </c>
      <c r="AG704" s="203">
        <v>-0.19999999999999998</v>
      </c>
      <c r="AH704" s="204" t="s">
        <v>82</v>
      </c>
      <c r="AI704" s="203" t="s">
        <v>82</v>
      </c>
      <c r="AJ704" s="203" t="s">
        <v>82</v>
      </c>
    </row>
    <row customFormat="1" r="705" s="205" spans="1:36" x14ac:dyDescent="0.2">
      <c r="A705" s="193">
        <v>701</v>
      </c>
      <c r="B705" s="215">
        <v>22</v>
      </c>
      <c r="C705" s="195" t="s">
        <v>443</v>
      </c>
      <c r="D705" s="195">
        <v>3</v>
      </c>
      <c r="E705" s="195" t="s">
        <v>448</v>
      </c>
      <c r="F705" s="196">
        <v>44057</v>
      </c>
      <c r="G705" s="197" t="s">
        <v>8</v>
      </c>
      <c r="H705" s="198">
        <v>2033</v>
      </c>
      <c r="I705" s="196" t="s">
        <v>449</v>
      </c>
      <c r="J705" s="199">
        <v>1900</v>
      </c>
      <c r="K705" s="198">
        <v>1959</v>
      </c>
      <c r="L705" s="216">
        <v>0</v>
      </c>
      <c r="M705" s="201"/>
      <c r="N705" s="199">
        <v>2033</v>
      </c>
      <c r="O705" s="202">
        <v>9.1</v>
      </c>
      <c r="P705" s="203">
        <v>8.1</v>
      </c>
      <c r="Q705" s="203">
        <v>1</v>
      </c>
      <c r="R705" s="204">
        <v>8.9</v>
      </c>
      <c r="S705" s="203">
        <v>8.9</v>
      </c>
      <c r="T705" s="203" t="s">
        <v>84</v>
      </c>
      <c r="V705" s="198">
        <v>2033</v>
      </c>
      <c r="W705" s="202">
        <v>9</v>
      </c>
      <c r="X705" s="203">
        <v>8.1</v>
      </c>
      <c r="Y705" s="203">
        <v>0.9</v>
      </c>
      <c r="Z705" s="204">
        <v>8.9</v>
      </c>
      <c r="AA705" s="203">
        <v>8.9</v>
      </c>
      <c r="AB705" s="203" t="s">
        <v>84</v>
      </c>
      <c r="AD705" s="198">
        <v>2033</v>
      </c>
      <c r="AE705" s="202">
        <v>-9.9999999999999645E-2</v>
      </c>
      <c r="AF705" s="203" t="s">
        <v>82</v>
      </c>
      <c r="AG705" s="203">
        <v>-9.9999999999999978E-2</v>
      </c>
      <c r="AH705" s="204" t="s">
        <v>82</v>
      </c>
      <c r="AI705" s="203" t="s">
        <v>82</v>
      </c>
      <c r="AJ705" s="203" t="s">
        <v>82</v>
      </c>
    </row>
    <row customFormat="1" r="706" s="205" spans="1:36" x14ac:dyDescent="0.2">
      <c r="A706" s="193">
        <v>702</v>
      </c>
      <c r="B706" s="215">
        <v>22</v>
      </c>
      <c r="C706" s="195" t="s">
        <v>443</v>
      </c>
      <c r="D706" s="195">
        <v>3</v>
      </c>
      <c r="E706" s="195" t="s">
        <v>448</v>
      </c>
      <c r="F706" s="196">
        <v>44064</v>
      </c>
      <c r="G706" s="197" t="s">
        <v>8</v>
      </c>
      <c r="H706" s="198">
        <v>2034</v>
      </c>
      <c r="I706" s="196" t="s">
        <v>449</v>
      </c>
      <c r="J706" s="199">
        <v>1900</v>
      </c>
      <c r="K706" s="198">
        <v>1959</v>
      </c>
      <c r="L706" s="216">
        <v>0</v>
      </c>
      <c r="M706" s="201"/>
      <c r="N706" s="199">
        <v>2034</v>
      </c>
      <c r="O706" s="202">
        <v>8.8000000000000007</v>
      </c>
      <c r="P706" s="203">
        <v>7.8</v>
      </c>
      <c r="Q706" s="203">
        <v>1</v>
      </c>
      <c r="R706" s="204">
        <v>8.9</v>
      </c>
      <c r="S706" s="203">
        <v>8.9</v>
      </c>
      <c r="T706" s="203" t="s">
        <v>84</v>
      </c>
      <c r="V706" s="198">
        <v>2034</v>
      </c>
      <c r="W706" s="202">
        <v>8.6999999999999993</v>
      </c>
      <c r="X706" s="203">
        <v>7.8</v>
      </c>
      <c r="Y706" s="203">
        <v>0.9</v>
      </c>
      <c r="Z706" s="204">
        <v>8.9</v>
      </c>
      <c r="AA706" s="203">
        <v>8.9</v>
      </c>
      <c r="AB706" s="203" t="s">
        <v>84</v>
      </c>
      <c r="AD706" s="198">
        <v>2034</v>
      </c>
      <c r="AE706" s="202">
        <v>-0.10000000000000142</v>
      </c>
      <c r="AF706" s="203" t="s">
        <v>82</v>
      </c>
      <c r="AG706" s="203">
        <v>-9.9999999999999978E-2</v>
      </c>
      <c r="AH706" s="204" t="s">
        <v>82</v>
      </c>
      <c r="AI706" s="203" t="s">
        <v>82</v>
      </c>
      <c r="AJ706" s="203" t="s">
        <v>82</v>
      </c>
    </row>
    <row customFormat="1" r="707" s="205" spans="1:36" x14ac:dyDescent="0.2">
      <c r="A707" s="193">
        <v>703</v>
      </c>
      <c r="B707" s="215">
        <v>22</v>
      </c>
      <c r="C707" s="195" t="s">
        <v>443</v>
      </c>
      <c r="D707" s="195">
        <v>3</v>
      </c>
      <c r="E707" s="195" t="s">
        <v>448</v>
      </c>
      <c r="F707" s="196">
        <v>44071</v>
      </c>
      <c r="G707" s="197" t="s">
        <v>8</v>
      </c>
      <c r="H707" s="198">
        <v>2035</v>
      </c>
      <c r="I707" s="196" t="s">
        <v>449</v>
      </c>
      <c r="J707" s="199">
        <v>1900</v>
      </c>
      <c r="K707" s="198">
        <v>1959</v>
      </c>
      <c r="L707" s="216">
        <v>0</v>
      </c>
      <c r="M707" s="201"/>
      <c r="N707" s="199">
        <v>2035</v>
      </c>
      <c r="O707" s="202">
        <v>8.8000000000000007</v>
      </c>
      <c r="P707" s="203">
        <v>7.8</v>
      </c>
      <c r="Q707" s="203">
        <v>1</v>
      </c>
      <c r="R707" s="204">
        <v>8.4</v>
      </c>
      <c r="S707" s="203">
        <v>8.4</v>
      </c>
      <c r="T707" s="203" t="s">
        <v>84</v>
      </c>
      <c r="V707" s="198">
        <v>2035</v>
      </c>
      <c r="W707" s="202">
        <v>8.8000000000000007</v>
      </c>
      <c r="X707" s="203">
        <v>7.8</v>
      </c>
      <c r="Y707" s="203">
        <v>1</v>
      </c>
      <c r="Z707" s="204">
        <v>8.4</v>
      </c>
      <c r="AA707" s="203">
        <v>8.4</v>
      </c>
      <c r="AB707" s="203" t="s">
        <v>84</v>
      </c>
      <c r="AD707" s="198">
        <v>2035</v>
      </c>
      <c r="AE707" s="202" t="s">
        <v>82</v>
      </c>
      <c r="AF707" s="203" t="s">
        <v>82</v>
      </c>
      <c r="AG707" s="203" t="s">
        <v>82</v>
      </c>
      <c r="AH707" s="204" t="s">
        <v>82</v>
      </c>
      <c r="AI707" s="203" t="s">
        <v>82</v>
      </c>
      <c r="AJ707" s="203" t="s">
        <v>82</v>
      </c>
    </row>
    <row customFormat="1" r="708" s="205" spans="1:36" x14ac:dyDescent="0.2">
      <c r="A708" s="193">
        <v>704</v>
      </c>
      <c r="B708" s="215">
        <v>22</v>
      </c>
      <c r="C708" s="195" t="s">
        <v>443</v>
      </c>
      <c r="D708" s="195">
        <v>3</v>
      </c>
      <c r="E708" s="195" t="s">
        <v>448</v>
      </c>
      <c r="F708" s="196">
        <v>44078</v>
      </c>
      <c r="G708" s="197" t="s">
        <v>8</v>
      </c>
      <c r="H708" s="198">
        <v>2036</v>
      </c>
      <c r="I708" s="196" t="s">
        <v>449</v>
      </c>
      <c r="J708" s="199">
        <v>1900</v>
      </c>
      <c r="K708" s="198">
        <v>1959</v>
      </c>
      <c r="L708" s="216">
        <v>0</v>
      </c>
      <c r="M708" s="201"/>
      <c r="N708" s="199">
        <v>2036</v>
      </c>
      <c r="O708" s="202">
        <v>7.9</v>
      </c>
      <c r="P708" s="203">
        <v>6.8</v>
      </c>
      <c r="Q708" s="203">
        <v>1.1000000000000001</v>
      </c>
      <c r="R708" s="204">
        <v>7.2</v>
      </c>
      <c r="S708" s="203">
        <v>7.2</v>
      </c>
      <c r="T708" s="203" t="s">
        <v>84</v>
      </c>
      <c r="V708" s="198">
        <v>2036</v>
      </c>
      <c r="W708" s="202">
        <v>7.8</v>
      </c>
      <c r="X708" s="203">
        <v>6.8</v>
      </c>
      <c r="Y708" s="203">
        <v>1</v>
      </c>
      <c r="Z708" s="204">
        <v>7.2</v>
      </c>
      <c r="AA708" s="203">
        <v>7.2</v>
      </c>
      <c r="AB708" s="203" t="s">
        <v>84</v>
      </c>
      <c r="AD708" s="198">
        <v>2036</v>
      </c>
      <c r="AE708" s="202">
        <v>-0.10000000000000053</v>
      </c>
      <c r="AF708" s="203" t="s">
        <v>82</v>
      </c>
      <c r="AG708" s="203">
        <v>-0.10000000000000009</v>
      </c>
      <c r="AH708" s="204" t="s">
        <v>82</v>
      </c>
      <c r="AI708" s="203" t="s">
        <v>82</v>
      </c>
      <c r="AJ708" s="203" t="s">
        <v>82</v>
      </c>
    </row>
    <row customFormat="1" r="709" s="205" spans="1:36" x14ac:dyDescent="0.2">
      <c r="A709" s="193">
        <v>705</v>
      </c>
      <c r="B709" s="215">
        <v>22</v>
      </c>
      <c r="C709" s="195" t="s">
        <v>443</v>
      </c>
      <c r="D709" s="195">
        <v>3</v>
      </c>
      <c r="E709" s="195" t="s">
        <v>448</v>
      </c>
      <c r="F709" s="196">
        <v>44367</v>
      </c>
      <c r="G709" s="197" t="s">
        <v>10</v>
      </c>
      <c r="H709" s="198">
        <v>2125</v>
      </c>
      <c r="I709" s="196" t="s">
        <v>145</v>
      </c>
      <c r="J709" s="199">
        <v>1900</v>
      </c>
      <c r="K709" s="198">
        <v>1957</v>
      </c>
      <c r="L709" s="216">
        <v>0</v>
      </c>
      <c r="M709" s="201"/>
      <c r="N709" s="199">
        <v>2125</v>
      </c>
      <c r="O709" s="202">
        <v>10.4</v>
      </c>
      <c r="P709" s="203">
        <v>10.1</v>
      </c>
      <c r="Q709" s="203">
        <v>0.3</v>
      </c>
      <c r="R709" s="204">
        <v>12.8</v>
      </c>
      <c r="S709" s="203">
        <v>12.8</v>
      </c>
      <c r="T709" s="203" t="s">
        <v>84</v>
      </c>
      <c r="V709" s="198">
        <v>2125</v>
      </c>
      <c r="W709" s="202">
        <v>10.1</v>
      </c>
      <c r="X709" s="203">
        <v>10.1</v>
      </c>
      <c r="Y709" s="203">
        <v>0</v>
      </c>
      <c r="Z709" s="204">
        <v>12.8</v>
      </c>
      <c r="AA709" s="203">
        <v>12.8</v>
      </c>
      <c r="AB709" s="203" t="s">
        <v>84</v>
      </c>
      <c r="AD709" s="198">
        <v>2125</v>
      </c>
      <c r="AE709" s="202">
        <v>-0.30000000000000071</v>
      </c>
      <c r="AF709" s="203" t="s">
        <v>82</v>
      </c>
      <c r="AG709" s="203">
        <v>-0.3</v>
      </c>
      <c r="AH709" s="204" t="s">
        <v>82</v>
      </c>
      <c r="AI709" s="203" t="s">
        <v>82</v>
      </c>
      <c r="AJ709" s="203" t="s">
        <v>82</v>
      </c>
    </row>
    <row customFormat="1" r="710" s="205" spans="1:36" x14ac:dyDescent="0.2">
      <c r="A710" s="193">
        <v>706</v>
      </c>
      <c r="B710" s="215">
        <v>22</v>
      </c>
      <c r="C710" s="195" t="s">
        <v>443</v>
      </c>
      <c r="D710" s="195">
        <v>3</v>
      </c>
      <c r="E710" s="195" t="s">
        <v>448</v>
      </c>
      <c r="F710" s="196">
        <v>44374</v>
      </c>
      <c r="G710" s="197" t="s">
        <v>10</v>
      </c>
      <c r="H710" s="198">
        <v>2126</v>
      </c>
      <c r="I710" s="196" t="s">
        <v>145</v>
      </c>
      <c r="J710" s="199">
        <v>1900</v>
      </c>
      <c r="K710" s="198">
        <v>1957</v>
      </c>
      <c r="L710" s="216">
        <v>0</v>
      </c>
      <c r="M710" s="201"/>
      <c r="N710" s="199">
        <v>2126</v>
      </c>
      <c r="O710" s="202">
        <v>10</v>
      </c>
      <c r="P710" s="203">
        <v>9.6</v>
      </c>
      <c r="Q710" s="203">
        <v>0.4</v>
      </c>
      <c r="R710" s="204">
        <v>13.1</v>
      </c>
      <c r="S710" s="203">
        <v>13.1</v>
      </c>
      <c r="T710" s="203" t="s">
        <v>84</v>
      </c>
      <c r="V710" s="198">
        <v>2126</v>
      </c>
      <c r="W710" s="202">
        <v>9.8000000000000007</v>
      </c>
      <c r="X710" s="203">
        <v>9.6</v>
      </c>
      <c r="Y710" s="203">
        <v>0.2</v>
      </c>
      <c r="Z710" s="204">
        <v>13.1</v>
      </c>
      <c r="AA710" s="203">
        <v>13.1</v>
      </c>
      <c r="AB710" s="203" t="s">
        <v>84</v>
      </c>
      <c r="AD710" s="198">
        <v>2126</v>
      </c>
      <c r="AE710" s="202">
        <v>-0.19999999999999929</v>
      </c>
      <c r="AF710" s="203" t="s">
        <v>82</v>
      </c>
      <c r="AG710" s="203">
        <v>-0.2</v>
      </c>
      <c r="AH710" s="204" t="s">
        <v>82</v>
      </c>
      <c r="AI710" s="203" t="s">
        <v>82</v>
      </c>
      <c r="AJ710" s="203" t="s">
        <v>82</v>
      </c>
    </row>
    <row customFormat="1" r="711" s="205" spans="1:36" x14ac:dyDescent="0.2">
      <c r="A711" s="193">
        <v>707</v>
      </c>
      <c r="B711" s="215">
        <v>22</v>
      </c>
      <c r="C711" s="195" t="s">
        <v>443</v>
      </c>
      <c r="D711" s="195">
        <v>3</v>
      </c>
      <c r="E711" s="195" t="s">
        <v>448</v>
      </c>
      <c r="F711" s="196">
        <v>44381</v>
      </c>
      <c r="G711" s="197" t="s">
        <v>10</v>
      </c>
      <c r="H711" s="198">
        <v>2127</v>
      </c>
      <c r="I711" s="196" t="s">
        <v>184</v>
      </c>
      <c r="J711" s="199">
        <v>1900</v>
      </c>
      <c r="K711" s="198">
        <v>2055</v>
      </c>
      <c r="L711" s="216">
        <v>0</v>
      </c>
      <c r="M711" s="201"/>
      <c r="N711" s="199">
        <v>2127</v>
      </c>
      <c r="O711" s="202">
        <v>12.4</v>
      </c>
      <c r="P711" s="203">
        <v>11.8</v>
      </c>
      <c r="Q711" s="203">
        <v>0.6</v>
      </c>
      <c r="R711" s="204">
        <v>8.3000000000000007</v>
      </c>
      <c r="S711" s="203">
        <v>8</v>
      </c>
      <c r="T711" s="203">
        <v>0.3</v>
      </c>
      <c r="V711" s="198">
        <v>2127</v>
      </c>
      <c r="W711" s="202">
        <v>12.3</v>
      </c>
      <c r="X711" s="203">
        <v>11.8</v>
      </c>
      <c r="Y711" s="203">
        <v>0.5</v>
      </c>
      <c r="Z711" s="204">
        <v>8.3000000000000007</v>
      </c>
      <c r="AA711" s="203">
        <v>8</v>
      </c>
      <c r="AB711" s="203">
        <v>0.3</v>
      </c>
      <c r="AD711" s="198">
        <v>2127</v>
      </c>
      <c r="AE711" s="202">
        <v>-9.9999999999999645E-2</v>
      </c>
      <c r="AF711" s="203" t="s">
        <v>82</v>
      </c>
      <c r="AG711" s="203">
        <v>-9.9999999999999978E-2</v>
      </c>
      <c r="AH711" s="204" t="s">
        <v>82</v>
      </c>
      <c r="AI711" s="203" t="s">
        <v>82</v>
      </c>
      <c r="AJ711" s="203" t="s">
        <v>82</v>
      </c>
    </row>
    <row customFormat="1" r="712" s="205" spans="1:36" x14ac:dyDescent="0.2">
      <c r="A712" s="193">
        <v>708</v>
      </c>
      <c r="B712" s="215">
        <v>22</v>
      </c>
      <c r="C712" s="195" t="s">
        <v>443</v>
      </c>
      <c r="D712" s="195">
        <v>3</v>
      </c>
      <c r="E712" s="195" t="s">
        <v>448</v>
      </c>
      <c r="F712" s="196">
        <v>44388</v>
      </c>
      <c r="G712" s="197" t="s">
        <v>10</v>
      </c>
      <c r="H712" s="198">
        <v>2128</v>
      </c>
      <c r="I712" s="196" t="s">
        <v>145</v>
      </c>
      <c r="J712" s="199">
        <v>1900</v>
      </c>
      <c r="K712" s="198">
        <v>1957</v>
      </c>
      <c r="L712" s="216">
        <v>0</v>
      </c>
      <c r="M712" s="201"/>
      <c r="N712" s="199">
        <v>2128</v>
      </c>
      <c r="O712" s="202">
        <v>8.9</v>
      </c>
      <c r="P712" s="203">
        <v>8.4</v>
      </c>
      <c r="Q712" s="203">
        <v>0.5</v>
      </c>
      <c r="R712" s="204">
        <v>10.8</v>
      </c>
      <c r="S712" s="203">
        <v>10.8</v>
      </c>
      <c r="T712" s="203" t="s">
        <v>84</v>
      </c>
      <c r="V712" s="198">
        <v>2128</v>
      </c>
      <c r="W712" s="202">
        <v>8.6</v>
      </c>
      <c r="X712" s="203">
        <v>8.4</v>
      </c>
      <c r="Y712" s="203">
        <v>0.2</v>
      </c>
      <c r="Z712" s="204">
        <v>10.8</v>
      </c>
      <c r="AA712" s="203">
        <v>10.8</v>
      </c>
      <c r="AB712" s="203" t="s">
        <v>84</v>
      </c>
      <c r="AD712" s="198">
        <v>2128</v>
      </c>
      <c r="AE712" s="202">
        <v>-0.30000000000000071</v>
      </c>
      <c r="AF712" s="203" t="s">
        <v>82</v>
      </c>
      <c r="AG712" s="203">
        <v>-0.3</v>
      </c>
      <c r="AH712" s="204" t="s">
        <v>82</v>
      </c>
      <c r="AI712" s="203" t="s">
        <v>82</v>
      </c>
      <c r="AJ712" s="203" t="s">
        <v>82</v>
      </c>
    </row>
    <row customFormat="1" r="713" s="205" spans="1:36" x14ac:dyDescent="0.2">
      <c r="A713" s="193">
        <v>709</v>
      </c>
      <c r="B713" s="215">
        <v>22</v>
      </c>
      <c r="C713" s="195" t="s">
        <v>443</v>
      </c>
      <c r="D713" s="195">
        <v>3</v>
      </c>
      <c r="E713" s="195" t="s">
        <v>448</v>
      </c>
      <c r="F713" s="196">
        <v>44477</v>
      </c>
      <c r="G713" s="197" t="s">
        <v>8</v>
      </c>
      <c r="H713" s="198">
        <v>2141</v>
      </c>
      <c r="I713" s="196" t="s">
        <v>450</v>
      </c>
      <c r="J713" s="199">
        <v>2415</v>
      </c>
      <c r="K713" s="198">
        <v>2514</v>
      </c>
      <c r="L713" s="216">
        <v>0</v>
      </c>
      <c r="M713" s="201"/>
      <c r="N713" s="199">
        <v>2141</v>
      </c>
      <c r="O713" s="202">
        <v>2.5</v>
      </c>
      <c r="P713" s="203">
        <v>1.6</v>
      </c>
      <c r="Q713" s="203">
        <v>0.9</v>
      </c>
      <c r="R713" s="204">
        <v>0.9</v>
      </c>
      <c r="S713" s="203">
        <v>0.9</v>
      </c>
      <c r="T713" s="203" t="s">
        <v>84</v>
      </c>
      <c r="V713" s="198">
        <v>2141</v>
      </c>
      <c r="W713" s="202">
        <v>1.8</v>
      </c>
      <c r="X713" s="203">
        <v>1.6</v>
      </c>
      <c r="Y713" s="203">
        <v>0.2</v>
      </c>
      <c r="Z713" s="204">
        <v>0.9</v>
      </c>
      <c r="AA713" s="203">
        <v>0.9</v>
      </c>
      <c r="AB713" s="203" t="s">
        <v>84</v>
      </c>
      <c r="AD713" s="198">
        <v>2141</v>
      </c>
      <c r="AE713" s="202">
        <v>-0.7</v>
      </c>
      <c r="AF713" s="203" t="s">
        <v>82</v>
      </c>
      <c r="AG713" s="203">
        <v>-0.7</v>
      </c>
      <c r="AH713" s="204" t="s">
        <v>82</v>
      </c>
      <c r="AI713" s="203" t="s">
        <v>82</v>
      </c>
      <c r="AJ713" s="203" t="s">
        <v>82</v>
      </c>
    </row>
    <row customFormat="1" r="714" s="205" spans="1:36" x14ac:dyDescent="0.2">
      <c r="A714" s="193">
        <v>710</v>
      </c>
      <c r="B714" s="215">
        <v>22</v>
      </c>
      <c r="C714" s="195" t="s">
        <v>443</v>
      </c>
      <c r="D714" s="195">
        <v>3</v>
      </c>
      <c r="E714" s="195" t="s">
        <v>448</v>
      </c>
      <c r="F714" s="196">
        <v>44484</v>
      </c>
      <c r="G714" s="197" t="s">
        <v>8</v>
      </c>
      <c r="H714" s="198">
        <v>2142</v>
      </c>
      <c r="I714" s="196" t="s">
        <v>450</v>
      </c>
      <c r="J714" s="199">
        <v>2415</v>
      </c>
      <c r="K714" s="198">
        <v>2514</v>
      </c>
      <c r="L714" s="216">
        <v>0</v>
      </c>
      <c r="M714" s="201"/>
      <c r="N714" s="199">
        <v>2142</v>
      </c>
      <c r="O714" s="202">
        <v>2.4</v>
      </c>
      <c r="P714" s="203">
        <v>1.6</v>
      </c>
      <c r="Q714" s="203">
        <v>0.8</v>
      </c>
      <c r="R714" s="204">
        <v>1</v>
      </c>
      <c r="S714" s="203">
        <v>1</v>
      </c>
      <c r="T714" s="203">
        <v>0</v>
      </c>
      <c r="V714" s="198">
        <v>2142</v>
      </c>
      <c r="W714" s="202">
        <v>1.7</v>
      </c>
      <c r="X714" s="203">
        <v>1.6</v>
      </c>
      <c r="Y714" s="203">
        <v>0.1</v>
      </c>
      <c r="Z714" s="204">
        <v>1</v>
      </c>
      <c r="AA714" s="203">
        <v>1</v>
      </c>
      <c r="AB714" s="203">
        <v>0</v>
      </c>
      <c r="AD714" s="198">
        <v>2142</v>
      </c>
      <c r="AE714" s="202">
        <v>-0.7</v>
      </c>
      <c r="AF714" s="203" t="s">
        <v>82</v>
      </c>
      <c r="AG714" s="203">
        <v>-0.70000000000000007</v>
      </c>
      <c r="AH714" s="204" t="s">
        <v>82</v>
      </c>
      <c r="AI714" s="203" t="s">
        <v>82</v>
      </c>
      <c r="AJ714" s="203" t="s">
        <v>82</v>
      </c>
    </row>
    <row customFormat="1" r="715" s="205" spans="1:36" x14ac:dyDescent="0.2">
      <c r="A715" s="193">
        <v>711</v>
      </c>
      <c r="B715" s="215">
        <v>22</v>
      </c>
      <c r="C715" s="195" t="s">
        <v>443</v>
      </c>
      <c r="D715" s="195">
        <v>3</v>
      </c>
      <c r="E715" s="195" t="s">
        <v>448</v>
      </c>
      <c r="F715" s="196">
        <v>44491</v>
      </c>
      <c r="G715" s="197" t="s">
        <v>8</v>
      </c>
      <c r="H715" s="198">
        <v>2143</v>
      </c>
      <c r="I715" s="196" t="s">
        <v>451</v>
      </c>
      <c r="J715" s="199">
        <v>2315</v>
      </c>
      <c r="K715" s="198">
        <v>2419</v>
      </c>
      <c r="L715" s="216">
        <v>0</v>
      </c>
      <c r="M715" s="201"/>
      <c r="N715" s="199">
        <v>2143</v>
      </c>
      <c r="O715" s="202">
        <v>3.4</v>
      </c>
      <c r="P715" s="203">
        <v>2.4</v>
      </c>
      <c r="Q715" s="203">
        <v>1</v>
      </c>
      <c r="R715" s="204">
        <v>1.5</v>
      </c>
      <c r="S715" s="203">
        <v>1.3</v>
      </c>
      <c r="T715" s="203">
        <v>0.2</v>
      </c>
      <c r="V715" s="198">
        <v>2143</v>
      </c>
      <c r="W715" s="202">
        <v>2.9</v>
      </c>
      <c r="X715" s="203">
        <v>2.4</v>
      </c>
      <c r="Y715" s="203">
        <v>0.5</v>
      </c>
      <c r="Z715" s="204">
        <v>1.5</v>
      </c>
      <c r="AA715" s="203">
        <v>1.3</v>
      </c>
      <c r="AB715" s="203">
        <v>0.2</v>
      </c>
      <c r="AD715" s="198">
        <v>2143</v>
      </c>
      <c r="AE715" s="202">
        <v>-0.5</v>
      </c>
      <c r="AF715" s="203" t="s">
        <v>82</v>
      </c>
      <c r="AG715" s="203">
        <v>-0.5</v>
      </c>
      <c r="AH715" s="204" t="s">
        <v>82</v>
      </c>
      <c r="AI715" s="203" t="s">
        <v>82</v>
      </c>
      <c r="AJ715" s="203" t="s">
        <v>82</v>
      </c>
    </row>
    <row customFormat="1" r="716" s="205" spans="1:36" x14ac:dyDescent="0.2">
      <c r="A716" s="193">
        <v>712</v>
      </c>
      <c r="B716" s="215">
        <v>22</v>
      </c>
      <c r="C716" s="195" t="s">
        <v>443</v>
      </c>
      <c r="D716" s="195">
        <v>3</v>
      </c>
      <c r="E716" s="195" t="s">
        <v>448</v>
      </c>
      <c r="F716" s="196">
        <v>44498</v>
      </c>
      <c r="G716" s="197" t="s">
        <v>8</v>
      </c>
      <c r="H716" s="198">
        <v>2144</v>
      </c>
      <c r="I716" s="196" t="s">
        <v>451</v>
      </c>
      <c r="J716" s="199">
        <v>2315</v>
      </c>
      <c r="K716" s="198">
        <v>2419</v>
      </c>
      <c r="L716" s="216">
        <v>0</v>
      </c>
      <c r="M716" s="201"/>
      <c r="N716" s="199">
        <v>2144</v>
      </c>
      <c r="O716" s="202">
        <v>3.6</v>
      </c>
      <c r="P716" s="203">
        <v>2.8</v>
      </c>
      <c r="Q716" s="203">
        <v>0.8</v>
      </c>
      <c r="R716" s="204">
        <v>1.6</v>
      </c>
      <c r="S716" s="203">
        <v>1.6</v>
      </c>
      <c r="T716" s="203">
        <v>0</v>
      </c>
      <c r="V716" s="198">
        <v>2144</v>
      </c>
      <c r="W716" s="202">
        <v>3</v>
      </c>
      <c r="X716" s="203">
        <v>2.8</v>
      </c>
      <c r="Y716" s="203">
        <v>0.2</v>
      </c>
      <c r="Z716" s="204">
        <v>1.6</v>
      </c>
      <c r="AA716" s="203">
        <v>1.6</v>
      </c>
      <c r="AB716" s="203">
        <v>0</v>
      </c>
      <c r="AD716" s="198">
        <v>2144</v>
      </c>
      <c r="AE716" s="202">
        <v>-0.60000000000000009</v>
      </c>
      <c r="AF716" s="203" t="s">
        <v>82</v>
      </c>
      <c r="AG716" s="203">
        <v>-0.60000000000000009</v>
      </c>
      <c r="AH716" s="204" t="s">
        <v>82</v>
      </c>
      <c r="AI716" s="203" t="s">
        <v>82</v>
      </c>
      <c r="AJ716" s="203" t="s">
        <v>82</v>
      </c>
    </row>
    <row customFormat="1" r="717" s="205" spans="1:36" x14ac:dyDescent="0.2">
      <c r="A717" s="193">
        <v>713</v>
      </c>
      <c r="B717" s="215">
        <v>22</v>
      </c>
      <c r="C717" s="195" t="s">
        <v>443</v>
      </c>
      <c r="D717" s="195">
        <v>3</v>
      </c>
      <c r="E717" s="195" t="s">
        <v>448</v>
      </c>
      <c r="F717" s="196">
        <v>44502</v>
      </c>
      <c r="G717" s="197" t="s">
        <v>5</v>
      </c>
      <c r="H717" s="198">
        <v>2145</v>
      </c>
      <c r="I717" s="196" t="s">
        <v>452</v>
      </c>
      <c r="J717" s="199">
        <v>1350</v>
      </c>
      <c r="K717" s="198">
        <v>1544</v>
      </c>
      <c r="L717" s="216">
        <v>0</v>
      </c>
      <c r="M717" s="201"/>
      <c r="N717" s="199">
        <v>2145</v>
      </c>
      <c r="O717" s="202">
        <v>2.2999999999999998</v>
      </c>
      <c r="P717" s="203">
        <v>1.6</v>
      </c>
      <c r="Q717" s="203">
        <v>0.7</v>
      </c>
      <c r="R717" s="204">
        <v>2.4</v>
      </c>
      <c r="S717" s="203">
        <v>2.2999999999999998</v>
      </c>
      <c r="T717" s="203">
        <v>0.1</v>
      </c>
      <c r="V717" s="198">
        <v>2145</v>
      </c>
      <c r="W717" s="202">
        <v>1.8</v>
      </c>
      <c r="X717" s="203">
        <v>1.6</v>
      </c>
      <c r="Y717" s="203">
        <v>0.2</v>
      </c>
      <c r="Z717" s="204">
        <v>2.4</v>
      </c>
      <c r="AA717" s="203">
        <v>2.2999999999999998</v>
      </c>
      <c r="AB717" s="203">
        <v>0.1</v>
      </c>
      <c r="AD717" s="198">
        <v>2145</v>
      </c>
      <c r="AE717" s="202">
        <v>-0.49999999999999978</v>
      </c>
      <c r="AF717" s="203" t="s">
        <v>82</v>
      </c>
      <c r="AG717" s="203">
        <v>-0.49999999999999994</v>
      </c>
      <c r="AH717" s="204" t="s">
        <v>82</v>
      </c>
      <c r="AI717" s="203" t="s">
        <v>82</v>
      </c>
      <c r="AJ717" s="203" t="s">
        <v>82</v>
      </c>
    </row>
    <row customFormat="1" r="718" s="205" spans="1:36" x14ac:dyDescent="0.2">
      <c r="A718" s="193">
        <v>714</v>
      </c>
      <c r="B718" s="215">
        <v>22</v>
      </c>
      <c r="C718" s="195" t="s">
        <v>443</v>
      </c>
      <c r="D718" s="195">
        <v>3</v>
      </c>
      <c r="E718" s="195" t="s">
        <v>448</v>
      </c>
      <c r="F718" s="196">
        <v>44509</v>
      </c>
      <c r="G718" s="197" t="s">
        <v>5</v>
      </c>
      <c r="H718" s="198">
        <v>2146</v>
      </c>
      <c r="I718" s="196" t="s">
        <v>453</v>
      </c>
      <c r="J718" s="199">
        <v>1350</v>
      </c>
      <c r="K718" s="198">
        <v>1544</v>
      </c>
      <c r="L718" s="216">
        <v>0</v>
      </c>
      <c r="M718" s="201"/>
      <c r="N718" s="199">
        <v>2146</v>
      </c>
      <c r="O718" s="202">
        <v>2.2999999999999998</v>
      </c>
      <c r="P718" s="203">
        <v>1.6</v>
      </c>
      <c r="Q718" s="203">
        <v>0.7</v>
      </c>
      <c r="R718" s="204">
        <v>2.2000000000000002</v>
      </c>
      <c r="S718" s="203">
        <v>2.1</v>
      </c>
      <c r="T718" s="203">
        <v>0.1</v>
      </c>
      <c r="V718" s="198">
        <v>2146</v>
      </c>
      <c r="W718" s="202">
        <v>1.8</v>
      </c>
      <c r="X718" s="203">
        <v>1.6</v>
      </c>
      <c r="Y718" s="203">
        <v>0.2</v>
      </c>
      <c r="Z718" s="204">
        <v>2.2000000000000002</v>
      </c>
      <c r="AA718" s="203">
        <v>2.1</v>
      </c>
      <c r="AB718" s="203">
        <v>0.1</v>
      </c>
      <c r="AD718" s="198">
        <v>2146</v>
      </c>
      <c r="AE718" s="202">
        <v>-0.49999999999999978</v>
      </c>
      <c r="AF718" s="203" t="s">
        <v>82</v>
      </c>
      <c r="AG718" s="203">
        <v>-0.49999999999999994</v>
      </c>
      <c r="AH718" s="204" t="s">
        <v>82</v>
      </c>
      <c r="AI718" s="203" t="s">
        <v>82</v>
      </c>
      <c r="AJ718" s="203" t="s">
        <v>82</v>
      </c>
    </row>
    <row customFormat="1" r="719" s="205" spans="1:36" x14ac:dyDescent="0.2">
      <c r="A719" s="193">
        <v>715</v>
      </c>
      <c r="B719" s="215">
        <v>22</v>
      </c>
      <c r="C719" s="195" t="s">
        <v>443</v>
      </c>
      <c r="D719" s="195">
        <v>3</v>
      </c>
      <c r="E719" s="195" t="s">
        <v>448</v>
      </c>
      <c r="F719" s="196">
        <v>44516</v>
      </c>
      <c r="G719" s="197" t="s">
        <v>5</v>
      </c>
      <c r="H719" s="198">
        <v>2147</v>
      </c>
      <c r="I719" s="196" t="s">
        <v>454</v>
      </c>
      <c r="J719" s="199">
        <v>1445</v>
      </c>
      <c r="K719" s="198">
        <v>1544</v>
      </c>
      <c r="L719" s="216">
        <v>0</v>
      </c>
      <c r="M719" s="201"/>
      <c r="N719" s="199">
        <v>2147</v>
      </c>
      <c r="O719" s="202">
        <v>2.7</v>
      </c>
      <c r="P719" s="203">
        <v>1.7</v>
      </c>
      <c r="Q719" s="203">
        <v>1</v>
      </c>
      <c r="R719" s="204">
        <v>2.1</v>
      </c>
      <c r="S719" s="203">
        <v>2</v>
      </c>
      <c r="T719" s="203">
        <v>0.1</v>
      </c>
      <c r="V719" s="198">
        <v>2147</v>
      </c>
      <c r="W719" s="202">
        <v>1.9</v>
      </c>
      <c r="X719" s="203">
        <v>1.7</v>
      </c>
      <c r="Y719" s="203">
        <v>0.2</v>
      </c>
      <c r="Z719" s="204">
        <v>2.1</v>
      </c>
      <c r="AA719" s="203">
        <v>2</v>
      </c>
      <c r="AB719" s="203">
        <v>0.1</v>
      </c>
      <c r="AD719" s="198">
        <v>2147</v>
      </c>
      <c r="AE719" s="202">
        <v>-0.80000000000000027</v>
      </c>
      <c r="AF719" s="203" t="s">
        <v>82</v>
      </c>
      <c r="AG719" s="203">
        <v>-0.8</v>
      </c>
      <c r="AH719" s="204" t="s">
        <v>82</v>
      </c>
      <c r="AI719" s="203" t="s">
        <v>82</v>
      </c>
      <c r="AJ719" s="203" t="s">
        <v>82</v>
      </c>
    </row>
    <row customFormat="1" r="720" s="205" spans="1:36" x14ac:dyDescent="0.2">
      <c r="A720" s="193">
        <v>716</v>
      </c>
      <c r="B720" s="215">
        <v>22</v>
      </c>
      <c r="C720" s="195" t="s">
        <v>443</v>
      </c>
      <c r="D720" s="195">
        <v>3</v>
      </c>
      <c r="E720" s="195" t="s">
        <v>448</v>
      </c>
      <c r="F720" s="196">
        <v>44523</v>
      </c>
      <c r="G720" s="197" t="s">
        <v>5</v>
      </c>
      <c r="H720" s="198">
        <v>2148</v>
      </c>
      <c r="I720" s="196" t="s">
        <v>455</v>
      </c>
      <c r="J720" s="199">
        <v>1445</v>
      </c>
      <c r="K720" s="198">
        <v>1544</v>
      </c>
      <c r="L720" s="216">
        <v>0</v>
      </c>
      <c r="M720" s="201"/>
      <c r="N720" s="199">
        <v>2148</v>
      </c>
      <c r="O720" s="202">
        <v>2.8</v>
      </c>
      <c r="P720" s="203">
        <v>1.7</v>
      </c>
      <c r="Q720" s="203">
        <v>1.1000000000000001</v>
      </c>
      <c r="R720" s="204">
        <v>2.1</v>
      </c>
      <c r="S720" s="203">
        <v>2</v>
      </c>
      <c r="T720" s="203">
        <v>0.1</v>
      </c>
      <c r="V720" s="198">
        <v>2148</v>
      </c>
      <c r="W720" s="202">
        <v>1.9</v>
      </c>
      <c r="X720" s="203">
        <v>1.7</v>
      </c>
      <c r="Y720" s="203">
        <v>0.2</v>
      </c>
      <c r="Z720" s="204">
        <v>2.1</v>
      </c>
      <c r="AA720" s="203">
        <v>2</v>
      </c>
      <c r="AB720" s="203">
        <v>0.1</v>
      </c>
      <c r="AD720" s="198">
        <v>2148</v>
      </c>
      <c r="AE720" s="202">
        <v>-0.89999999999999991</v>
      </c>
      <c r="AF720" s="203" t="s">
        <v>82</v>
      </c>
      <c r="AG720" s="203">
        <v>-0.90000000000000013</v>
      </c>
      <c r="AH720" s="204" t="s">
        <v>82</v>
      </c>
      <c r="AI720" s="203" t="s">
        <v>82</v>
      </c>
      <c r="AJ720" s="203" t="s">
        <v>82</v>
      </c>
    </row>
    <row customFormat="1" r="721" s="205" spans="1:36" x14ac:dyDescent="0.2">
      <c r="A721" s="193">
        <v>717</v>
      </c>
      <c r="B721" s="215">
        <v>23</v>
      </c>
      <c r="C721" s="195" t="s">
        <v>456</v>
      </c>
      <c r="D721" s="195">
        <v>2</v>
      </c>
      <c r="E721" s="195" t="s">
        <v>457</v>
      </c>
      <c r="F721" s="196">
        <v>44555</v>
      </c>
      <c r="G721" s="197" t="s">
        <v>9</v>
      </c>
      <c r="H721" s="198">
        <v>2152</v>
      </c>
      <c r="I721" s="196" t="s">
        <v>458</v>
      </c>
      <c r="J721" s="199">
        <v>1730</v>
      </c>
      <c r="K721" s="198">
        <v>1754</v>
      </c>
      <c r="L721" s="216">
        <v>1</v>
      </c>
      <c r="M721" s="201"/>
      <c r="N721" s="199">
        <v>2152</v>
      </c>
      <c r="O721" s="202">
        <v>13.1</v>
      </c>
      <c r="P721" s="203">
        <v>13</v>
      </c>
      <c r="Q721" s="203">
        <v>0.1</v>
      </c>
      <c r="R721" s="204">
        <v>13.3</v>
      </c>
      <c r="S721" s="203">
        <v>12.5</v>
      </c>
      <c r="T721" s="203">
        <v>0.8</v>
      </c>
      <c r="V721" s="198">
        <v>2152</v>
      </c>
      <c r="W721" s="202">
        <v>13</v>
      </c>
      <c r="X721" s="203">
        <v>13</v>
      </c>
      <c r="Y721" s="203">
        <v>0</v>
      </c>
      <c r="Z721" s="204">
        <v>12.5</v>
      </c>
      <c r="AA721" s="203">
        <v>12.5</v>
      </c>
      <c r="AB721" s="203">
        <v>0</v>
      </c>
      <c r="AD721" s="198">
        <v>2152</v>
      </c>
      <c r="AE721" s="202">
        <v>-9.9999999999999645E-2</v>
      </c>
      <c r="AF721" s="203" t="s">
        <v>82</v>
      </c>
      <c r="AG721" s="203">
        <v>-0.1</v>
      </c>
      <c r="AH721" s="204">
        <v>-0.80000000000000071</v>
      </c>
      <c r="AI721" s="203" t="s">
        <v>82</v>
      </c>
      <c r="AJ721" s="203">
        <v>-0.8</v>
      </c>
    </row>
    <row customFormat="1" r="722" s="205" spans="1:36" x14ac:dyDescent="0.2">
      <c r="A722" s="193">
        <v>718</v>
      </c>
      <c r="B722" s="215">
        <v>23</v>
      </c>
      <c r="C722" s="195" t="s">
        <v>456</v>
      </c>
      <c r="D722" s="195">
        <v>2</v>
      </c>
      <c r="E722" s="195" t="s">
        <v>457</v>
      </c>
      <c r="F722" s="196">
        <v>44562</v>
      </c>
      <c r="G722" s="197" t="s">
        <v>9</v>
      </c>
      <c r="H722" s="198">
        <v>2201</v>
      </c>
      <c r="I722" s="196" t="s">
        <v>459</v>
      </c>
      <c r="J722" s="199">
        <v>1600</v>
      </c>
      <c r="K722" s="198">
        <v>1759</v>
      </c>
      <c r="L722" s="216">
        <v>0</v>
      </c>
      <c r="M722" s="201"/>
      <c r="N722" s="199">
        <v>2201</v>
      </c>
      <c r="O722" s="202">
        <v>10.6</v>
      </c>
      <c r="P722" s="203">
        <v>10.3</v>
      </c>
      <c r="Q722" s="203">
        <v>0.3</v>
      </c>
      <c r="R722" s="204">
        <v>10.8</v>
      </c>
      <c r="S722" s="203">
        <v>10.8</v>
      </c>
      <c r="T722" s="203" t="s">
        <v>84</v>
      </c>
      <c r="V722" s="198">
        <v>2201</v>
      </c>
      <c r="W722" s="202">
        <v>10.6</v>
      </c>
      <c r="X722" s="203">
        <v>10.3</v>
      </c>
      <c r="Y722" s="203">
        <v>0.3</v>
      </c>
      <c r="Z722" s="204">
        <v>10.8</v>
      </c>
      <c r="AA722" s="203">
        <v>10.8</v>
      </c>
      <c r="AB722" s="203" t="s">
        <v>84</v>
      </c>
      <c r="AD722" s="198">
        <v>2201</v>
      </c>
      <c r="AE722" s="202"/>
      <c r="AF722" s="203" t="s">
        <v>82</v>
      </c>
      <c r="AG722" s="203" t="s">
        <v>82</v>
      </c>
      <c r="AH722" s="204" t="s">
        <v>82</v>
      </c>
      <c r="AI722" s="203" t="s">
        <v>82</v>
      </c>
      <c r="AJ722" s="203" t="s">
        <v>82</v>
      </c>
    </row>
    <row customFormat="1" r="723" s="205" spans="1:36" x14ac:dyDescent="0.2">
      <c r="A723" s="193">
        <v>719</v>
      </c>
      <c r="B723" s="215">
        <v>23</v>
      </c>
      <c r="C723" s="195" t="s">
        <v>456</v>
      </c>
      <c r="D723" s="195">
        <v>2</v>
      </c>
      <c r="E723" s="195" t="s">
        <v>457</v>
      </c>
      <c r="F723" s="196">
        <v>44569</v>
      </c>
      <c r="G723" s="197" t="s">
        <v>9</v>
      </c>
      <c r="H723" s="198">
        <v>2202</v>
      </c>
      <c r="I723" s="196" t="s">
        <v>458</v>
      </c>
      <c r="J723" s="199">
        <v>1730</v>
      </c>
      <c r="K723" s="198">
        <v>1754</v>
      </c>
      <c r="L723" s="216">
        <v>1</v>
      </c>
      <c r="M723" s="201"/>
      <c r="N723" s="199">
        <v>2202</v>
      </c>
      <c r="O723" s="202">
        <v>11.8</v>
      </c>
      <c r="P723" s="203">
        <v>11.7</v>
      </c>
      <c r="Q723" s="203">
        <v>0.1</v>
      </c>
      <c r="R723" s="204">
        <v>12.2</v>
      </c>
      <c r="S723" s="203">
        <v>11.2</v>
      </c>
      <c r="T723" s="203">
        <v>1</v>
      </c>
      <c r="V723" s="198">
        <v>2202</v>
      </c>
      <c r="W723" s="202">
        <v>11.7</v>
      </c>
      <c r="X723" s="203">
        <v>11.7</v>
      </c>
      <c r="Y723" s="203">
        <v>0</v>
      </c>
      <c r="Z723" s="204">
        <v>11.2</v>
      </c>
      <c r="AA723" s="203">
        <v>11.2</v>
      </c>
      <c r="AB723" s="203">
        <v>0</v>
      </c>
      <c r="AD723" s="198">
        <v>2202</v>
      </c>
      <c r="AE723" s="202">
        <v>-0.10000000000000142</v>
      </c>
      <c r="AF723" s="203" t="s">
        <v>82</v>
      </c>
      <c r="AG723" s="203">
        <v>-0.1</v>
      </c>
      <c r="AH723" s="204">
        <v>-1</v>
      </c>
      <c r="AI723" s="203" t="s">
        <v>82</v>
      </c>
      <c r="AJ723" s="203">
        <v>-1</v>
      </c>
    </row>
    <row customFormat="1" r="724" s="205" spans="1:36" x14ac:dyDescent="0.2">
      <c r="A724" s="193">
        <v>720</v>
      </c>
      <c r="B724" s="215">
        <v>23</v>
      </c>
      <c r="C724" s="195" t="s">
        <v>456</v>
      </c>
      <c r="D724" s="195">
        <v>2</v>
      </c>
      <c r="E724" s="195" t="s">
        <v>457</v>
      </c>
      <c r="F724" s="196">
        <v>44576</v>
      </c>
      <c r="G724" s="197" t="s">
        <v>9</v>
      </c>
      <c r="H724" s="198">
        <v>2203</v>
      </c>
      <c r="I724" s="196" t="s">
        <v>458</v>
      </c>
      <c r="J724" s="199">
        <v>1730</v>
      </c>
      <c r="K724" s="198">
        <v>1754</v>
      </c>
      <c r="L724" s="216">
        <v>1</v>
      </c>
      <c r="M724" s="201"/>
      <c r="N724" s="199">
        <v>2203</v>
      </c>
      <c r="O724" s="202">
        <v>10.9</v>
      </c>
      <c r="P724" s="203">
        <v>10.8</v>
      </c>
      <c r="Q724" s="203">
        <v>0.1</v>
      </c>
      <c r="R724" s="204">
        <v>10.9</v>
      </c>
      <c r="S724" s="203">
        <v>9.9</v>
      </c>
      <c r="T724" s="203">
        <v>1</v>
      </c>
      <c r="V724" s="198">
        <v>2203</v>
      </c>
      <c r="W724" s="202">
        <v>10.8</v>
      </c>
      <c r="X724" s="203">
        <v>10.8</v>
      </c>
      <c r="Y724" s="203">
        <v>0</v>
      </c>
      <c r="Z724" s="204">
        <v>9.9</v>
      </c>
      <c r="AA724" s="203">
        <v>9.9</v>
      </c>
      <c r="AB724" s="203">
        <v>0</v>
      </c>
      <c r="AD724" s="198">
        <v>2203</v>
      </c>
      <c r="AE724" s="202">
        <v>-9.9999999999999645E-2</v>
      </c>
      <c r="AF724" s="203" t="s">
        <v>82</v>
      </c>
      <c r="AG724" s="203">
        <v>-0.1</v>
      </c>
      <c r="AH724" s="204">
        <v>-1</v>
      </c>
      <c r="AI724" s="203" t="s">
        <v>82</v>
      </c>
      <c r="AJ724" s="203">
        <v>-1</v>
      </c>
    </row>
    <row customFormat="1" r="725" s="205" spans="1:36" x14ac:dyDescent="0.2">
      <c r="A725" s="193">
        <v>721</v>
      </c>
      <c r="B725" s="215">
        <v>23</v>
      </c>
      <c r="C725" s="195" t="s">
        <v>456</v>
      </c>
      <c r="D725" s="195">
        <v>3</v>
      </c>
      <c r="E725" s="195" t="s">
        <v>460</v>
      </c>
      <c r="F725" s="196">
        <v>44326</v>
      </c>
      <c r="G725" s="197" t="s">
        <v>4</v>
      </c>
      <c r="H725" s="198">
        <v>2120</v>
      </c>
      <c r="I725" s="196" t="s">
        <v>347</v>
      </c>
      <c r="J725" s="199">
        <v>2154</v>
      </c>
      <c r="K725" s="198">
        <v>2309</v>
      </c>
      <c r="L725" s="216">
        <v>0</v>
      </c>
      <c r="M725" s="201"/>
      <c r="N725" s="199">
        <v>2120</v>
      </c>
      <c r="O725" s="202">
        <v>6.5</v>
      </c>
      <c r="P725" s="203">
        <v>6.1</v>
      </c>
      <c r="Q725" s="203">
        <v>0.4</v>
      </c>
      <c r="R725" s="204">
        <v>4.3</v>
      </c>
      <c r="S725" s="203">
        <v>4.3</v>
      </c>
      <c r="T725" s="203">
        <v>0</v>
      </c>
      <c r="V725" s="198">
        <v>2120</v>
      </c>
      <c r="W725" s="202">
        <v>6.1</v>
      </c>
      <c r="X725" s="203">
        <v>6.1</v>
      </c>
      <c r="Y725" s="203">
        <v>0</v>
      </c>
      <c r="Z725" s="204">
        <v>4.3</v>
      </c>
      <c r="AA725" s="203">
        <v>4.3</v>
      </c>
      <c r="AB725" s="203">
        <v>0</v>
      </c>
      <c r="AD725" s="198">
        <v>2120</v>
      </c>
      <c r="AE725" s="202">
        <v>-0.40000000000000036</v>
      </c>
      <c r="AF725" s="203" t="s">
        <v>82</v>
      </c>
      <c r="AG725" s="203">
        <v>-0.4</v>
      </c>
      <c r="AH725" s="204" t="s">
        <v>82</v>
      </c>
      <c r="AI725" s="203" t="s">
        <v>82</v>
      </c>
      <c r="AJ725" s="203" t="s">
        <v>82</v>
      </c>
    </row>
    <row customFormat="1" r="726" s="205" spans="1:36" x14ac:dyDescent="0.2">
      <c r="A726" s="193">
        <v>722</v>
      </c>
      <c r="B726" s="215">
        <v>23</v>
      </c>
      <c r="C726" s="195" t="s">
        <v>456</v>
      </c>
      <c r="D726" s="195">
        <v>3</v>
      </c>
      <c r="E726" s="195" t="s">
        <v>460</v>
      </c>
      <c r="F726" s="196">
        <v>44333</v>
      </c>
      <c r="G726" s="197" t="s">
        <v>4</v>
      </c>
      <c r="H726" s="198">
        <v>2121</v>
      </c>
      <c r="I726" s="196" t="s">
        <v>347</v>
      </c>
      <c r="J726" s="199">
        <v>2154</v>
      </c>
      <c r="K726" s="198">
        <v>2309</v>
      </c>
      <c r="L726" s="216">
        <v>0</v>
      </c>
      <c r="M726" s="201"/>
      <c r="N726" s="199">
        <v>2121</v>
      </c>
      <c r="O726" s="202">
        <v>7.1</v>
      </c>
      <c r="P726" s="203">
        <v>6.7</v>
      </c>
      <c r="Q726" s="203">
        <v>0.4</v>
      </c>
      <c r="R726" s="204">
        <v>4.7</v>
      </c>
      <c r="S726" s="203">
        <v>4.7</v>
      </c>
      <c r="T726" s="203">
        <v>0</v>
      </c>
      <c r="V726" s="198">
        <v>2121</v>
      </c>
      <c r="W726" s="202">
        <v>6.7</v>
      </c>
      <c r="X726" s="203">
        <v>6.7</v>
      </c>
      <c r="Y726" s="203">
        <v>0</v>
      </c>
      <c r="Z726" s="204">
        <v>4.7</v>
      </c>
      <c r="AA726" s="203">
        <v>4.7</v>
      </c>
      <c r="AB726" s="203">
        <v>0</v>
      </c>
      <c r="AD726" s="198">
        <v>2121</v>
      </c>
      <c r="AE726" s="202">
        <v>-0.39999999999999947</v>
      </c>
      <c r="AF726" s="203" t="s">
        <v>82</v>
      </c>
      <c r="AG726" s="203">
        <v>-0.4</v>
      </c>
      <c r="AH726" s="204" t="s">
        <v>82</v>
      </c>
      <c r="AI726" s="203" t="s">
        <v>82</v>
      </c>
      <c r="AJ726" s="203" t="s">
        <v>82</v>
      </c>
    </row>
    <row customFormat="1" r="727" s="205" spans="1:36" x14ac:dyDescent="0.2">
      <c r="A727" s="193">
        <v>723</v>
      </c>
      <c r="B727" s="215">
        <v>23</v>
      </c>
      <c r="C727" s="195" t="s">
        <v>456</v>
      </c>
      <c r="D727" s="195">
        <v>3</v>
      </c>
      <c r="E727" s="195" t="s">
        <v>460</v>
      </c>
      <c r="F727" s="196">
        <v>44340</v>
      </c>
      <c r="G727" s="197" t="s">
        <v>4</v>
      </c>
      <c r="H727" s="198">
        <v>2122</v>
      </c>
      <c r="I727" s="196" t="s">
        <v>347</v>
      </c>
      <c r="J727" s="199">
        <v>2154</v>
      </c>
      <c r="K727" s="198">
        <v>2309</v>
      </c>
      <c r="L727" s="216">
        <v>0</v>
      </c>
      <c r="M727" s="201"/>
      <c r="N727" s="199">
        <v>2122</v>
      </c>
      <c r="O727" s="202">
        <v>7.6</v>
      </c>
      <c r="P727" s="203">
        <v>7.2</v>
      </c>
      <c r="Q727" s="203">
        <v>0.4</v>
      </c>
      <c r="R727" s="204">
        <v>5</v>
      </c>
      <c r="S727" s="203">
        <v>5</v>
      </c>
      <c r="T727" s="203">
        <v>0</v>
      </c>
      <c r="V727" s="198">
        <v>2122</v>
      </c>
      <c r="W727" s="202">
        <v>7.2</v>
      </c>
      <c r="X727" s="203">
        <v>7.2</v>
      </c>
      <c r="Y727" s="203">
        <v>0</v>
      </c>
      <c r="Z727" s="204">
        <v>5</v>
      </c>
      <c r="AA727" s="203">
        <v>5</v>
      </c>
      <c r="AB727" s="203">
        <v>0</v>
      </c>
      <c r="AD727" s="198">
        <v>2122</v>
      </c>
      <c r="AE727" s="202">
        <v>-0.39999999999999947</v>
      </c>
      <c r="AF727" s="203" t="s">
        <v>82</v>
      </c>
      <c r="AG727" s="203">
        <v>-0.4</v>
      </c>
      <c r="AH727" s="204" t="s">
        <v>82</v>
      </c>
      <c r="AI727" s="203" t="s">
        <v>82</v>
      </c>
      <c r="AJ727" s="203" t="s">
        <v>82</v>
      </c>
    </row>
    <row customFormat="1" r="728" s="205" spans="1:36" x14ac:dyDescent="0.2">
      <c r="A728" s="193">
        <v>724</v>
      </c>
      <c r="B728" s="215">
        <v>23</v>
      </c>
      <c r="C728" s="195" t="s">
        <v>456</v>
      </c>
      <c r="D728" s="195">
        <v>3</v>
      </c>
      <c r="E728" s="195" t="s">
        <v>460</v>
      </c>
      <c r="F728" s="196">
        <v>44347</v>
      </c>
      <c r="G728" s="197" t="s">
        <v>4</v>
      </c>
      <c r="H728" s="198">
        <v>2123</v>
      </c>
      <c r="I728" s="196" t="s">
        <v>347</v>
      </c>
      <c r="J728" s="199">
        <v>2154</v>
      </c>
      <c r="K728" s="198">
        <v>2309</v>
      </c>
      <c r="L728" s="216">
        <v>0</v>
      </c>
      <c r="M728" s="201"/>
      <c r="N728" s="199">
        <v>2123</v>
      </c>
      <c r="O728" s="202">
        <v>8</v>
      </c>
      <c r="P728" s="203">
        <v>7.6</v>
      </c>
      <c r="Q728" s="203">
        <v>0.4</v>
      </c>
      <c r="R728" s="204">
        <v>5.4</v>
      </c>
      <c r="S728" s="203">
        <v>5.4</v>
      </c>
      <c r="T728" s="203">
        <v>0</v>
      </c>
      <c r="V728" s="198">
        <v>2123</v>
      </c>
      <c r="W728" s="202">
        <v>7.6</v>
      </c>
      <c r="X728" s="203">
        <v>7.6</v>
      </c>
      <c r="Y728" s="203">
        <v>0</v>
      </c>
      <c r="Z728" s="204">
        <v>5.4</v>
      </c>
      <c r="AA728" s="203">
        <v>5.4</v>
      </c>
      <c r="AB728" s="203">
        <v>0</v>
      </c>
      <c r="AD728" s="198">
        <v>2123</v>
      </c>
      <c r="AE728" s="202">
        <v>-0.40000000000000036</v>
      </c>
      <c r="AF728" s="203" t="s">
        <v>82</v>
      </c>
      <c r="AG728" s="203">
        <v>-0.4</v>
      </c>
      <c r="AH728" s="204" t="s">
        <v>82</v>
      </c>
      <c r="AI728" s="203" t="s">
        <v>82</v>
      </c>
      <c r="AJ728" s="203" t="s">
        <v>82</v>
      </c>
    </row>
    <row customFormat="1" r="729" s="205" spans="1:36" x14ac:dyDescent="0.2">
      <c r="A729" s="193">
        <v>725</v>
      </c>
      <c r="B729" s="215">
        <v>24</v>
      </c>
      <c r="C729" s="195" t="s">
        <v>461</v>
      </c>
      <c r="D729" s="195">
        <v>1</v>
      </c>
      <c r="E729" s="195" t="s">
        <v>462</v>
      </c>
      <c r="F729" s="196">
        <v>44108</v>
      </c>
      <c r="G729" s="197" t="s">
        <v>10</v>
      </c>
      <c r="H729" s="198">
        <v>2040</v>
      </c>
      <c r="I729" s="196" t="s">
        <v>463</v>
      </c>
      <c r="J729" s="199">
        <v>1025</v>
      </c>
      <c r="K729" s="198">
        <v>1124</v>
      </c>
      <c r="L729" s="216">
        <v>0</v>
      </c>
      <c r="M729" s="201"/>
      <c r="N729" s="199">
        <v>2040</v>
      </c>
      <c r="O729" s="202">
        <v>6.2</v>
      </c>
      <c r="P729" s="203">
        <v>6</v>
      </c>
      <c r="Q729" s="203">
        <v>0.2</v>
      </c>
      <c r="R729" s="204">
        <v>5.7</v>
      </c>
      <c r="S729" s="203">
        <v>5.6</v>
      </c>
      <c r="T729" s="203">
        <v>0.1</v>
      </c>
      <c r="V729" s="198">
        <v>2040</v>
      </c>
      <c r="W729" s="202">
        <v>6.1</v>
      </c>
      <c r="X729" s="203">
        <v>6</v>
      </c>
      <c r="Y729" s="203">
        <v>0.1</v>
      </c>
      <c r="Z729" s="204">
        <v>5.7</v>
      </c>
      <c r="AA729" s="203">
        <v>5.6</v>
      </c>
      <c r="AB729" s="203">
        <v>0.1</v>
      </c>
      <c r="AD729" s="198">
        <v>2040</v>
      </c>
      <c r="AE729" s="202">
        <v>-0.10000000000000053</v>
      </c>
      <c r="AF729" s="203" t="s">
        <v>82</v>
      </c>
      <c r="AG729" s="203">
        <v>-0.1</v>
      </c>
      <c r="AH729" s="204"/>
      <c r="AI729" s="203" t="s">
        <v>82</v>
      </c>
      <c r="AJ729" s="203" t="s">
        <v>82</v>
      </c>
    </row>
    <row customFormat="1" r="730" s="205" spans="1:36" x14ac:dyDescent="0.2">
      <c r="A730" s="193">
        <v>726</v>
      </c>
      <c r="B730" s="215">
        <v>24</v>
      </c>
      <c r="C730" s="195" t="s">
        <v>461</v>
      </c>
      <c r="D730" s="195">
        <v>1</v>
      </c>
      <c r="E730" s="195" t="s">
        <v>462</v>
      </c>
      <c r="F730" s="196">
        <v>44115</v>
      </c>
      <c r="G730" s="197" t="s">
        <v>10</v>
      </c>
      <c r="H730" s="198">
        <v>2041</v>
      </c>
      <c r="I730" s="196" t="s">
        <v>463</v>
      </c>
      <c r="J730" s="199">
        <v>1025</v>
      </c>
      <c r="K730" s="198">
        <v>1124</v>
      </c>
      <c r="L730" s="216">
        <v>0</v>
      </c>
      <c r="M730" s="201"/>
      <c r="N730" s="199">
        <v>2041</v>
      </c>
      <c r="O730" s="202">
        <v>6.1</v>
      </c>
      <c r="P730" s="203">
        <v>5.9</v>
      </c>
      <c r="Q730" s="203">
        <v>0.2</v>
      </c>
      <c r="R730" s="204">
        <v>5.7</v>
      </c>
      <c r="S730" s="203">
        <v>5.6</v>
      </c>
      <c r="T730" s="203">
        <v>0.1</v>
      </c>
      <c r="V730" s="198">
        <v>2041</v>
      </c>
      <c r="W730" s="202">
        <v>6</v>
      </c>
      <c r="X730" s="203">
        <v>5.9</v>
      </c>
      <c r="Y730" s="203">
        <v>0.1</v>
      </c>
      <c r="Z730" s="204">
        <v>5.7</v>
      </c>
      <c r="AA730" s="203">
        <v>5.6</v>
      </c>
      <c r="AB730" s="203">
        <v>0.1</v>
      </c>
      <c r="AD730" s="198">
        <v>2041</v>
      </c>
      <c r="AE730" s="202">
        <v>-9.9999999999999645E-2</v>
      </c>
      <c r="AF730" s="203" t="s">
        <v>82</v>
      </c>
      <c r="AG730" s="203">
        <v>-0.1</v>
      </c>
      <c r="AH730" s="204"/>
      <c r="AI730" s="203" t="s">
        <v>82</v>
      </c>
      <c r="AJ730" s="203" t="s">
        <v>82</v>
      </c>
    </row>
    <row customFormat="1" r="731" s="205" spans="1:36" x14ac:dyDescent="0.2">
      <c r="A731" s="193">
        <v>727</v>
      </c>
      <c r="B731" s="215">
        <v>24</v>
      </c>
      <c r="C731" s="195" t="s">
        <v>461</v>
      </c>
      <c r="D731" s="195">
        <v>1</v>
      </c>
      <c r="E731" s="195" t="s">
        <v>462</v>
      </c>
      <c r="F731" s="196">
        <v>44122</v>
      </c>
      <c r="G731" s="197" t="s">
        <v>10</v>
      </c>
      <c r="H731" s="198">
        <v>2042</v>
      </c>
      <c r="I731" s="196" t="s">
        <v>463</v>
      </c>
      <c r="J731" s="199">
        <v>1025</v>
      </c>
      <c r="K731" s="198">
        <v>1124</v>
      </c>
      <c r="L731" s="216">
        <v>0</v>
      </c>
      <c r="M731" s="201"/>
      <c r="N731" s="199">
        <v>2042</v>
      </c>
      <c r="O731" s="202">
        <v>6</v>
      </c>
      <c r="P731" s="203">
        <v>5.8</v>
      </c>
      <c r="Q731" s="203">
        <v>0.2</v>
      </c>
      <c r="R731" s="204">
        <v>6.2</v>
      </c>
      <c r="S731" s="203">
        <v>6.1</v>
      </c>
      <c r="T731" s="203">
        <v>0.1</v>
      </c>
      <c r="V731" s="198">
        <v>2042</v>
      </c>
      <c r="W731" s="202">
        <v>5.9</v>
      </c>
      <c r="X731" s="203">
        <v>5.8</v>
      </c>
      <c r="Y731" s="203">
        <v>0.1</v>
      </c>
      <c r="Z731" s="204">
        <v>6.2</v>
      </c>
      <c r="AA731" s="203">
        <v>6.1</v>
      </c>
      <c r="AB731" s="203">
        <v>0.1</v>
      </c>
      <c r="AD731" s="198">
        <v>2042</v>
      </c>
      <c r="AE731" s="202">
        <v>-9.9999999999999645E-2</v>
      </c>
      <c r="AF731" s="203" t="s">
        <v>82</v>
      </c>
      <c r="AG731" s="203">
        <v>-0.1</v>
      </c>
      <c r="AH731" s="204"/>
      <c r="AI731" s="203" t="s">
        <v>82</v>
      </c>
      <c r="AJ731" s="203" t="s">
        <v>82</v>
      </c>
    </row>
    <row customFormat="1" r="732" s="205" spans="1:36" x14ac:dyDescent="0.2">
      <c r="A732" s="193">
        <v>728</v>
      </c>
      <c r="B732" s="215">
        <v>24</v>
      </c>
      <c r="C732" s="195" t="s">
        <v>461</v>
      </c>
      <c r="D732" s="195">
        <v>1</v>
      </c>
      <c r="E732" s="195" t="s">
        <v>462</v>
      </c>
      <c r="F732" s="196">
        <v>44129</v>
      </c>
      <c r="G732" s="197" t="s">
        <v>10</v>
      </c>
      <c r="H732" s="198">
        <v>2043</v>
      </c>
      <c r="I732" s="196" t="s">
        <v>463</v>
      </c>
      <c r="J732" s="199">
        <v>1025</v>
      </c>
      <c r="K732" s="198">
        <v>1124</v>
      </c>
      <c r="L732" s="216">
        <v>0</v>
      </c>
      <c r="M732" s="201"/>
      <c r="N732" s="199">
        <v>2043</v>
      </c>
      <c r="O732" s="202">
        <v>6.1</v>
      </c>
      <c r="P732" s="203">
        <v>6</v>
      </c>
      <c r="Q732" s="203">
        <v>0.1</v>
      </c>
      <c r="R732" s="204">
        <v>6.6</v>
      </c>
      <c r="S732" s="203">
        <v>6.6</v>
      </c>
      <c r="T732" s="203">
        <v>0</v>
      </c>
      <c r="V732" s="198">
        <v>2043</v>
      </c>
      <c r="W732" s="202">
        <v>6</v>
      </c>
      <c r="X732" s="203">
        <v>6</v>
      </c>
      <c r="Y732" s="203">
        <v>0</v>
      </c>
      <c r="Z732" s="204">
        <v>6.6</v>
      </c>
      <c r="AA732" s="203">
        <v>6.6</v>
      </c>
      <c r="AB732" s="203">
        <v>0</v>
      </c>
      <c r="AD732" s="198">
        <v>2043</v>
      </c>
      <c r="AE732" s="202">
        <v>-9.9999999999999645E-2</v>
      </c>
      <c r="AF732" s="203" t="s">
        <v>82</v>
      </c>
      <c r="AG732" s="203">
        <v>-0.1</v>
      </c>
      <c r="AH732" s="204" t="s">
        <v>82</v>
      </c>
      <c r="AI732" s="203" t="s">
        <v>82</v>
      </c>
      <c r="AJ732" s="203" t="s">
        <v>82</v>
      </c>
    </row>
    <row customFormat="1" r="733" s="205" spans="1:36" x14ac:dyDescent="0.2">
      <c r="A733" s="193">
        <v>729</v>
      </c>
      <c r="B733" s="215">
        <v>24</v>
      </c>
      <c r="C733" s="195" t="s">
        <v>461</v>
      </c>
      <c r="D733" s="195">
        <v>1</v>
      </c>
      <c r="E733" s="195" t="s">
        <v>462</v>
      </c>
      <c r="F733" s="196">
        <v>44248</v>
      </c>
      <c r="G733" s="197" t="s">
        <v>10</v>
      </c>
      <c r="H733" s="198">
        <v>2108</v>
      </c>
      <c r="I733" s="196" t="s">
        <v>464</v>
      </c>
      <c r="J733" s="199">
        <v>1210</v>
      </c>
      <c r="K733" s="198">
        <v>1339</v>
      </c>
      <c r="L733" s="216">
        <v>0</v>
      </c>
      <c r="M733" s="201"/>
      <c r="N733" s="199">
        <v>2108</v>
      </c>
      <c r="O733" s="202">
        <v>8.8000000000000007</v>
      </c>
      <c r="P733" s="203">
        <v>8.6</v>
      </c>
      <c r="Q733" s="203">
        <v>0.2</v>
      </c>
      <c r="R733" s="204">
        <v>7.5</v>
      </c>
      <c r="S733" s="203">
        <v>7.4</v>
      </c>
      <c r="T733" s="203">
        <v>0.1</v>
      </c>
      <c r="V733" s="198">
        <v>2108</v>
      </c>
      <c r="W733" s="202">
        <v>8.8000000000000007</v>
      </c>
      <c r="X733" s="203">
        <v>8.6</v>
      </c>
      <c r="Y733" s="203">
        <v>0.2</v>
      </c>
      <c r="Z733" s="204">
        <v>7.5</v>
      </c>
      <c r="AA733" s="203">
        <v>7.4</v>
      </c>
      <c r="AB733" s="203">
        <v>0.1</v>
      </c>
      <c r="AD733" s="198">
        <v>2108</v>
      </c>
      <c r="AE733" s="202"/>
      <c r="AF733" s="203" t="s">
        <v>82</v>
      </c>
      <c r="AG733" s="203" t="s">
        <v>82</v>
      </c>
      <c r="AH733" s="204" t="s">
        <v>82</v>
      </c>
      <c r="AI733" s="203" t="s">
        <v>82</v>
      </c>
      <c r="AJ733" s="203" t="s">
        <v>82</v>
      </c>
    </row>
    <row customFormat="1" r="734" s="205" spans="1:36" x14ac:dyDescent="0.2">
      <c r="A734" s="193">
        <v>730</v>
      </c>
      <c r="B734" s="215">
        <v>24</v>
      </c>
      <c r="C734" s="195" t="s">
        <v>461</v>
      </c>
      <c r="D734" s="195">
        <v>1</v>
      </c>
      <c r="E734" s="195" t="s">
        <v>462</v>
      </c>
      <c r="F734" s="196">
        <v>44255</v>
      </c>
      <c r="G734" s="197" t="s">
        <v>10</v>
      </c>
      <c r="H734" s="198">
        <v>2109</v>
      </c>
      <c r="I734" s="196" t="s">
        <v>464</v>
      </c>
      <c r="J734" s="199">
        <v>1210</v>
      </c>
      <c r="K734" s="198">
        <v>1339</v>
      </c>
      <c r="L734" s="216">
        <v>0</v>
      </c>
      <c r="M734" s="201"/>
      <c r="N734" s="199">
        <v>2109</v>
      </c>
      <c r="O734" s="202">
        <v>9</v>
      </c>
      <c r="P734" s="203">
        <v>8.8000000000000007</v>
      </c>
      <c r="Q734" s="203">
        <v>0.2</v>
      </c>
      <c r="R734" s="204">
        <v>7.7</v>
      </c>
      <c r="S734" s="203">
        <v>7.6</v>
      </c>
      <c r="T734" s="203">
        <v>0.1</v>
      </c>
      <c r="V734" s="198">
        <v>2109</v>
      </c>
      <c r="W734" s="202">
        <v>9</v>
      </c>
      <c r="X734" s="203">
        <v>8.8000000000000007</v>
      </c>
      <c r="Y734" s="203">
        <v>0.2</v>
      </c>
      <c r="Z734" s="204">
        <v>7.7</v>
      </c>
      <c r="AA734" s="203">
        <v>7.6</v>
      </c>
      <c r="AB734" s="203">
        <v>0.1</v>
      </c>
      <c r="AD734" s="198">
        <v>2109</v>
      </c>
      <c r="AE734" s="202" t="s">
        <v>82</v>
      </c>
      <c r="AF734" s="203" t="s">
        <v>82</v>
      </c>
      <c r="AG734" s="203" t="s">
        <v>82</v>
      </c>
      <c r="AH734" s="204"/>
      <c r="AI734" s="203" t="s">
        <v>82</v>
      </c>
      <c r="AJ734" s="203" t="s">
        <v>82</v>
      </c>
    </row>
    <row customFormat="1" r="735" s="205" spans="1:36" x14ac:dyDescent="0.2">
      <c r="A735" s="193">
        <v>731</v>
      </c>
      <c r="B735" s="215">
        <v>24</v>
      </c>
      <c r="C735" s="195" t="s">
        <v>461</v>
      </c>
      <c r="D735" s="195">
        <v>1</v>
      </c>
      <c r="E735" s="195" t="s">
        <v>462</v>
      </c>
      <c r="F735" s="196">
        <v>44262</v>
      </c>
      <c r="G735" s="197" t="s">
        <v>10</v>
      </c>
      <c r="H735" s="198">
        <v>2110</v>
      </c>
      <c r="I735" s="196" t="s">
        <v>464</v>
      </c>
      <c r="J735" s="199">
        <v>1210</v>
      </c>
      <c r="K735" s="198">
        <v>1339</v>
      </c>
      <c r="L735" s="216">
        <v>0</v>
      </c>
      <c r="M735" s="201"/>
      <c r="N735" s="199">
        <v>2110</v>
      </c>
      <c r="O735" s="202">
        <v>9.6</v>
      </c>
      <c r="P735" s="203">
        <v>9.4</v>
      </c>
      <c r="Q735" s="203">
        <v>0.2</v>
      </c>
      <c r="R735" s="204">
        <v>9</v>
      </c>
      <c r="S735" s="203">
        <v>8.9</v>
      </c>
      <c r="T735" s="203">
        <v>0.1</v>
      </c>
      <c r="V735" s="198">
        <v>2110</v>
      </c>
      <c r="W735" s="202">
        <v>9.6</v>
      </c>
      <c r="X735" s="203">
        <v>9.4</v>
      </c>
      <c r="Y735" s="203">
        <v>0.2</v>
      </c>
      <c r="Z735" s="204">
        <v>9</v>
      </c>
      <c r="AA735" s="203">
        <v>8.9</v>
      </c>
      <c r="AB735" s="203">
        <v>0.1</v>
      </c>
      <c r="AD735" s="198">
        <v>2110</v>
      </c>
      <c r="AE735" s="202" t="s">
        <v>82</v>
      </c>
      <c r="AF735" s="203" t="s">
        <v>82</v>
      </c>
      <c r="AG735" s="203" t="s">
        <v>82</v>
      </c>
      <c r="AH735" s="204" t="s">
        <v>82</v>
      </c>
      <c r="AI735" s="203" t="s">
        <v>82</v>
      </c>
      <c r="AJ735" s="203" t="s">
        <v>82</v>
      </c>
    </row>
    <row customFormat="1" r="736" s="205" spans="1:36" x14ac:dyDescent="0.2">
      <c r="A736" s="193">
        <v>732</v>
      </c>
      <c r="B736" s="215">
        <v>24</v>
      </c>
      <c r="C736" s="195" t="s">
        <v>461</v>
      </c>
      <c r="D736" s="195">
        <v>1</v>
      </c>
      <c r="E736" s="195" t="s">
        <v>462</v>
      </c>
      <c r="F736" s="196">
        <v>44269</v>
      </c>
      <c r="G736" s="197" t="s">
        <v>10</v>
      </c>
      <c r="H736" s="198">
        <v>2111</v>
      </c>
      <c r="I736" s="196" t="s">
        <v>464</v>
      </c>
      <c r="J736" s="199">
        <v>1210</v>
      </c>
      <c r="K736" s="198">
        <v>1339</v>
      </c>
      <c r="L736" s="216">
        <v>0</v>
      </c>
      <c r="M736" s="201"/>
      <c r="N736" s="199">
        <v>2111</v>
      </c>
      <c r="O736" s="202">
        <v>8.6999999999999993</v>
      </c>
      <c r="P736" s="203">
        <v>8.6</v>
      </c>
      <c r="Q736" s="203">
        <v>0.1</v>
      </c>
      <c r="R736" s="204">
        <v>8</v>
      </c>
      <c r="S736" s="203">
        <v>7.9</v>
      </c>
      <c r="T736" s="203">
        <v>0.1</v>
      </c>
      <c r="V736" s="198">
        <v>2111</v>
      </c>
      <c r="W736" s="202">
        <v>8.6999999999999993</v>
      </c>
      <c r="X736" s="203">
        <v>8.6</v>
      </c>
      <c r="Y736" s="203">
        <v>0.1</v>
      </c>
      <c r="Z736" s="204">
        <v>8</v>
      </c>
      <c r="AA736" s="203">
        <v>7.9</v>
      </c>
      <c r="AB736" s="203">
        <v>0.1</v>
      </c>
      <c r="AD736" s="198">
        <v>2111</v>
      </c>
      <c r="AE736" s="202" t="s">
        <v>82</v>
      </c>
      <c r="AF736" s="203" t="s">
        <v>82</v>
      </c>
      <c r="AG736" s="203" t="s">
        <v>82</v>
      </c>
      <c r="AH736" s="204" t="s">
        <v>82</v>
      </c>
      <c r="AI736" s="203" t="s">
        <v>82</v>
      </c>
      <c r="AJ736" s="203" t="s">
        <v>82</v>
      </c>
    </row>
    <row customFormat="1" r="737" s="205" spans="1:36" x14ac:dyDescent="0.2">
      <c r="A737" s="193">
        <v>733</v>
      </c>
      <c r="B737" s="215">
        <v>24</v>
      </c>
      <c r="C737" s="195" t="s">
        <v>461</v>
      </c>
      <c r="D737" s="195">
        <v>1</v>
      </c>
      <c r="E737" s="195" t="s">
        <v>462</v>
      </c>
      <c r="F737" s="196">
        <v>44291</v>
      </c>
      <c r="G737" s="197" t="s">
        <v>4</v>
      </c>
      <c r="H737" s="198">
        <v>2115</v>
      </c>
      <c r="I737" s="196" t="s">
        <v>214</v>
      </c>
      <c r="J737" s="199">
        <v>500</v>
      </c>
      <c r="K737" s="198">
        <v>514</v>
      </c>
      <c r="L737" s="216">
        <v>1</v>
      </c>
      <c r="M737" s="201"/>
      <c r="N737" s="199">
        <v>2115</v>
      </c>
      <c r="O737" s="202">
        <v>1.7</v>
      </c>
      <c r="P737" s="203">
        <v>0.8</v>
      </c>
      <c r="Q737" s="203">
        <v>0.9</v>
      </c>
      <c r="R737" s="204">
        <v>1.8</v>
      </c>
      <c r="S737" s="203">
        <v>0.9</v>
      </c>
      <c r="T737" s="203">
        <v>0.9</v>
      </c>
      <c r="V737" s="198">
        <v>2115</v>
      </c>
      <c r="W737" s="202">
        <v>0.8</v>
      </c>
      <c r="X737" s="203">
        <v>0.8</v>
      </c>
      <c r="Y737" s="203">
        <v>0</v>
      </c>
      <c r="Z737" s="204">
        <v>0.9</v>
      </c>
      <c r="AA737" s="203">
        <v>0.9</v>
      </c>
      <c r="AB737" s="203">
        <v>0</v>
      </c>
      <c r="AD737" s="198">
        <v>2115</v>
      </c>
      <c r="AE737" s="202">
        <v>-0.89999999999999991</v>
      </c>
      <c r="AF737" s="203" t="s">
        <v>82</v>
      </c>
      <c r="AG737" s="203">
        <v>-0.9</v>
      </c>
      <c r="AH737" s="204">
        <v>-0.9</v>
      </c>
      <c r="AI737" s="203" t="s">
        <v>82</v>
      </c>
      <c r="AJ737" s="203">
        <v>-0.9</v>
      </c>
    </row>
    <row customFormat="1" r="738" s="205" spans="1:36" x14ac:dyDescent="0.2">
      <c r="A738" s="193">
        <v>734</v>
      </c>
      <c r="B738" s="215">
        <v>24</v>
      </c>
      <c r="C738" s="195" t="s">
        <v>461</v>
      </c>
      <c r="D738" s="195">
        <v>1</v>
      </c>
      <c r="E738" s="195" t="s">
        <v>462</v>
      </c>
      <c r="F738" s="196">
        <v>44298</v>
      </c>
      <c r="G738" s="197" t="s">
        <v>4</v>
      </c>
      <c r="H738" s="198">
        <v>2116</v>
      </c>
      <c r="I738" s="196" t="s">
        <v>214</v>
      </c>
      <c r="J738" s="199">
        <v>500</v>
      </c>
      <c r="K738" s="198">
        <v>514</v>
      </c>
      <c r="L738" s="216">
        <v>1</v>
      </c>
      <c r="M738" s="201"/>
      <c r="N738" s="199">
        <v>2116</v>
      </c>
      <c r="O738" s="202">
        <v>1.7</v>
      </c>
      <c r="P738" s="203">
        <v>0.8</v>
      </c>
      <c r="Q738" s="203">
        <v>0.9</v>
      </c>
      <c r="R738" s="204">
        <v>1.8</v>
      </c>
      <c r="S738" s="203">
        <v>0.9</v>
      </c>
      <c r="T738" s="203">
        <v>0.9</v>
      </c>
      <c r="V738" s="198">
        <v>2116</v>
      </c>
      <c r="W738" s="202">
        <v>0.8</v>
      </c>
      <c r="X738" s="203">
        <v>0.8</v>
      </c>
      <c r="Y738" s="203">
        <v>0</v>
      </c>
      <c r="Z738" s="204">
        <v>0.9</v>
      </c>
      <c r="AA738" s="203">
        <v>0.9</v>
      </c>
      <c r="AB738" s="203">
        <v>0</v>
      </c>
      <c r="AD738" s="198">
        <v>2116</v>
      </c>
      <c r="AE738" s="202">
        <v>-0.89999999999999991</v>
      </c>
      <c r="AF738" s="203" t="s">
        <v>82</v>
      </c>
      <c r="AG738" s="203">
        <v>-0.9</v>
      </c>
      <c r="AH738" s="204">
        <v>-0.9</v>
      </c>
      <c r="AI738" s="203" t="s">
        <v>82</v>
      </c>
      <c r="AJ738" s="203">
        <v>-0.9</v>
      </c>
    </row>
    <row customFormat="1" r="739" s="205" spans="1:36" x14ac:dyDescent="0.2">
      <c r="A739" s="193">
        <v>735</v>
      </c>
      <c r="B739" s="215">
        <v>24</v>
      </c>
      <c r="C739" s="195" t="s">
        <v>461</v>
      </c>
      <c r="D739" s="195">
        <v>1</v>
      </c>
      <c r="E739" s="195" t="s">
        <v>462</v>
      </c>
      <c r="F739" s="196">
        <v>44305</v>
      </c>
      <c r="G739" s="197" t="s">
        <v>4</v>
      </c>
      <c r="H739" s="198">
        <v>2117</v>
      </c>
      <c r="I739" s="196" t="s">
        <v>214</v>
      </c>
      <c r="J739" s="199">
        <v>500</v>
      </c>
      <c r="K739" s="198">
        <v>514</v>
      </c>
      <c r="L739" s="216">
        <v>1</v>
      </c>
      <c r="M739" s="201"/>
      <c r="N739" s="199">
        <v>2117</v>
      </c>
      <c r="O739" s="202">
        <v>1.4</v>
      </c>
      <c r="P739" s="203">
        <v>0.7</v>
      </c>
      <c r="Q739" s="203">
        <v>0.7</v>
      </c>
      <c r="R739" s="204">
        <v>1.7</v>
      </c>
      <c r="S739" s="203">
        <v>1</v>
      </c>
      <c r="T739" s="203">
        <v>0.7</v>
      </c>
      <c r="V739" s="198">
        <v>2117</v>
      </c>
      <c r="W739" s="202">
        <v>0.7</v>
      </c>
      <c r="X739" s="203">
        <v>0.7</v>
      </c>
      <c r="Y739" s="203">
        <v>0</v>
      </c>
      <c r="Z739" s="204">
        <v>1</v>
      </c>
      <c r="AA739" s="203">
        <v>1</v>
      </c>
      <c r="AB739" s="203">
        <v>0</v>
      </c>
      <c r="AD739" s="198">
        <v>2117</v>
      </c>
      <c r="AE739" s="202">
        <v>-0.7</v>
      </c>
      <c r="AF739" s="203" t="s">
        <v>82</v>
      </c>
      <c r="AG739" s="203">
        <v>-0.7</v>
      </c>
      <c r="AH739" s="204">
        <v>-0.7</v>
      </c>
      <c r="AI739" s="203" t="s">
        <v>82</v>
      </c>
      <c r="AJ739" s="203">
        <v>-0.7</v>
      </c>
    </row>
    <row customFormat="1" r="740" s="214" spans="1:36" x14ac:dyDescent="0.2">
      <c r="A740" s="217">
        <v>736</v>
      </c>
      <c r="B740" s="218">
        <v>24</v>
      </c>
      <c r="C740" s="207" t="s">
        <v>461</v>
      </c>
      <c r="D740" s="207">
        <v>1</v>
      </c>
      <c r="E740" s="207" t="s">
        <v>462</v>
      </c>
      <c r="F740" s="208">
        <v>44312</v>
      </c>
      <c r="G740" s="209" t="s">
        <v>4</v>
      </c>
      <c r="H740" s="210">
        <v>2118</v>
      </c>
      <c r="I740" s="208" t="s">
        <v>465</v>
      </c>
      <c r="J740" s="211">
        <v>500</v>
      </c>
      <c r="K740" s="210">
        <v>514</v>
      </c>
      <c r="L740" s="219">
        <v>1</v>
      </c>
      <c r="M740" s="212"/>
      <c r="N740" s="211">
        <v>2118</v>
      </c>
      <c r="O740" s="202">
        <v>1.5</v>
      </c>
      <c r="P740" s="213">
        <v>0.6</v>
      </c>
      <c r="Q740" s="213">
        <v>0.9</v>
      </c>
      <c r="R740" s="204">
        <v>1.7</v>
      </c>
      <c r="S740" s="213">
        <v>0.8</v>
      </c>
      <c r="T740" s="213">
        <v>0.9</v>
      </c>
      <c r="V740" s="210">
        <v>2118</v>
      </c>
      <c r="W740" s="202">
        <v>0.6</v>
      </c>
      <c r="X740" s="213">
        <v>0.6</v>
      </c>
      <c r="Y740" s="213">
        <v>0</v>
      </c>
      <c r="Z740" s="204">
        <v>0.8</v>
      </c>
      <c r="AA740" s="213">
        <v>0.8</v>
      </c>
      <c r="AB740" s="213">
        <v>0</v>
      </c>
      <c r="AD740" s="210">
        <v>2118</v>
      </c>
      <c r="AE740" s="202">
        <v>-0.9</v>
      </c>
      <c r="AF740" s="213" t="s">
        <v>82</v>
      </c>
      <c r="AG740" s="213">
        <v>-0.9</v>
      </c>
      <c r="AH740" s="204">
        <v>-0.89999999999999991</v>
      </c>
      <c r="AI740" s="213" t="s">
        <v>82</v>
      </c>
      <c r="AJ740" s="213">
        <v>-0.9</v>
      </c>
    </row>
    <row customFormat="1" r="741" s="214" spans="1:36" x14ac:dyDescent="0.2">
      <c r="A741" s="217">
        <v>737</v>
      </c>
      <c r="B741" s="218">
        <v>24</v>
      </c>
      <c r="C741" s="207" t="s">
        <v>461</v>
      </c>
      <c r="D741" s="207">
        <v>1</v>
      </c>
      <c r="E741" s="207" t="s">
        <v>462</v>
      </c>
      <c r="F741" s="208">
        <v>44474</v>
      </c>
      <c r="G741" s="209" t="s">
        <v>5</v>
      </c>
      <c r="H741" s="210">
        <v>2141</v>
      </c>
      <c r="I741" s="208" t="s">
        <v>466</v>
      </c>
      <c r="J741" s="211">
        <v>1900</v>
      </c>
      <c r="K741" s="210">
        <v>2253</v>
      </c>
      <c r="L741" s="219">
        <v>0</v>
      </c>
      <c r="M741" s="212"/>
      <c r="N741" s="211">
        <v>2141</v>
      </c>
      <c r="O741" s="202">
        <v>12.3</v>
      </c>
      <c r="P741" s="213">
        <v>11.7</v>
      </c>
      <c r="Q741" s="213">
        <v>0.6</v>
      </c>
      <c r="R741" s="204">
        <v>7.6</v>
      </c>
      <c r="S741" s="213">
        <v>7.6</v>
      </c>
      <c r="T741" s="213">
        <v>0</v>
      </c>
      <c r="V741" s="210">
        <v>2141</v>
      </c>
      <c r="W741" s="202">
        <v>12.3</v>
      </c>
      <c r="X741" s="213">
        <v>11.7</v>
      </c>
      <c r="Y741" s="213">
        <v>0.6</v>
      </c>
      <c r="Z741" s="204">
        <v>7.6</v>
      </c>
      <c r="AA741" s="213">
        <v>7.6</v>
      </c>
      <c r="AB741" s="213">
        <v>0</v>
      </c>
      <c r="AD741" s="210">
        <v>2141</v>
      </c>
      <c r="AE741" s="202"/>
      <c r="AF741" s="213" t="s">
        <v>82</v>
      </c>
      <c r="AG741" s="213" t="s">
        <v>82</v>
      </c>
      <c r="AH741" s="204" t="s">
        <v>82</v>
      </c>
      <c r="AI741" s="213" t="s">
        <v>82</v>
      </c>
      <c r="AJ741" s="213" t="s">
        <v>82</v>
      </c>
    </row>
    <row customFormat="1" r="742" s="214" spans="1:36" x14ac:dyDescent="0.2">
      <c r="A742" s="217">
        <v>738</v>
      </c>
      <c r="B742" s="218">
        <v>24</v>
      </c>
      <c r="C742" s="207" t="s">
        <v>461</v>
      </c>
      <c r="D742" s="207">
        <v>1</v>
      </c>
      <c r="E742" s="207" t="s">
        <v>462</v>
      </c>
      <c r="F742" s="208">
        <v>44481</v>
      </c>
      <c r="G742" s="209" t="s">
        <v>5</v>
      </c>
      <c r="H742" s="210">
        <v>2142</v>
      </c>
      <c r="I742" s="208" t="s">
        <v>467</v>
      </c>
      <c r="J742" s="211">
        <v>1956</v>
      </c>
      <c r="K742" s="210">
        <v>2253</v>
      </c>
      <c r="L742" s="219">
        <v>0</v>
      </c>
      <c r="M742" s="212"/>
      <c r="N742" s="211">
        <v>2142</v>
      </c>
      <c r="O742" s="202">
        <v>12.2</v>
      </c>
      <c r="P742" s="213">
        <v>11.6</v>
      </c>
      <c r="Q742" s="213">
        <v>0.6</v>
      </c>
      <c r="R742" s="204">
        <v>8</v>
      </c>
      <c r="S742" s="213">
        <v>7.8</v>
      </c>
      <c r="T742" s="213">
        <v>0.2</v>
      </c>
      <c r="V742" s="210">
        <v>2142</v>
      </c>
      <c r="W742" s="202">
        <v>12.2</v>
      </c>
      <c r="X742" s="213">
        <v>11.6</v>
      </c>
      <c r="Y742" s="213">
        <v>0.6</v>
      </c>
      <c r="Z742" s="204">
        <v>8</v>
      </c>
      <c r="AA742" s="213">
        <v>7.8</v>
      </c>
      <c r="AB742" s="213">
        <v>0.2</v>
      </c>
      <c r="AD742" s="210">
        <v>2142</v>
      </c>
      <c r="AE742" s="202" t="s">
        <v>82</v>
      </c>
      <c r="AF742" s="213" t="s">
        <v>82</v>
      </c>
      <c r="AG742" s="213" t="s">
        <v>82</v>
      </c>
      <c r="AH742" s="204" t="s">
        <v>82</v>
      </c>
      <c r="AI742" s="213" t="s">
        <v>82</v>
      </c>
      <c r="AJ742" s="213" t="s">
        <v>82</v>
      </c>
    </row>
    <row customFormat="1" r="743" s="214" spans="1:36" x14ac:dyDescent="0.2">
      <c r="A743" s="217">
        <v>739</v>
      </c>
      <c r="B743" s="218">
        <v>24</v>
      </c>
      <c r="C743" s="207" t="s">
        <v>461</v>
      </c>
      <c r="D743" s="207">
        <v>1</v>
      </c>
      <c r="E743" s="207" t="s">
        <v>462</v>
      </c>
      <c r="F743" s="208">
        <v>44488</v>
      </c>
      <c r="G743" s="209" t="s">
        <v>5</v>
      </c>
      <c r="H743" s="210">
        <v>2143</v>
      </c>
      <c r="I743" s="208" t="s">
        <v>468</v>
      </c>
      <c r="J743" s="211">
        <v>2100</v>
      </c>
      <c r="K743" s="210">
        <v>2253</v>
      </c>
      <c r="L743" s="219">
        <v>0</v>
      </c>
      <c r="M743" s="212"/>
      <c r="N743" s="211">
        <v>2143</v>
      </c>
      <c r="O743" s="202">
        <v>12</v>
      </c>
      <c r="P743" s="213">
        <v>11.3</v>
      </c>
      <c r="Q743" s="213">
        <v>0.7</v>
      </c>
      <c r="R743" s="204">
        <v>8.4</v>
      </c>
      <c r="S743" s="213">
        <v>8</v>
      </c>
      <c r="T743" s="213">
        <v>0.4</v>
      </c>
      <c r="V743" s="210">
        <v>2143</v>
      </c>
      <c r="W743" s="202">
        <v>12</v>
      </c>
      <c r="X743" s="213">
        <v>11.3</v>
      </c>
      <c r="Y743" s="213">
        <v>0.7</v>
      </c>
      <c r="Z743" s="204">
        <v>8.4</v>
      </c>
      <c r="AA743" s="213">
        <v>8</v>
      </c>
      <c r="AB743" s="213">
        <v>0.4</v>
      </c>
      <c r="AD743" s="210">
        <v>2143</v>
      </c>
      <c r="AE743" s="202" t="s">
        <v>82</v>
      </c>
      <c r="AF743" s="213" t="s">
        <v>82</v>
      </c>
      <c r="AG743" s="213" t="s">
        <v>82</v>
      </c>
      <c r="AH743" s="204" t="s">
        <v>82</v>
      </c>
      <c r="AI743" s="213" t="s">
        <v>82</v>
      </c>
      <c r="AJ743" s="213" t="s">
        <v>82</v>
      </c>
    </row>
    <row customFormat="1" r="744" s="214" spans="1:36" x14ac:dyDescent="0.2">
      <c r="A744" s="217">
        <v>740</v>
      </c>
      <c r="B744" s="218">
        <v>24</v>
      </c>
      <c r="C744" s="207" t="s">
        <v>461</v>
      </c>
      <c r="D744" s="207">
        <v>1</v>
      </c>
      <c r="E744" s="207" t="s">
        <v>462</v>
      </c>
      <c r="F744" s="208">
        <v>44495</v>
      </c>
      <c r="G744" s="209" t="s">
        <v>5</v>
      </c>
      <c r="H744" s="210">
        <v>2144</v>
      </c>
      <c r="I744" s="208" t="s">
        <v>469</v>
      </c>
      <c r="J744" s="211">
        <v>2200</v>
      </c>
      <c r="K744" s="210">
        <v>2259</v>
      </c>
      <c r="L744" s="219">
        <v>0</v>
      </c>
      <c r="M744" s="212"/>
      <c r="N744" s="211">
        <v>2144</v>
      </c>
      <c r="O744" s="202">
        <v>11.1</v>
      </c>
      <c r="P744" s="213">
        <v>10.3</v>
      </c>
      <c r="Q744" s="213">
        <v>0.8</v>
      </c>
      <c r="R744" s="204">
        <v>7.9</v>
      </c>
      <c r="S744" s="213">
        <v>7.9</v>
      </c>
      <c r="T744" s="213">
        <v>0</v>
      </c>
      <c r="V744" s="210">
        <v>2144</v>
      </c>
      <c r="W744" s="202">
        <v>11</v>
      </c>
      <c r="X744" s="213">
        <v>10.3</v>
      </c>
      <c r="Y744" s="213">
        <v>0.7</v>
      </c>
      <c r="Z744" s="204">
        <v>7.9</v>
      </c>
      <c r="AA744" s="213">
        <v>7.9</v>
      </c>
      <c r="AB744" s="213">
        <v>0</v>
      </c>
      <c r="AD744" s="210">
        <v>2144</v>
      </c>
      <c r="AE744" s="202">
        <v>-9.9999999999999645E-2</v>
      </c>
      <c r="AF744" s="213" t="s">
        <v>82</v>
      </c>
      <c r="AG744" s="213">
        <v>-0.10000000000000009</v>
      </c>
      <c r="AH744" s="204" t="s">
        <v>82</v>
      </c>
      <c r="AI744" s="213" t="s">
        <v>82</v>
      </c>
      <c r="AJ744" s="213" t="s">
        <v>82</v>
      </c>
    </row>
    <row customFormat="1" r="745" s="214" spans="1:36" x14ac:dyDescent="0.2">
      <c r="A745" s="217">
        <v>741</v>
      </c>
      <c r="B745" s="218">
        <v>24</v>
      </c>
      <c r="C745" s="207" t="s">
        <v>461</v>
      </c>
      <c r="D745" s="207">
        <v>2</v>
      </c>
      <c r="E745" s="207" t="s">
        <v>470</v>
      </c>
      <c r="F745" s="208">
        <v>44125</v>
      </c>
      <c r="G745" s="209" t="s">
        <v>6</v>
      </c>
      <c r="H745" s="210">
        <v>2043</v>
      </c>
      <c r="I745" s="208" t="s">
        <v>471</v>
      </c>
      <c r="J745" s="211">
        <v>1650</v>
      </c>
      <c r="K745" s="210">
        <v>1749</v>
      </c>
      <c r="L745" s="219">
        <v>0</v>
      </c>
      <c r="M745" s="212"/>
      <c r="N745" s="211">
        <v>2043</v>
      </c>
      <c r="O745" s="202">
        <v>3.5</v>
      </c>
      <c r="P745" s="213">
        <v>3.3</v>
      </c>
      <c r="Q745" s="213">
        <v>0.2</v>
      </c>
      <c r="R745" s="204">
        <v>3.4</v>
      </c>
      <c r="S745" s="213">
        <v>3.4</v>
      </c>
      <c r="T745" s="213" t="s">
        <v>84</v>
      </c>
      <c r="V745" s="210">
        <v>2043</v>
      </c>
      <c r="W745" s="202">
        <v>3.3</v>
      </c>
      <c r="X745" s="213">
        <v>3.3</v>
      </c>
      <c r="Y745" s="213">
        <v>0</v>
      </c>
      <c r="Z745" s="204">
        <v>3.4</v>
      </c>
      <c r="AA745" s="213">
        <v>3.4</v>
      </c>
      <c r="AB745" s="213" t="s">
        <v>84</v>
      </c>
      <c r="AD745" s="210">
        <v>2043</v>
      </c>
      <c r="AE745" s="202">
        <v>-0.20000000000000018</v>
      </c>
      <c r="AF745" s="213" t="s">
        <v>82</v>
      </c>
      <c r="AG745" s="213">
        <v>-0.2</v>
      </c>
      <c r="AH745" s="204" t="s">
        <v>82</v>
      </c>
      <c r="AI745" s="213" t="s">
        <v>82</v>
      </c>
      <c r="AJ745" s="213" t="s">
        <v>82</v>
      </c>
    </row>
    <row customFormat="1" r="746" s="214" spans="1:36" x14ac:dyDescent="0.2">
      <c r="A746" s="217">
        <v>742</v>
      </c>
      <c r="B746" s="218">
        <v>24</v>
      </c>
      <c r="C746" s="207" t="s">
        <v>461</v>
      </c>
      <c r="D746" s="207">
        <v>2</v>
      </c>
      <c r="E746" s="207" t="s">
        <v>470</v>
      </c>
      <c r="F746" s="208">
        <v>44132</v>
      </c>
      <c r="G746" s="209" t="s">
        <v>6</v>
      </c>
      <c r="H746" s="210">
        <v>2044</v>
      </c>
      <c r="I746" s="208" t="s">
        <v>471</v>
      </c>
      <c r="J746" s="211">
        <v>1650</v>
      </c>
      <c r="K746" s="210">
        <v>1749</v>
      </c>
      <c r="L746" s="219">
        <v>0</v>
      </c>
      <c r="M746" s="212"/>
      <c r="N746" s="211">
        <v>2044</v>
      </c>
      <c r="O746" s="202">
        <v>4.0999999999999996</v>
      </c>
      <c r="P746" s="213">
        <v>3.9</v>
      </c>
      <c r="Q746" s="213">
        <v>0.2</v>
      </c>
      <c r="R746" s="204">
        <v>4.3</v>
      </c>
      <c r="S746" s="213">
        <v>4.3</v>
      </c>
      <c r="T746" s="213" t="s">
        <v>84</v>
      </c>
      <c r="V746" s="210">
        <v>2044</v>
      </c>
      <c r="W746" s="202">
        <v>3.9</v>
      </c>
      <c r="X746" s="213">
        <v>3.9</v>
      </c>
      <c r="Y746" s="213">
        <v>0</v>
      </c>
      <c r="Z746" s="204">
        <v>4.3</v>
      </c>
      <c r="AA746" s="213">
        <v>4.3</v>
      </c>
      <c r="AB746" s="213" t="s">
        <v>84</v>
      </c>
      <c r="AD746" s="210">
        <v>2044</v>
      </c>
      <c r="AE746" s="202">
        <v>-0.19999999999999973</v>
      </c>
      <c r="AF746" s="213" t="s">
        <v>82</v>
      </c>
      <c r="AG746" s="213">
        <v>-0.2</v>
      </c>
      <c r="AH746" s="204" t="s">
        <v>82</v>
      </c>
      <c r="AI746" s="213" t="s">
        <v>82</v>
      </c>
      <c r="AJ746" s="213" t="s">
        <v>82</v>
      </c>
    </row>
    <row customFormat="1" r="747" s="214" spans="1:36" x14ac:dyDescent="0.2">
      <c r="A747" s="217">
        <v>743</v>
      </c>
      <c r="B747" s="218">
        <v>24</v>
      </c>
      <c r="C747" s="207" t="s">
        <v>461</v>
      </c>
      <c r="D747" s="207">
        <v>2</v>
      </c>
      <c r="E747" s="207" t="s">
        <v>470</v>
      </c>
      <c r="F747" s="208">
        <v>44139</v>
      </c>
      <c r="G747" s="209" t="s">
        <v>6</v>
      </c>
      <c r="H747" s="210">
        <v>2045</v>
      </c>
      <c r="I747" s="208" t="s">
        <v>471</v>
      </c>
      <c r="J747" s="211">
        <v>1650</v>
      </c>
      <c r="K747" s="210">
        <v>1749</v>
      </c>
      <c r="L747" s="219">
        <v>0</v>
      </c>
      <c r="M747" s="212"/>
      <c r="N747" s="211">
        <v>2045</v>
      </c>
      <c r="O747" s="202">
        <v>4.5</v>
      </c>
      <c r="P747" s="213">
        <v>4.3</v>
      </c>
      <c r="Q747" s="213">
        <v>0.2</v>
      </c>
      <c r="R747" s="204">
        <v>5.0999999999999996</v>
      </c>
      <c r="S747" s="213">
        <v>5.0999999999999996</v>
      </c>
      <c r="T747" s="213" t="s">
        <v>84</v>
      </c>
      <c r="V747" s="210">
        <v>2045</v>
      </c>
      <c r="W747" s="202">
        <v>4.3</v>
      </c>
      <c r="X747" s="213">
        <v>4.3</v>
      </c>
      <c r="Y747" s="213">
        <v>0</v>
      </c>
      <c r="Z747" s="204">
        <v>5.0999999999999996</v>
      </c>
      <c r="AA747" s="213">
        <v>5.0999999999999996</v>
      </c>
      <c r="AB747" s="213" t="s">
        <v>84</v>
      </c>
      <c r="AD747" s="210">
        <v>2045</v>
      </c>
      <c r="AE747" s="202">
        <v>-0.20000000000000018</v>
      </c>
      <c r="AF747" s="213" t="s">
        <v>82</v>
      </c>
      <c r="AG747" s="213">
        <v>-0.2</v>
      </c>
      <c r="AH747" s="204" t="s">
        <v>82</v>
      </c>
      <c r="AI747" s="213" t="s">
        <v>82</v>
      </c>
      <c r="AJ747" s="213" t="s">
        <v>82</v>
      </c>
    </row>
    <row customFormat="1" r="748" s="214" spans="1:36" x14ac:dyDescent="0.2">
      <c r="A748" s="217">
        <v>744</v>
      </c>
      <c r="B748" s="218">
        <v>24</v>
      </c>
      <c r="C748" s="207" t="s">
        <v>461</v>
      </c>
      <c r="D748" s="207">
        <v>2</v>
      </c>
      <c r="E748" s="207" t="s">
        <v>470</v>
      </c>
      <c r="F748" s="208">
        <v>44146</v>
      </c>
      <c r="G748" s="209" t="s">
        <v>6</v>
      </c>
      <c r="H748" s="210">
        <v>2046</v>
      </c>
      <c r="I748" s="208" t="s">
        <v>471</v>
      </c>
      <c r="J748" s="211">
        <v>1650</v>
      </c>
      <c r="K748" s="210">
        <v>1749</v>
      </c>
      <c r="L748" s="219">
        <v>0</v>
      </c>
      <c r="M748" s="212"/>
      <c r="N748" s="211">
        <v>2046</v>
      </c>
      <c r="O748" s="202">
        <v>4.5999999999999996</v>
      </c>
      <c r="P748" s="213">
        <v>4.4000000000000004</v>
      </c>
      <c r="Q748" s="213">
        <v>0.2</v>
      </c>
      <c r="R748" s="204">
        <v>5.2</v>
      </c>
      <c r="S748" s="213">
        <v>5.2</v>
      </c>
      <c r="T748" s="213" t="s">
        <v>84</v>
      </c>
      <c r="V748" s="210">
        <v>2046</v>
      </c>
      <c r="W748" s="202">
        <v>4.4000000000000004</v>
      </c>
      <c r="X748" s="213">
        <v>4.4000000000000004</v>
      </c>
      <c r="Y748" s="213">
        <v>0</v>
      </c>
      <c r="Z748" s="204">
        <v>5.2</v>
      </c>
      <c r="AA748" s="213">
        <v>5.2</v>
      </c>
      <c r="AB748" s="213" t="s">
        <v>84</v>
      </c>
      <c r="AD748" s="210">
        <v>2046</v>
      </c>
      <c r="AE748" s="202">
        <v>-0.19999999999999929</v>
      </c>
      <c r="AF748" s="213" t="s">
        <v>82</v>
      </c>
      <c r="AG748" s="213">
        <v>-0.2</v>
      </c>
      <c r="AH748" s="204" t="s">
        <v>82</v>
      </c>
      <c r="AI748" s="213" t="s">
        <v>82</v>
      </c>
      <c r="AJ748" s="213" t="s">
        <v>82</v>
      </c>
    </row>
    <row customFormat="1" r="749" s="214" spans="1:36" x14ac:dyDescent="0.2">
      <c r="A749" s="217">
        <v>745</v>
      </c>
      <c r="B749" s="218">
        <v>24</v>
      </c>
      <c r="C749" s="207" t="s">
        <v>461</v>
      </c>
      <c r="D749" s="207">
        <v>2</v>
      </c>
      <c r="E749" s="207" t="s">
        <v>470</v>
      </c>
      <c r="F749" s="208">
        <v>44549</v>
      </c>
      <c r="G749" s="209" t="s">
        <v>10</v>
      </c>
      <c r="H749" s="210">
        <v>2151</v>
      </c>
      <c r="I749" s="208" t="s">
        <v>472</v>
      </c>
      <c r="J749" s="211">
        <v>630</v>
      </c>
      <c r="K749" s="210">
        <v>644</v>
      </c>
      <c r="L749" s="219">
        <v>1</v>
      </c>
      <c r="M749" s="212"/>
      <c r="N749" s="211">
        <v>2151</v>
      </c>
      <c r="O749" s="202">
        <v>1.7</v>
      </c>
      <c r="P749" s="213">
        <v>1.2</v>
      </c>
      <c r="Q749" s="213">
        <v>0.5</v>
      </c>
      <c r="R749" s="204">
        <v>4.0999999999999996</v>
      </c>
      <c r="S749" s="213">
        <v>1.4</v>
      </c>
      <c r="T749" s="213">
        <v>2.7</v>
      </c>
      <c r="V749" s="210">
        <v>2151</v>
      </c>
      <c r="W749" s="202">
        <v>1.2</v>
      </c>
      <c r="X749" s="213">
        <v>1.2</v>
      </c>
      <c r="Y749" s="213">
        <v>0</v>
      </c>
      <c r="Z749" s="204">
        <v>1.4</v>
      </c>
      <c r="AA749" s="213">
        <v>1.4</v>
      </c>
      <c r="AB749" s="213">
        <v>0</v>
      </c>
      <c r="AD749" s="210">
        <v>2151</v>
      </c>
      <c r="AE749" s="202">
        <v>-0.5</v>
      </c>
      <c r="AF749" s="213" t="s">
        <v>82</v>
      </c>
      <c r="AG749" s="213">
        <v>-0.5</v>
      </c>
      <c r="AH749" s="204">
        <v>-2.6999999999999997</v>
      </c>
      <c r="AI749" s="213" t="s">
        <v>82</v>
      </c>
      <c r="AJ749" s="213">
        <v>-2.7</v>
      </c>
    </row>
    <row customFormat="1" r="750" s="214" spans="1:36" x14ac:dyDescent="0.2">
      <c r="A750" s="217">
        <v>746</v>
      </c>
      <c r="B750" s="218">
        <v>24</v>
      </c>
      <c r="C750" s="207" t="s">
        <v>461</v>
      </c>
      <c r="D750" s="207">
        <v>2</v>
      </c>
      <c r="E750" s="207" t="s">
        <v>470</v>
      </c>
      <c r="F750" s="208">
        <v>44556</v>
      </c>
      <c r="G750" s="209" t="s">
        <v>10</v>
      </c>
      <c r="H750" s="210">
        <v>2152</v>
      </c>
      <c r="I750" s="208" t="s">
        <v>472</v>
      </c>
      <c r="J750" s="211">
        <v>630</v>
      </c>
      <c r="K750" s="210">
        <v>644</v>
      </c>
      <c r="L750" s="219">
        <v>1</v>
      </c>
      <c r="M750" s="212"/>
      <c r="N750" s="211">
        <v>2152</v>
      </c>
      <c r="O750" s="202">
        <v>1.8</v>
      </c>
      <c r="P750" s="213">
        <v>1.3</v>
      </c>
      <c r="Q750" s="213">
        <v>0.5</v>
      </c>
      <c r="R750" s="204">
        <v>4.2</v>
      </c>
      <c r="S750" s="213">
        <v>1.5</v>
      </c>
      <c r="T750" s="213">
        <v>2.7</v>
      </c>
      <c r="V750" s="210">
        <v>2152</v>
      </c>
      <c r="W750" s="202">
        <v>1.3</v>
      </c>
      <c r="X750" s="213">
        <v>1.3</v>
      </c>
      <c r="Y750" s="213">
        <v>0</v>
      </c>
      <c r="Z750" s="204">
        <v>1.5</v>
      </c>
      <c r="AA750" s="213">
        <v>1.5</v>
      </c>
      <c r="AB750" s="213">
        <v>0</v>
      </c>
      <c r="AD750" s="210">
        <v>2152</v>
      </c>
      <c r="AE750" s="202">
        <v>-0.5</v>
      </c>
      <c r="AF750" s="213" t="s">
        <v>82</v>
      </c>
      <c r="AG750" s="213">
        <v>-0.5</v>
      </c>
      <c r="AH750" s="204">
        <v>-2.7</v>
      </c>
      <c r="AI750" s="213" t="s">
        <v>82</v>
      </c>
      <c r="AJ750" s="213">
        <v>-2.7</v>
      </c>
    </row>
    <row customFormat="1" r="751" s="214" spans="1:36" x14ac:dyDescent="0.2">
      <c r="A751" s="217">
        <v>747</v>
      </c>
      <c r="B751" s="218">
        <v>24</v>
      </c>
      <c r="C751" s="207" t="s">
        <v>461</v>
      </c>
      <c r="D751" s="207">
        <v>2</v>
      </c>
      <c r="E751" s="207" t="s">
        <v>470</v>
      </c>
      <c r="F751" s="208">
        <v>44563</v>
      </c>
      <c r="G751" s="209" t="s">
        <v>10</v>
      </c>
      <c r="H751" s="210">
        <v>2201</v>
      </c>
      <c r="I751" s="208" t="s">
        <v>473</v>
      </c>
      <c r="J751" s="211">
        <v>625</v>
      </c>
      <c r="K751" s="210">
        <v>719</v>
      </c>
      <c r="L751" s="219">
        <v>0</v>
      </c>
      <c r="M751" s="212"/>
      <c r="N751" s="211">
        <v>2201</v>
      </c>
      <c r="O751" s="202">
        <v>2.2000000000000002</v>
      </c>
      <c r="P751" s="213">
        <v>2</v>
      </c>
      <c r="Q751" s="213">
        <v>0.2</v>
      </c>
      <c r="R751" s="204">
        <v>3.8</v>
      </c>
      <c r="S751" s="213">
        <v>3.7</v>
      </c>
      <c r="T751" s="213">
        <v>0.1</v>
      </c>
      <c r="V751" s="210">
        <v>2201</v>
      </c>
      <c r="W751" s="202">
        <v>2.1</v>
      </c>
      <c r="X751" s="213">
        <v>2</v>
      </c>
      <c r="Y751" s="213">
        <v>0.1</v>
      </c>
      <c r="Z751" s="204">
        <v>3.8</v>
      </c>
      <c r="AA751" s="213">
        <v>3.7</v>
      </c>
      <c r="AB751" s="213">
        <v>0.1</v>
      </c>
      <c r="AD751" s="210">
        <v>2201</v>
      </c>
      <c r="AE751" s="202">
        <v>-0.10000000000000009</v>
      </c>
      <c r="AF751" s="213" t="s">
        <v>82</v>
      </c>
      <c r="AG751" s="213">
        <v>-0.1</v>
      </c>
      <c r="AH751" s="204"/>
      <c r="AI751" s="213" t="s">
        <v>82</v>
      </c>
      <c r="AJ751" s="213" t="s">
        <v>82</v>
      </c>
    </row>
    <row customFormat="1" r="752" s="214" spans="1:36" x14ac:dyDescent="0.2">
      <c r="A752" s="217">
        <v>748</v>
      </c>
      <c r="B752" s="218">
        <v>24</v>
      </c>
      <c r="C752" s="207" t="s">
        <v>461</v>
      </c>
      <c r="D752" s="207">
        <v>2</v>
      </c>
      <c r="E752" s="207" t="s">
        <v>470</v>
      </c>
      <c r="F752" s="208">
        <v>44570</v>
      </c>
      <c r="G752" s="209" t="s">
        <v>10</v>
      </c>
      <c r="H752" s="210">
        <v>2202</v>
      </c>
      <c r="I752" s="208" t="s">
        <v>472</v>
      </c>
      <c r="J752" s="211">
        <v>630</v>
      </c>
      <c r="K752" s="210">
        <v>644</v>
      </c>
      <c r="L752" s="219">
        <v>1</v>
      </c>
      <c r="M752" s="212"/>
      <c r="N752" s="211">
        <v>2202</v>
      </c>
      <c r="O752" s="202">
        <v>2.4</v>
      </c>
      <c r="P752" s="213">
        <v>1.8</v>
      </c>
      <c r="Q752" s="213">
        <v>0.6</v>
      </c>
      <c r="R752" s="204">
        <v>5.6</v>
      </c>
      <c r="S752" s="213">
        <v>2</v>
      </c>
      <c r="T752" s="213">
        <v>3.6</v>
      </c>
      <c r="V752" s="210">
        <v>2202</v>
      </c>
      <c r="W752" s="202">
        <v>1.8</v>
      </c>
      <c r="X752" s="213">
        <v>1.8</v>
      </c>
      <c r="Y752" s="213">
        <v>0</v>
      </c>
      <c r="Z752" s="204">
        <v>2</v>
      </c>
      <c r="AA752" s="213">
        <v>2</v>
      </c>
      <c r="AB752" s="213">
        <v>0</v>
      </c>
      <c r="AD752" s="210">
        <v>2202</v>
      </c>
      <c r="AE752" s="202">
        <v>-0.59999999999999987</v>
      </c>
      <c r="AF752" s="213" t="s">
        <v>82</v>
      </c>
      <c r="AG752" s="213">
        <v>-0.6</v>
      </c>
      <c r="AH752" s="204">
        <v>-3.5999999999999996</v>
      </c>
      <c r="AI752" s="213" t="s">
        <v>82</v>
      </c>
      <c r="AJ752" s="213">
        <v>-3.6</v>
      </c>
    </row>
    <row customFormat="1" r="753" s="214" spans="1:36" x14ac:dyDescent="0.2">
      <c r="A753" s="217">
        <v>749</v>
      </c>
      <c r="B753" s="218">
        <v>25</v>
      </c>
      <c r="C753" s="207" t="s">
        <v>474</v>
      </c>
      <c r="D753" s="207">
        <v>1</v>
      </c>
      <c r="E753" s="207" t="s">
        <v>475</v>
      </c>
      <c r="F753" s="208">
        <v>44679</v>
      </c>
      <c r="G753" s="209" t="s">
        <v>7</v>
      </c>
      <c r="H753" s="210">
        <v>2218</v>
      </c>
      <c r="I753" s="208" t="s">
        <v>476</v>
      </c>
      <c r="J753" s="211">
        <v>2000</v>
      </c>
      <c r="K753" s="210">
        <v>2156</v>
      </c>
      <c r="L753" s="219">
        <v>0</v>
      </c>
      <c r="M753" s="212"/>
      <c r="N753" s="211">
        <v>2218</v>
      </c>
      <c r="O753" s="202">
        <v>10.4</v>
      </c>
      <c r="P753" s="213">
        <v>10</v>
      </c>
      <c r="Q753" s="213">
        <v>0.4</v>
      </c>
      <c r="R753" s="204">
        <v>9.6</v>
      </c>
      <c r="S753" s="213">
        <v>9.3000000000000007</v>
      </c>
      <c r="T753" s="213">
        <v>0.3</v>
      </c>
      <c r="V753" s="210">
        <v>2218</v>
      </c>
      <c r="W753" s="202">
        <v>10.4</v>
      </c>
      <c r="X753" s="213">
        <v>10</v>
      </c>
      <c r="Y753" s="213">
        <v>0.4</v>
      </c>
      <c r="Z753" s="204">
        <v>9.6</v>
      </c>
      <c r="AA753" s="213">
        <v>9.3000000000000007</v>
      </c>
      <c r="AB753" s="213">
        <v>0.3</v>
      </c>
      <c r="AD753" s="210">
        <v>2218</v>
      </c>
      <c r="AE753" s="202" t="s">
        <v>82</v>
      </c>
      <c r="AF753" s="213" t="s">
        <v>82</v>
      </c>
      <c r="AG753" s="213" t="s">
        <v>82</v>
      </c>
      <c r="AH753" s="204"/>
      <c r="AI753" s="213" t="s">
        <v>82</v>
      </c>
      <c r="AJ753" s="213" t="s">
        <v>82</v>
      </c>
    </row>
    <row customFormat="1" r="754" s="214" spans="1:36" x14ac:dyDescent="0.2">
      <c r="A754" s="217">
        <v>750</v>
      </c>
      <c r="B754" s="218">
        <v>25</v>
      </c>
      <c r="C754" s="207" t="s">
        <v>474</v>
      </c>
      <c r="D754" s="207">
        <v>1</v>
      </c>
      <c r="E754" s="207" t="s">
        <v>475</v>
      </c>
      <c r="F754" s="208">
        <v>44686</v>
      </c>
      <c r="G754" s="209" t="s">
        <v>7</v>
      </c>
      <c r="H754" s="210">
        <v>2219</v>
      </c>
      <c r="I754" s="208" t="s">
        <v>476</v>
      </c>
      <c r="J754" s="211">
        <v>2000</v>
      </c>
      <c r="K754" s="210">
        <v>2156</v>
      </c>
      <c r="L754" s="219">
        <v>0</v>
      </c>
      <c r="M754" s="212"/>
      <c r="N754" s="211">
        <v>2219</v>
      </c>
      <c r="O754" s="202">
        <v>9.1</v>
      </c>
      <c r="P754" s="213">
        <v>8.8000000000000007</v>
      </c>
      <c r="Q754" s="213">
        <v>0.3</v>
      </c>
      <c r="R754" s="204">
        <v>8.3000000000000007</v>
      </c>
      <c r="S754" s="213">
        <v>8</v>
      </c>
      <c r="T754" s="213">
        <v>0.3</v>
      </c>
      <c r="V754" s="210">
        <v>2219</v>
      </c>
      <c r="W754" s="202">
        <v>9.1</v>
      </c>
      <c r="X754" s="213">
        <v>8.8000000000000007</v>
      </c>
      <c r="Y754" s="213">
        <v>0.3</v>
      </c>
      <c r="Z754" s="204">
        <v>8.3000000000000007</v>
      </c>
      <c r="AA754" s="213">
        <v>8</v>
      </c>
      <c r="AB754" s="213">
        <v>0.3</v>
      </c>
      <c r="AD754" s="210">
        <v>2219</v>
      </c>
      <c r="AE754" s="202"/>
      <c r="AF754" s="213" t="s">
        <v>82</v>
      </c>
      <c r="AG754" s="213" t="s">
        <v>82</v>
      </c>
      <c r="AH754" s="204" t="s">
        <v>82</v>
      </c>
      <c r="AI754" s="213" t="s">
        <v>82</v>
      </c>
      <c r="AJ754" s="213" t="s">
        <v>82</v>
      </c>
    </row>
    <row customFormat="1" r="755" s="214" spans="1:36" x14ac:dyDescent="0.2">
      <c r="A755" s="217">
        <v>751</v>
      </c>
      <c r="B755" s="218">
        <v>25</v>
      </c>
      <c r="C755" s="207" t="s">
        <v>474</v>
      </c>
      <c r="D755" s="207">
        <v>1</v>
      </c>
      <c r="E755" s="207" t="s">
        <v>475</v>
      </c>
      <c r="F755" s="208">
        <v>44693</v>
      </c>
      <c r="G755" s="209" t="s">
        <v>7</v>
      </c>
      <c r="H755" s="210">
        <v>2220</v>
      </c>
      <c r="I755" s="208" t="s">
        <v>476</v>
      </c>
      <c r="J755" s="211">
        <v>2000</v>
      </c>
      <c r="K755" s="210">
        <v>2156</v>
      </c>
      <c r="L755" s="219">
        <v>0</v>
      </c>
      <c r="M755" s="212"/>
      <c r="N755" s="211">
        <v>2220</v>
      </c>
      <c r="O755" s="202">
        <v>8.5</v>
      </c>
      <c r="P755" s="213">
        <v>8.1999999999999993</v>
      </c>
      <c r="Q755" s="213">
        <v>0.3</v>
      </c>
      <c r="R755" s="204">
        <v>7.7</v>
      </c>
      <c r="S755" s="213">
        <v>7.3</v>
      </c>
      <c r="T755" s="213">
        <v>0.4</v>
      </c>
      <c r="V755" s="210">
        <v>2220</v>
      </c>
      <c r="W755" s="202">
        <v>8.5</v>
      </c>
      <c r="X755" s="213">
        <v>8.1999999999999993</v>
      </c>
      <c r="Y755" s="213">
        <v>0.3</v>
      </c>
      <c r="Z755" s="204">
        <v>7.7</v>
      </c>
      <c r="AA755" s="213">
        <v>7.3</v>
      </c>
      <c r="AB755" s="213">
        <v>0.4</v>
      </c>
      <c r="AD755" s="210">
        <v>2220</v>
      </c>
      <c r="AE755" s="202" t="s">
        <v>82</v>
      </c>
      <c r="AF755" s="213" t="s">
        <v>82</v>
      </c>
      <c r="AG755" s="213" t="s">
        <v>82</v>
      </c>
      <c r="AH755" s="204" t="s">
        <v>82</v>
      </c>
      <c r="AI755" s="213" t="s">
        <v>82</v>
      </c>
      <c r="AJ755" s="213" t="s">
        <v>82</v>
      </c>
    </row>
    <row customFormat="1" r="756" s="214" spans="1:36" x14ac:dyDescent="0.2">
      <c r="A756" s="217">
        <v>752</v>
      </c>
      <c r="B756" s="218">
        <v>25</v>
      </c>
      <c r="C756" s="207" t="s">
        <v>474</v>
      </c>
      <c r="D756" s="207">
        <v>1</v>
      </c>
      <c r="E756" s="207" t="s">
        <v>475</v>
      </c>
      <c r="F756" s="208">
        <v>44700</v>
      </c>
      <c r="G756" s="209" t="s">
        <v>7</v>
      </c>
      <c r="H756" s="210">
        <v>2221</v>
      </c>
      <c r="I756" s="208" t="s">
        <v>477</v>
      </c>
      <c r="J756" s="211">
        <v>2000</v>
      </c>
      <c r="K756" s="210">
        <v>2159</v>
      </c>
      <c r="L756" s="219">
        <v>0</v>
      </c>
      <c r="M756" s="212"/>
      <c r="N756" s="211">
        <v>2221</v>
      </c>
      <c r="O756" s="202">
        <v>8.3000000000000007</v>
      </c>
      <c r="P756" s="213">
        <v>8</v>
      </c>
      <c r="Q756" s="213">
        <v>0.3</v>
      </c>
      <c r="R756" s="204">
        <v>7</v>
      </c>
      <c r="S756" s="213">
        <v>7</v>
      </c>
      <c r="T756" s="213">
        <v>0</v>
      </c>
      <c r="V756" s="210">
        <v>2221</v>
      </c>
      <c r="W756" s="202">
        <v>8.3000000000000007</v>
      </c>
      <c r="X756" s="213">
        <v>8</v>
      </c>
      <c r="Y756" s="213">
        <v>0.3</v>
      </c>
      <c r="Z756" s="204">
        <v>7</v>
      </c>
      <c r="AA756" s="213">
        <v>7</v>
      </c>
      <c r="AB756" s="213">
        <v>0</v>
      </c>
      <c r="AD756" s="210">
        <v>2221</v>
      </c>
      <c r="AE756" s="202" t="s">
        <v>82</v>
      </c>
      <c r="AF756" s="213" t="s">
        <v>82</v>
      </c>
      <c r="AG756" s="213" t="s">
        <v>82</v>
      </c>
      <c r="AH756" s="204" t="s">
        <v>82</v>
      </c>
      <c r="AI756" s="213" t="s">
        <v>82</v>
      </c>
      <c r="AJ756" s="213" t="s">
        <v>82</v>
      </c>
    </row>
    <row customFormat="1" r="757" s="214" spans="1:36" x14ac:dyDescent="0.2">
      <c r="A757" s="217">
        <v>753</v>
      </c>
      <c r="B757" s="218">
        <v>25</v>
      </c>
      <c r="C757" s="207" t="s">
        <v>474</v>
      </c>
      <c r="D757" s="207">
        <v>2</v>
      </c>
      <c r="E757" s="207" t="s">
        <v>478</v>
      </c>
      <c r="F757" s="208">
        <v>44051</v>
      </c>
      <c r="G757" s="209" t="s">
        <v>9</v>
      </c>
      <c r="H757" s="210">
        <v>2032</v>
      </c>
      <c r="I757" s="208" t="s">
        <v>479</v>
      </c>
      <c r="J757" s="211">
        <v>1956</v>
      </c>
      <c r="K757" s="210">
        <v>2053</v>
      </c>
      <c r="L757" s="219">
        <v>0</v>
      </c>
      <c r="M757" s="212"/>
      <c r="N757" s="211">
        <v>2032</v>
      </c>
      <c r="O757" s="202">
        <v>9.3000000000000007</v>
      </c>
      <c r="P757" s="213">
        <v>8.8000000000000007</v>
      </c>
      <c r="Q757" s="213">
        <v>0.5</v>
      </c>
      <c r="R757" s="204">
        <v>8.1999999999999993</v>
      </c>
      <c r="S757" s="213">
        <v>7.9</v>
      </c>
      <c r="T757" s="213">
        <v>0.3</v>
      </c>
      <c r="V757" s="210">
        <v>2032</v>
      </c>
      <c r="W757" s="202">
        <v>9.1</v>
      </c>
      <c r="X757" s="213">
        <v>8.8000000000000007</v>
      </c>
      <c r="Y757" s="213">
        <v>0.3</v>
      </c>
      <c r="Z757" s="204">
        <v>8.1999999999999993</v>
      </c>
      <c r="AA757" s="213">
        <v>7.9</v>
      </c>
      <c r="AB757" s="213">
        <v>0.3</v>
      </c>
      <c r="AD757" s="210">
        <v>2032</v>
      </c>
      <c r="AE757" s="202">
        <v>-0.20000000000000107</v>
      </c>
      <c r="AF757" s="213" t="s">
        <v>82</v>
      </c>
      <c r="AG757" s="213">
        <v>-0.2</v>
      </c>
      <c r="AH757" s="204"/>
      <c r="AI757" s="213" t="s">
        <v>82</v>
      </c>
      <c r="AJ757" s="213" t="s">
        <v>82</v>
      </c>
    </row>
    <row customFormat="1" r="758" s="214" spans="1:36" x14ac:dyDescent="0.2">
      <c r="A758" s="217">
        <v>754</v>
      </c>
      <c r="B758" s="218">
        <v>25</v>
      </c>
      <c r="C758" s="207" t="s">
        <v>474</v>
      </c>
      <c r="D758" s="207">
        <v>2</v>
      </c>
      <c r="E758" s="207" t="s">
        <v>478</v>
      </c>
      <c r="F758" s="208">
        <v>44058</v>
      </c>
      <c r="G758" s="209" t="s">
        <v>9</v>
      </c>
      <c r="H758" s="210">
        <v>2033</v>
      </c>
      <c r="I758" s="208" t="s">
        <v>479</v>
      </c>
      <c r="J758" s="211">
        <v>1956</v>
      </c>
      <c r="K758" s="210">
        <v>2053</v>
      </c>
      <c r="L758" s="219">
        <v>0</v>
      </c>
      <c r="M758" s="212"/>
      <c r="N758" s="211">
        <v>2033</v>
      </c>
      <c r="O758" s="202">
        <v>10.3</v>
      </c>
      <c r="P758" s="213">
        <v>9.8000000000000007</v>
      </c>
      <c r="Q758" s="213">
        <v>0.5</v>
      </c>
      <c r="R758" s="204">
        <v>8.9</v>
      </c>
      <c r="S758" s="213">
        <v>8.6999999999999993</v>
      </c>
      <c r="T758" s="213">
        <v>0.2</v>
      </c>
      <c r="V758" s="210">
        <v>2033</v>
      </c>
      <c r="W758" s="202">
        <v>10.199999999999999</v>
      </c>
      <c r="X758" s="213">
        <v>9.8000000000000007</v>
      </c>
      <c r="Y758" s="213">
        <v>0.4</v>
      </c>
      <c r="Z758" s="204">
        <v>8.9</v>
      </c>
      <c r="AA758" s="213">
        <v>8.6999999999999993</v>
      </c>
      <c r="AB758" s="213">
        <v>0.2</v>
      </c>
      <c r="AD758" s="210">
        <v>2033</v>
      </c>
      <c r="AE758" s="202">
        <v>-0.10000000000000142</v>
      </c>
      <c r="AF758" s="213" t="s">
        <v>82</v>
      </c>
      <c r="AG758" s="213">
        <v>-9.9999999999999978E-2</v>
      </c>
      <c r="AH758" s="204"/>
      <c r="AI758" s="213" t="s">
        <v>82</v>
      </c>
      <c r="AJ758" s="213" t="s">
        <v>82</v>
      </c>
    </row>
    <row customFormat="1" r="759" s="214" spans="1:36" x14ac:dyDescent="0.2">
      <c r="A759" s="217">
        <v>755</v>
      </c>
      <c r="B759" s="218">
        <v>25</v>
      </c>
      <c r="C759" s="207" t="s">
        <v>474</v>
      </c>
      <c r="D759" s="207">
        <v>2</v>
      </c>
      <c r="E759" s="207" t="s">
        <v>478</v>
      </c>
      <c r="F759" s="208">
        <v>44065</v>
      </c>
      <c r="G759" s="209" t="s">
        <v>9</v>
      </c>
      <c r="H759" s="210">
        <v>2034</v>
      </c>
      <c r="I759" s="208" t="s">
        <v>480</v>
      </c>
      <c r="J759" s="211">
        <v>1830</v>
      </c>
      <c r="K759" s="210">
        <v>2110</v>
      </c>
      <c r="L759" s="219">
        <v>0</v>
      </c>
      <c r="M759" s="212"/>
      <c r="N759" s="211">
        <v>2034</v>
      </c>
      <c r="O759" s="202">
        <v>8.8000000000000007</v>
      </c>
      <c r="P759" s="213">
        <v>8.4</v>
      </c>
      <c r="Q759" s="213">
        <v>0.4</v>
      </c>
      <c r="R759" s="204">
        <v>11.4</v>
      </c>
      <c r="S759" s="213">
        <v>11.4</v>
      </c>
      <c r="T759" s="213" t="s">
        <v>84</v>
      </c>
      <c r="V759" s="210">
        <v>2034</v>
      </c>
      <c r="W759" s="202">
        <v>8.8000000000000007</v>
      </c>
      <c r="X759" s="213">
        <v>8.4</v>
      </c>
      <c r="Y759" s="213">
        <v>0.4</v>
      </c>
      <c r="Z759" s="204">
        <v>11.4</v>
      </c>
      <c r="AA759" s="213">
        <v>11.4</v>
      </c>
      <c r="AB759" s="213" t="s">
        <v>84</v>
      </c>
      <c r="AD759" s="210">
        <v>2034</v>
      </c>
      <c r="AE759" s="202" t="s">
        <v>82</v>
      </c>
      <c r="AF759" s="213" t="s">
        <v>82</v>
      </c>
      <c r="AG759" s="213" t="s">
        <v>82</v>
      </c>
      <c r="AH759" s="204" t="s">
        <v>82</v>
      </c>
      <c r="AI759" s="213" t="s">
        <v>82</v>
      </c>
      <c r="AJ759" s="213" t="s">
        <v>82</v>
      </c>
    </row>
    <row customFormat="1" r="760" s="214" spans="1:36" x14ac:dyDescent="0.2">
      <c r="A760" s="217">
        <v>756</v>
      </c>
      <c r="B760" s="218">
        <v>25</v>
      </c>
      <c r="C760" s="207" t="s">
        <v>474</v>
      </c>
      <c r="D760" s="207">
        <v>2</v>
      </c>
      <c r="E760" s="207" t="s">
        <v>478</v>
      </c>
      <c r="F760" s="208">
        <v>44072</v>
      </c>
      <c r="G760" s="209" t="s">
        <v>9</v>
      </c>
      <c r="H760" s="210">
        <v>2035</v>
      </c>
      <c r="I760" s="208" t="s">
        <v>479</v>
      </c>
      <c r="J760" s="211">
        <v>1956</v>
      </c>
      <c r="K760" s="210">
        <v>2053</v>
      </c>
      <c r="L760" s="219">
        <v>0</v>
      </c>
      <c r="M760" s="212"/>
      <c r="N760" s="211">
        <v>2035</v>
      </c>
      <c r="O760" s="202">
        <v>10.5</v>
      </c>
      <c r="P760" s="213">
        <v>10.199999999999999</v>
      </c>
      <c r="Q760" s="213">
        <v>0.3</v>
      </c>
      <c r="R760" s="204">
        <v>9.6</v>
      </c>
      <c r="S760" s="213">
        <v>9.6</v>
      </c>
      <c r="T760" s="213">
        <v>0</v>
      </c>
      <c r="V760" s="210">
        <v>2035</v>
      </c>
      <c r="W760" s="202">
        <v>10.3</v>
      </c>
      <c r="X760" s="213">
        <v>10.199999999999999</v>
      </c>
      <c r="Y760" s="213">
        <v>0.1</v>
      </c>
      <c r="Z760" s="204">
        <v>9.6</v>
      </c>
      <c r="AA760" s="213">
        <v>9.6</v>
      </c>
      <c r="AB760" s="213">
        <v>0</v>
      </c>
      <c r="AD760" s="210">
        <v>2035</v>
      </c>
      <c r="AE760" s="202">
        <v>-0.19999999999999929</v>
      </c>
      <c r="AF760" s="213" t="s">
        <v>82</v>
      </c>
      <c r="AG760" s="213">
        <v>-0.19999999999999998</v>
      </c>
      <c r="AH760" s="204" t="s">
        <v>82</v>
      </c>
      <c r="AI760" s="213" t="s">
        <v>82</v>
      </c>
      <c r="AJ760" s="213" t="s">
        <v>82</v>
      </c>
    </row>
    <row customFormat="1" r="761" s="214" spans="1:36" x14ac:dyDescent="0.2">
      <c r="A761" s="217">
        <v>757</v>
      </c>
      <c r="B761" s="218">
        <v>25</v>
      </c>
      <c r="C761" s="207" t="s">
        <v>474</v>
      </c>
      <c r="D761" s="207">
        <v>2</v>
      </c>
      <c r="E761" s="207" t="s">
        <v>478</v>
      </c>
      <c r="F761" s="208">
        <v>44333</v>
      </c>
      <c r="G761" s="209" t="s">
        <v>4</v>
      </c>
      <c r="H761" s="210">
        <v>2121</v>
      </c>
      <c r="I761" s="208" t="s">
        <v>481</v>
      </c>
      <c r="J761" s="211">
        <v>1748</v>
      </c>
      <c r="K761" s="210">
        <v>1859</v>
      </c>
      <c r="L761" s="219">
        <v>0</v>
      </c>
      <c r="M761" s="212"/>
      <c r="N761" s="211">
        <v>2121</v>
      </c>
      <c r="O761" s="202">
        <v>8</v>
      </c>
      <c r="P761" s="213">
        <v>7.9</v>
      </c>
      <c r="Q761" s="213">
        <v>0.1</v>
      </c>
      <c r="R761" s="204">
        <v>9.8000000000000007</v>
      </c>
      <c r="S761" s="213">
        <v>9.8000000000000007</v>
      </c>
      <c r="T761" s="213">
        <v>0</v>
      </c>
      <c r="V761" s="210">
        <v>2121</v>
      </c>
      <c r="W761" s="202">
        <v>7.9</v>
      </c>
      <c r="X761" s="213">
        <v>7.9</v>
      </c>
      <c r="Y761" s="213">
        <v>0</v>
      </c>
      <c r="Z761" s="204">
        <v>9.8000000000000007</v>
      </c>
      <c r="AA761" s="213">
        <v>9.8000000000000007</v>
      </c>
      <c r="AB761" s="213">
        <v>0</v>
      </c>
      <c r="AD761" s="210">
        <v>2121</v>
      </c>
      <c r="AE761" s="202">
        <v>-9.9999999999999645E-2</v>
      </c>
      <c r="AF761" s="213" t="s">
        <v>82</v>
      </c>
      <c r="AG761" s="213">
        <v>-0.1</v>
      </c>
      <c r="AH761" s="204" t="s">
        <v>82</v>
      </c>
      <c r="AI761" s="213" t="s">
        <v>82</v>
      </c>
      <c r="AJ761" s="213" t="s">
        <v>82</v>
      </c>
    </row>
    <row customFormat="1" r="762" s="214" spans="1:36" x14ac:dyDescent="0.2">
      <c r="A762" s="217">
        <v>758</v>
      </c>
      <c r="B762" s="218">
        <v>25</v>
      </c>
      <c r="C762" s="207" t="s">
        <v>474</v>
      </c>
      <c r="D762" s="207">
        <v>2</v>
      </c>
      <c r="E762" s="207" t="s">
        <v>478</v>
      </c>
      <c r="F762" s="208">
        <v>44340</v>
      </c>
      <c r="G762" s="209" t="s">
        <v>4</v>
      </c>
      <c r="H762" s="210">
        <v>2122</v>
      </c>
      <c r="I762" s="208" t="s">
        <v>481</v>
      </c>
      <c r="J762" s="211">
        <v>1748</v>
      </c>
      <c r="K762" s="210">
        <v>1859</v>
      </c>
      <c r="L762" s="219">
        <v>0</v>
      </c>
      <c r="M762" s="212"/>
      <c r="N762" s="211">
        <v>2122</v>
      </c>
      <c r="O762" s="202">
        <v>7.9</v>
      </c>
      <c r="P762" s="213">
        <v>7.8</v>
      </c>
      <c r="Q762" s="213">
        <v>0.1</v>
      </c>
      <c r="R762" s="204">
        <v>8.6</v>
      </c>
      <c r="S762" s="213">
        <v>8.6</v>
      </c>
      <c r="T762" s="213">
        <v>0</v>
      </c>
      <c r="V762" s="210">
        <v>2122</v>
      </c>
      <c r="W762" s="202">
        <v>7.8</v>
      </c>
      <c r="X762" s="213">
        <v>7.8</v>
      </c>
      <c r="Y762" s="213">
        <v>0</v>
      </c>
      <c r="Z762" s="204">
        <v>8.6</v>
      </c>
      <c r="AA762" s="213">
        <v>8.6</v>
      </c>
      <c r="AB762" s="213">
        <v>0</v>
      </c>
      <c r="AD762" s="210">
        <v>2122</v>
      </c>
      <c r="AE762" s="202">
        <v>-0.10000000000000053</v>
      </c>
      <c r="AF762" s="213" t="s">
        <v>82</v>
      </c>
      <c r="AG762" s="213">
        <v>-0.1</v>
      </c>
      <c r="AH762" s="204" t="s">
        <v>82</v>
      </c>
      <c r="AI762" s="213" t="s">
        <v>82</v>
      </c>
      <c r="AJ762" s="213" t="s">
        <v>82</v>
      </c>
    </row>
    <row customFormat="1" r="763" s="214" spans="1:36" x14ac:dyDescent="0.2">
      <c r="A763" s="217">
        <v>759</v>
      </c>
      <c r="B763" s="218">
        <v>25</v>
      </c>
      <c r="C763" s="207" t="s">
        <v>474</v>
      </c>
      <c r="D763" s="207">
        <v>2</v>
      </c>
      <c r="E763" s="207" t="s">
        <v>478</v>
      </c>
      <c r="F763" s="208">
        <v>44347</v>
      </c>
      <c r="G763" s="209" t="s">
        <v>4</v>
      </c>
      <c r="H763" s="210">
        <v>2123</v>
      </c>
      <c r="I763" s="208" t="s">
        <v>481</v>
      </c>
      <c r="J763" s="211">
        <v>1748</v>
      </c>
      <c r="K763" s="210">
        <v>1859</v>
      </c>
      <c r="L763" s="219">
        <v>0</v>
      </c>
      <c r="M763" s="212"/>
      <c r="N763" s="211">
        <v>2123</v>
      </c>
      <c r="O763" s="202">
        <v>7.9</v>
      </c>
      <c r="P763" s="213">
        <v>7.8</v>
      </c>
      <c r="Q763" s="213">
        <v>0.1</v>
      </c>
      <c r="R763" s="204">
        <v>8.8000000000000007</v>
      </c>
      <c r="S763" s="213">
        <v>8.8000000000000007</v>
      </c>
      <c r="T763" s="213">
        <v>0</v>
      </c>
      <c r="V763" s="210">
        <v>2123</v>
      </c>
      <c r="W763" s="202">
        <v>7.8</v>
      </c>
      <c r="X763" s="213">
        <v>7.8</v>
      </c>
      <c r="Y763" s="213">
        <v>0</v>
      </c>
      <c r="Z763" s="204">
        <v>8.8000000000000007</v>
      </c>
      <c r="AA763" s="213">
        <v>8.8000000000000007</v>
      </c>
      <c r="AB763" s="213">
        <v>0</v>
      </c>
      <c r="AD763" s="210">
        <v>2123</v>
      </c>
      <c r="AE763" s="202">
        <v>-0.10000000000000053</v>
      </c>
      <c r="AF763" s="213" t="s">
        <v>82</v>
      </c>
      <c r="AG763" s="213">
        <v>-0.1</v>
      </c>
      <c r="AH763" s="204" t="s">
        <v>82</v>
      </c>
      <c r="AI763" s="213" t="s">
        <v>82</v>
      </c>
      <c r="AJ763" s="213" t="s">
        <v>82</v>
      </c>
    </row>
    <row customFormat="1" r="764" s="214" spans="1:36" x14ac:dyDescent="0.2">
      <c r="A764" s="217">
        <v>760</v>
      </c>
      <c r="B764" s="218">
        <v>25</v>
      </c>
      <c r="C764" s="207" t="s">
        <v>474</v>
      </c>
      <c r="D764" s="207">
        <v>2</v>
      </c>
      <c r="E764" s="207" t="s">
        <v>478</v>
      </c>
      <c r="F764" s="208">
        <v>44354</v>
      </c>
      <c r="G764" s="209" t="s">
        <v>4</v>
      </c>
      <c r="H764" s="210">
        <v>2124</v>
      </c>
      <c r="I764" s="208" t="s">
        <v>481</v>
      </c>
      <c r="J764" s="211">
        <v>1748</v>
      </c>
      <c r="K764" s="210">
        <v>1859</v>
      </c>
      <c r="L764" s="219">
        <v>0</v>
      </c>
      <c r="M764" s="212"/>
      <c r="N764" s="211">
        <v>2124</v>
      </c>
      <c r="O764" s="202">
        <v>7.6</v>
      </c>
      <c r="P764" s="213">
        <v>7.5</v>
      </c>
      <c r="Q764" s="213">
        <v>0.1</v>
      </c>
      <c r="R764" s="204">
        <v>7.7</v>
      </c>
      <c r="S764" s="213">
        <v>7.7</v>
      </c>
      <c r="T764" s="213">
        <v>0</v>
      </c>
      <c r="V764" s="210">
        <v>2124</v>
      </c>
      <c r="W764" s="202">
        <v>7.5</v>
      </c>
      <c r="X764" s="213">
        <v>7.5</v>
      </c>
      <c r="Y764" s="213">
        <v>0</v>
      </c>
      <c r="Z764" s="204">
        <v>7.7</v>
      </c>
      <c r="AA764" s="213">
        <v>7.7</v>
      </c>
      <c r="AB764" s="213">
        <v>0</v>
      </c>
      <c r="AD764" s="210">
        <v>2124</v>
      </c>
      <c r="AE764" s="202">
        <v>-9.9999999999999645E-2</v>
      </c>
      <c r="AF764" s="213" t="s">
        <v>82</v>
      </c>
      <c r="AG764" s="213">
        <v>-0.1</v>
      </c>
      <c r="AH764" s="204" t="s">
        <v>82</v>
      </c>
      <c r="AI764" s="213" t="s">
        <v>82</v>
      </c>
      <c r="AJ764" s="213" t="s">
        <v>82</v>
      </c>
    </row>
    <row customFormat="1" r="765" s="214" spans="1:36" x14ac:dyDescent="0.2">
      <c r="A765" s="217">
        <v>761</v>
      </c>
      <c r="B765" s="218">
        <v>25</v>
      </c>
      <c r="C765" s="207" t="s">
        <v>474</v>
      </c>
      <c r="D765" s="207">
        <v>2</v>
      </c>
      <c r="E765" s="207" t="s">
        <v>478</v>
      </c>
      <c r="F765" s="208">
        <v>44445</v>
      </c>
      <c r="G765" s="209" t="s">
        <v>4</v>
      </c>
      <c r="H765" s="210">
        <v>2137</v>
      </c>
      <c r="I765" s="208" t="s">
        <v>482</v>
      </c>
      <c r="J765" s="211">
        <v>2359</v>
      </c>
      <c r="K765" s="210">
        <v>2453</v>
      </c>
      <c r="L765" s="219">
        <v>0</v>
      </c>
      <c r="M765" s="212"/>
      <c r="N765" s="211">
        <v>2137</v>
      </c>
      <c r="O765" s="202">
        <v>3.9</v>
      </c>
      <c r="P765" s="213">
        <v>3.6</v>
      </c>
      <c r="Q765" s="213">
        <v>0.3</v>
      </c>
      <c r="R765" s="204">
        <v>3.2</v>
      </c>
      <c r="S765" s="213">
        <v>2.6</v>
      </c>
      <c r="T765" s="213">
        <v>0.6</v>
      </c>
      <c r="V765" s="210">
        <v>2137</v>
      </c>
      <c r="W765" s="202">
        <v>3.8</v>
      </c>
      <c r="X765" s="213">
        <v>3.6</v>
      </c>
      <c r="Y765" s="213">
        <v>0.2</v>
      </c>
      <c r="Z765" s="204">
        <v>3.2</v>
      </c>
      <c r="AA765" s="213">
        <v>2.6</v>
      </c>
      <c r="AB765" s="213">
        <v>0.6</v>
      </c>
      <c r="AD765" s="210">
        <v>2137</v>
      </c>
      <c r="AE765" s="202">
        <v>-0.10000000000000009</v>
      </c>
      <c r="AF765" s="213" t="s">
        <v>82</v>
      </c>
      <c r="AG765" s="213">
        <v>-9.9999999999999978E-2</v>
      </c>
      <c r="AH765" s="204" t="s">
        <v>82</v>
      </c>
      <c r="AI765" s="213" t="s">
        <v>82</v>
      </c>
      <c r="AJ765" s="213" t="s">
        <v>82</v>
      </c>
    </row>
    <row customFormat="1" r="766" s="214" spans="1:36" x14ac:dyDescent="0.2">
      <c r="A766" s="217">
        <v>762</v>
      </c>
      <c r="B766" s="218">
        <v>25</v>
      </c>
      <c r="C766" s="207" t="s">
        <v>474</v>
      </c>
      <c r="D766" s="207">
        <v>2</v>
      </c>
      <c r="E766" s="207" t="s">
        <v>478</v>
      </c>
      <c r="F766" s="208">
        <v>44452</v>
      </c>
      <c r="G766" s="209" t="s">
        <v>4</v>
      </c>
      <c r="H766" s="210">
        <v>2138</v>
      </c>
      <c r="I766" s="208" t="s">
        <v>482</v>
      </c>
      <c r="J766" s="211">
        <v>2359</v>
      </c>
      <c r="K766" s="210">
        <v>2453</v>
      </c>
      <c r="L766" s="219">
        <v>0</v>
      </c>
      <c r="M766" s="212"/>
      <c r="N766" s="211">
        <v>2138</v>
      </c>
      <c r="O766" s="202">
        <v>3.8</v>
      </c>
      <c r="P766" s="213">
        <v>3.4</v>
      </c>
      <c r="Q766" s="213">
        <v>0.4</v>
      </c>
      <c r="R766" s="204">
        <v>3.4</v>
      </c>
      <c r="S766" s="213">
        <v>2.4</v>
      </c>
      <c r="T766" s="213">
        <v>1</v>
      </c>
      <c r="V766" s="210">
        <v>2138</v>
      </c>
      <c r="W766" s="202">
        <v>3.7</v>
      </c>
      <c r="X766" s="213">
        <v>3.4</v>
      </c>
      <c r="Y766" s="213">
        <v>0.3</v>
      </c>
      <c r="Z766" s="204">
        <v>3.4</v>
      </c>
      <c r="AA766" s="213">
        <v>2.4</v>
      </c>
      <c r="AB766" s="213">
        <v>1</v>
      </c>
      <c r="AD766" s="210">
        <v>2138</v>
      </c>
      <c r="AE766" s="202">
        <v>-9.9999999999999645E-2</v>
      </c>
      <c r="AF766" s="213" t="s">
        <v>82</v>
      </c>
      <c r="AG766" s="213">
        <v>-0.10000000000000003</v>
      </c>
      <c r="AH766" s="204" t="s">
        <v>82</v>
      </c>
      <c r="AI766" s="213" t="s">
        <v>82</v>
      </c>
      <c r="AJ766" s="213" t="s">
        <v>82</v>
      </c>
    </row>
    <row customFormat="1" r="767" s="214" spans="1:36" x14ac:dyDescent="0.2">
      <c r="A767" s="217">
        <v>763</v>
      </c>
      <c r="B767" s="218">
        <v>25</v>
      </c>
      <c r="C767" s="207" t="s">
        <v>474</v>
      </c>
      <c r="D767" s="207">
        <v>2</v>
      </c>
      <c r="E767" s="207" t="s">
        <v>478</v>
      </c>
      <c r="F767" s="208">
        <v>44459</v>
      </c>
      <c r="G767" s="209" t="s">
        <v>4</v>
      </c>
      <c r="H767" s="210">
        <v>2139</v>
      </c>
      <c r="I767" s="208" t="s">
        <v>483</v>
      </c>
      <c r="J767" s="211">
        <v>2359</v>
      </c>
      <c r="K767" s="210">
        <v>2453</v>
      </c>
      <c r="L767" s="219">
        <v>0</v>
      </c>
      <c r="M767" s="212"/>
      <c r="N767" s="211">
        <v>2139</v>
      </c>
      <c r="O767" s="202">
        <v>3.8</v>
      </c>
      <c r="P767" s="213">
        <v>3.5</v>
      </c>
      <c r="Q767" s="213">
        <v>0.3</v>
      </c>
      <c r="R767" s="204">
        <v>3</v>
      </c>
      <c r="S767" s="213">
        <v>2.6</v>
      </c>
      <c r="T767" s="213">
        <v>0.4</v>
      </c>
      <c r="V767" s="210">
        <v>2139</v>
      </c>
      <c r="W767" s="202">
        <v>3.7</v>
      </c>
      <c r="X767" s="213">
        <v>3.5</v>
      </c>
      <c r="Y767" s="213">
        <v>0.2</v>
      </c>
      <c r="Z767" s="204">
        <v>3</v>
      </c>
      <c r="AA767" s="213">
        <v>2.6</v>
      </c>
      <c r="AB767" s="213">
        <v>0.4</v>
      </c>
      <c r="AD767" s="210">
        <v>2139</v>
      </c>
      <c r="AE767" s="202">
        <v>-9.9999999999999645E-2</v>
      </c>
      <c r="AF767" s="213" t="s">
        <v>82</v>
      </c>
      <c r="AG767" s="213">
        <v>-9.9999999999999978E-2</v>
      </c>
      <c r="AH767" s="204" t="s">
        <v>82</v>
      </c>
      <c r="AI767" s="213" t="s">
        <v>82</v>
      </c>
      <c r="AJ767" s="213" t="s">
        <v>82</v>
      </c>
    </row>
    <row customFormat="1" r="768" s="214" spans="1:36" x14ac:dyDescent="0.2">
      <c r="A768" s="217">
        <v>764</v>
      </c>
      <c r="B768" s="218">
        <v>25</v>
      </c>
      <c r="C768" s="207" t="s">
        <v>474</v>
      </c>
      <c r="D768" s="207">
        <v>2</v>
      </c>
      <c r="E768" s="207" t="s">
        <v>478</v>
      </c>
      <c r="F768" s="208">
        <v>44466</v>
      </c>
      <c r="G768" s="209" t="s">
        <v>4</v>
      </c>
      <c r="H768" s="210">
        <v>2140</v>
      </c>
      <c r="I768" s="208" t="s">
        <v>484</v>
      </c>
      <c r="J768" s="211">
        <v>2359</v>
      </c>
      <c r="K768" s="210">
        <v>2453</v>
      </c>
      <c r="L768" s="219">
        <v>0</v>
      </c>
      <c r="M768" s="212"/>
      <c r="N768" s="211">
        <v>2140</v>
      </c>
      <c r="O768" s="202">
        <v>3.4</v>
      </c>
      <c r="P768" s="213">
        <v>3.2</v>
      </c>
      <c r="Q768" s="213">
        <v>0.2</v>
      </c>
      <c r="R768" s="204">
        <v>2.5</v>
      </c>
      <c r="S768" s="213">
        <v>2.2000000000000002</v>
      </c>
      <c r="T768" s="213">
        <v>0.3</v>
      </c>
      <c r="V768" s="210">
        <v>2140</v>
      </c>
      <c r="W768" s="202">
        <v>3.3</v>
      </c>
      <c r="X768" s="213">
        <v>3.2</v>
      </c>
      <c r="Y768" s="213">
        <v>0.1</v>
      </c>
      <c r="Z768" s="204">
        <v>2.5</v>
      </c>
      <c r="AA768" s="213">
        <v>2.2000000000000002</v>
      </c>
      <c r="AB768" s="213">
        <v>0.3</v>
      </c>
      <c r="AD768" s="210">
        <v>2140</v>
      </c>
      <c r="AE768" s="202">
        <v>-0.10000000000000009</v>
      </c>
      <c r="AF768" s="213" t="s">
        <v>82</v>
      </c>
      <c r="AG768" s="213">
        <v>-0.1</v>
      </c>
      <c r="AH768" s="204" t="s">
        <v>82</v>
      </c>
      <c r="AI768" s="213" t="s">
        <v>82</v>
      </c>
      <c r="AJ768" s="213" t="s">
        <v>82</v>
      </c>
    </row>
    <row customFormat="1" r="769" s="214" spans="1:36" x14ac:dyDescent="0.2">
      <c r="A769" s="217">
        <v>765</v>
      </c>
      <c r="B769" s="218">
        <v>25</v>
      </c>
      <c r="C769" s="207" t="s">
        <v>474</v>
      </c>
      <c r="D769" s="207">
        <v>2</v>
      </c>
      <c r="E769" s="207" t="s">
        <v>478</v>
      </c>
      <c r="F769" s="208">
        <v>44497</v>
      </c>
      <c r="G769" s="209" t="s">
        <v>7</v>
      </c>
      <c r="H769" s="210">
        <v>2144</v>
      </c>
      <c r="I769" s="208" t="s">
        <v>330</v>
      </c>
      <c r="J769" s="211">
        <v>1155</v>
      </c>
      <c r="K769" s="210">
        <v>1444</v>
      </c>
      <c r="L769" s="219">
        <v>0</v>
      </c>
      <c r="M769" s="212"/>
      <c r="N769" s="211">
        <v>2144</v>
      </c>
      <c r="O769" s="202">
        <v>4</v>
      </c>
      <c r="P769" s="213">
        <v>3.9</v>
      </c>
      <c r="Q769" s="213">
        <v>0.1</v>
      </c>
      <c r="R769" s="204">
        <v>2.2000000000000002</v>
      </c>
      <c r="S769" s="213">
        <v>2.2000000000000002</v>
      </c>
      <c r="T769" s="213">
        <v>0</v>
      </c>
      <c r="V769" s="210">
        <v>2144</v>
      </c>
      <c r="W769" s="202">
        <v>3.9</v>
      </c>
      <c r="X769" s="213">
        <v>3.9</v>
      </c>
      <c r="Y769" s="213">
        <v>0</v>
      </c>
      <c r="Z769" s="204">
        <v>2.2000000000000002</v>
      </c>
      <c r="AA769" s="213">
        <v>2.2000000000000002</v>
      </c>
      <c r="AB769" s="213">
        <v>0</v>
      </c>
      <c r="AD769" s="210">
        <v>2144</v>
      </c>
      <c r="AE769" s="202">
        <v>-0.10000000000000009</v>
      </c>
      <c r="AF769" s="213" t="s">
        <v>82</v>
      </c>
      <c r="AG769" s="213">
        <v>-0.1</v>
      </c>
      <c r="AH769" s="204" t="s">
        <v>82</v>
      </c>
      <c r="AI769" s="213" t="s">
        <v>82</v>
      </c>
      <c r="AJ769" s="213" t="s">
        <v>82</v>
      </c>
    </row>
    <row customFormat="1" r="770" s="214" spans="1:36" x14ac:dyDescent="0.2">
      <c r="A770" s="217">
        <v>766</v>
      </c>
      <c r="B770" s="218">
        <v>25</v>
      </c>
      <c r="C770" s="207" t="s">
        <v>474</v>
      </c>
      <c r="D770" s="207">
        <v>2</v>
      </c>
      <c r="E770" s="207" t="s">
        <v>478</v>
      </c>
      <c r="F770" s="208">
        <v>44504</v>
      </c>
      <c r="G770" s="209" t="s">
        <v>7</v>
      </c>
      <c r="H770" s="210">
        <v>2145</v>
      </c>
      <c r="I770" s="208" t="s">
        <v>330</v>
      </c>
      <c r="J770" s="211">
        <v>1155</v>
      </c>
      <c r="K770" s="210">
        <v>1444</v>
      </c>
      <c r="L770" s="219">
        <v>0</v>
      </c>
      <c r="M770" s="212"/>
      <c r="N770" s="211">
        <v>2145</v>
      </c>
      <c r="O770" s="202">
        <v>4</v>
      </c>
      <c r="P770" s="213">
        <v>3.9</v>
      </c>
      <c r="Q770" s="213">
        <v>0.1</v>
      </c>
      <c r="R770" s="204">
        <v>2</v>
      </c>
      <c r="S770" s="213">
        <v>2</v>
      </c>
      <c r="T770" s="213">
        <v>0</v>
      </c>
      <c r="V770" s="210">
        <v>2145</v>
      </c>
      <c r="W770" s="202">
        <v>3.9</v>
      </c>
      <c r="X770" s="213">
        <v>3.9</v>
      </c>
      <c r="Y770" s="213">
        <v>0</v>
      </c>
      <c r="Z770" s="204">
        <v>2</v>
      </c>
      <c r="AA770" s="213">
        <v>2</v>
      </c>
      <c r="AB770" s="213">
        <v>0</v>
      </c>
      <c r="AD770" s="210">
        <v>2145</v>
      </c>
      <c r="AE770" s="202">
        <v>-0.10000000000000009</v>
      </c>
      <c r="AF770" s="213" t="s">
        <v>82</v>
      </c>
      <c r="AG770" s="213">
        <v>-0.1</v>
      </c>
      <c r="AH770" s="204" t="s">
        <v>82</v>
      </c>
      <c r="AI770" s="213" t="s">
        <v>82</v>
      </c>
      <c r="AJ770" s="213" t="s">
        <v>82</v>
      </c>
    </row>
    <row customFormat="1" r="771" s="214" spans="1:36" x14ac:dyDescent="0.2">
      <c r="A771" s="217">
        <v>767</v>
      </c>
      <c r="B771" s="218">
        <v>25</v>
      </c>
      <c r="C771" s="207" t="s">
        <v>474</v>
      </c>
      <c r="D771" s="207">
        <v>2</v>
      </c>
      <c r="E771" s="207" t="s">
        <v>478</v>
      </c>
      <c r="F771" s="208">
        <v>44511</v>
      </c>
      <c r="G771" s="209" t="s">
        <v>7</v>
      </c>
      <c r="H771" s="210">
        <v>2146</v>
      </c>
      <c r="I771" s="208" t="s">
        <v>330</v>
      </c>
      <c r="J771" s="211">
        <v>1155</v>
      </c>
      <c r="K771" s="210">
        <v>1444</v>
      </c>
      <c r="L771" s="219">
        <v>0</v>
      </c>
      <c r="M771" s="212"/>
      <c r="N771" s="211">
        <v>2146</v>
      </c>
      <c r="O771" s="202">
        <v>4.0999999999999996</v>
      </c>
      <c r="P771" s="213">
        <v>4</v>
      </c>
      <c r="Q771" s="213">
        <v>0.1</v>
      </c>
      <c r="R771" s="204">
        <v>2</v>
      </c>
      <c r="S771" s="213">
        <v>2</v>
      </c>
      <c r="T771" s="213">
        <v>0</v>
      </c>
      <c r="V771" s="210">
        <v>2146</v>
      </c>
      <c r="W771" s="202">
        <v>4</v>
      </c>
      <c r="X771" s="213">
        <v>4</v>
      </c>
      <c r="Y771" s="213">
        <v>0</v>
      </c>
      <c r="Z771" s="204">
        <v>2</v>
      </c>
      <c r="AA771" s="213">
        <v>2</v>
      </c>
      <c r="AB771" s="213">
        <v>0</v>
      </c>
      <c r="AD771" s="210">
        <v>2146</v>
      </c>
      <c r="AE771" s="202">
        <v>-9.9999999999999645E-2</v>
      </c>
      <c r="AF771" s="213" t="s">
        <v>82</v>
      </c>
      <c r="AG771" s="213">
        <v>-0.1</v>
      </c>
      <c r="AH771" s="204" t="s">
        <v>82</v>
      </c>
      <c r="AI771" s="213" t="s">
        <v>82</v>
      </c>
      <c r="AJ771" s="213" t="s">
        <v>82</v>
      </c>
    </row>
    <row customFormat="1" r="772" s="214" spans="1:36" x14ac:dyDescent="0.2">
      <c r="A772" s="217">
        <v>768</v>
      </c>
      <c r="B772" s="218">
        <v>25</v>
      </c>
      <c r="C772" s="207" t="s">
        <v>474</v>
      </c>
      <c r="D772" s="207">
        <v>2</v>
      </c>
      <c r="E772" s="207" t="s">
        <v>478</v>
      </c>
      <c r="F772" s="208">
        <v>44518</v>
      </c>
      <c r="G772" s="209" t="s">
        <v>7</v>
      </c>
      <c r="H772" s="210">
        <v>2147</v>
      </c>
      <c r="I772" s="208" t="s">
        <v>330</v>
      </c>
      <c r="J772" s="211">
        <v>1155</v>
      </c>
      <c r="K772" s="210">
        <v>1444</v>
      </c>
      <c r="L772" s="219">
        <v>0</v>
      </c>
      <c r="M772" s="212"/>
      <c r="N772" s="211">
        <v>2147</v>
      </c>
      <c r="O772" s="202">
        <v>4.3</v>
      </c>
      <c r="P772" s="213">
        <v>4.2</v>
      </c>
      <c r="Q772" s="213">
        <v>0.1</v>
      </c>
      <c r="R772" s="204">
        <v>2.5</v>
      </c>
      <c r="S772" s="213">
        <v>2.5</v>
      </c>
      <c r="T772" s="213">
        <v>0</v>
      </c>
      <c r="V772" s="210">
        <v>2147</v>
      </c>
      <c r="W772" s="202">
        <v>4.2</v>
      </c>
      <c r="X772" s="213">
        <v>4.2</v>
      </c>
      <c r="Y772" s="213">
        <v>0</v>
      </c>
      <c r="Z772" s="204">
        <v>2.5</v>
      </c>
      <c r="AA772" s="213">
        <v>2.5</v>
      </c>
      <c r="AB772" s="213">
        <v>0</v>
      </c>
      <c r="AD772" s="210">
        <v>2147</v>
      </c>
      <c r="AE772" s="202">
        <v>-9.9999999999999645E-2</v>
      </c>
      <c r="AF772" s="213" t="s">
        <v>82</v>
      </c>
      <c r="AG772" s="213">
        <v>-0.1</v>
      </c>
      <c r="AH772" s="204" t="s">
        <v>82</v>
      </c>
      <c r="AI772" s="213" t="s">
        <v>82</v>
      </c>
      <c r="AJ772" s="213" t="s">
        <v>82</v>
      </c>
    </row>
    <row customFormat="1" r="773" s="214" spans="1:36" x14ac:dyDescent="0.2">
      <c r="A773" s="217">
        <v>769</v>
      </c>
      <c r="B773" s="218">
        <v>25</v>
      </c>
      <c r="C773" s="207" t="s">
        <v>474</v>
      </c>
      <c r="D773" s="207">
        <v>3</v>
      </c>
      <c r="E773" s="207" t="s">
        <v>485</v>
      </c>
      <c r="F773" s="208">
        <v>44309</v>
      </c>
      <c r="G773" s="209" t="s">
        <v>8</v>
      </c>
      <c r="H773" s="210">
        <v>2117</v>
      </c>
      <c r="I773" s="208" t="s">
        <v>486</v>
      </c>
      <c r="J773" s="211">
        <v>2000</v>
      </c>
      <c r="K773" s="210">
        <v>2147</v>
      </c>
      <c r="L773" s="219">
        <v>0</v>
      </c>
      <c r="M773" s="212"/>
      <c r="N773" s="211">
        <v>2117</v>
      </c>
      <c r="O773" s="202">
        <v>9.1</v>
      </c>
      <c r="P773" s="213">
        <v>8.9</v>
      </c>
      <c r="Q773" s="213">
        <v>0.2</v>
      </c>
      <c r="R773" s="204">
        <v>8.3000000000000007</v>
      </c>
      <c r="S773" s="213">
        <v>8.3000000000000007</v>
      </c>
      <c r="T773" s="213">
        <v>0</v>
      </c>
      <c r="V773" s="210">
        <v>2117</v>
      </c>
      <c r="W773" s="202">
        <v>9</v>
      </c>
      <c r="X773" s="213">
        <v>8.9</v>
      </c>
      <c r="Y773" s="213">
        <v>0.1</v>
      </c>
      <c r="Z773" s="204">
        <v>8.3000000000000007</v>
      </c>
      <c r="AA773" s="213">
        <v>8.3000000000000007</v>
      </c>
      <c r="AB773" s="213">
        <v>0</v>
      </c>
      <c r="AD773" s="210">
        <v>2117</v>
      </c>
      <c r="AE773" s="202">
        <v>-9.9999999999999645E-2</v>
      </c>
      <c r="AF773" s="213" t="s">
        <v>82</v>
      </c>
      <c r="AG773" s="213">
        <v>-0.1</v>
      </c>
      <c r="AH773" s="204" t="s">
        <v>82</v>
      </c>
      <c r="AI773" s="213" t="s">
        <v>82</v>
      </c>
      <c r="AJ773" s="213" t="s">
        <v>82</v>
      </c>
    </row>
    <row customFormat="1" r="774" s="214" spans="1:36" x14ac:dyDescent="0.2">
      <c r="A774" s="217">
        <v>770</v>
      </c>
      <c r="B774" s="218">
        <v>25</v>
      </c>
      <c r="C774" s="207" t="s">
        <v>474</v>
      </c>
      <c r="D774" s="207">
        <v>3</v>
      </c>
      <c r="E774" s="207" t="s">
        <v>485</v>
      </c>
      <c r="F774" s="208">
        <v>44316</v>
      </c>
      <c r="G774" s="209" t="s">
        <v>8</v>
      </c>
      <c r="H774" s="210">
        <v>2118</v>
      </c>
      <c r="I774" s="208" t="s">
        <v>487</v>
      </c>
      <c r="J774" s="211">
        <v>2100</v>
      </c>
      <c r="K774" s="210">
        <v>2153</v>
      </c>
      <c r="L774" s="219">
        <v>0</v>
      </c>
      <c r="M774" s="212"/>
      <c r="N774" s="211">
        <v>2118</v>
      </c>
      <c r="O774" s="202">
        <v>9.8000000000000007</v>
      </c>
      <c r="P774" s="213">
        <v>9.5</v>
      </c>
      <c r="Q774" s="213">
        <v>0.3</v>
      </c>
      <c r="R774" s="204">
        <v>6.9</v>
      </c>
      <c r="S774" s="213">
        <v>6.9</v>
      </c>
      <c r="T774" s="213">
        <v>0</v>
      </c>
      <c r="V774" s="210">
        <v>2118</v>
      </c>
      <c r="W774" s="202">
        <v>9.6</v>
      </c>
      <c r="X774" s="213">
        <v>9.5</v>
      </c>
      <c r="Y774" s="213">
        <v>0.1</v>
      </c>
      <c r="Z774" s="204">
        <v>6.9</v>
      </c>
      <c r="AA774" s="213">
        <v>6.9</v>
      </c>
      <c r="AB774" s="213">
        <v>0</v>
      </c>
      <c r="AD774" s="210">
        <v>2118</v>
      </c>
      <c r="AE774" s="202">
        <v>-0.20000000000000107</v>
      </c>
      <c r="AF774" s="213" t="s">
        <v>82</v>
      </c>
      <c r="AG774" s="213">
        <v>-0.19999999999999998</v>
      </c>
      <c r="AH774" s="204" t="s">
        <v>82</v>
      </c>
      <c r="AI774" s="213" t="s">
        <v>82</v>
      </c>
      <c r="AJ774" s="213" t="s">
        <v>82</v>
      </c>
    </row>
    <row customFormat="1" r="775" s="214" spans="1:36" x14ac:dyDescent="0.2">
      <c r="A775" s="217">
        <v>771</v>
      </c>
      <c r="B775" s="218">
        <v>25</v>
      </c>
      <c r="C775" s="207" t="s">
        <v>474</v>
      </c>
      <c r="D775" s="207">
        <v>3</v>
      </c>
      <c r="E775" s="207" t="s">
        <v>485</v>
      </c>
      <c r="F775" s="208">
        <v>44323</v>
      </c>
      <c r="G775" s="209" t="s">
        <v>8</v>
      </c>
      <c r="H775" s="210">
        <v>2119</v>
      </c>
      <c r="I775" s="208" t="s">
        <v>487</v>
      </c>
      <c r="J775" s="211">
        <v>2100</v>
      </c>
      <c r="K775" s="210">
        <v>2153</v>
      </c>
      <c r="L775" s="219">
        <v>0</v>
      </c>
      <c r="M775" s="212"/>
      <c r="N775" s="211">
        <v>2119</v>
      </c>
      <c r="O775" s="202">
        <v>9.1999999999999993</v>
      </c>
      <c r="P775" s="213">
        <v>8.9</v>
      </c>
      <c r="Q775" s="213">
        <v>0.3</v>
      </c>
      <c r="R775" s="204">
        <v>6.3</v>
      </c>
      <c r="S775" s="213">
        <v>6.3</v>
      </c>
      <c r="T775" s="213">
        <v>0</v>
      </c>
      <c r="V775" s="210">
        <v>2119</v>
      </c>
      <c r="W775" s="202">
        <v>9.1</v>
      </c>
      <c r="X775" s="213">
        <v>8.9</v>
      </c>
      <c r="Y775" s="213">
        <v>0.2</v>
      </c>
      <c r="Z775" s="204">
        <v>6.3</v>
      </c>
      <c r="AA775" s="213">
        <v>6.3</v>
      </c>
      <c r="AB775" s="213">
        <v>0</v>
      </c>
      <c r="AD775" s="210">
        <v>2119</v>
      </c>
      <c r="AE775" s="202">
        <v>-9.9999999999999645E-2</v>
      </c>
      <c r="AF775" s="213" t="s">
        <v>82</v>
      </c>
      <c r="AG775" s="213">
        <v>-9.9999999999999978E-2</v>
      </c>
      <c r="AH775" s="204" t="s">
        <v>82</v>
      </c>
      <c r="AI775" s="213" t="s">
        <v>82</v>
      </c>
      <c r="AJ775" s="213" t="s">
        <v>82</v>
      </c>
    </row>
    <row customFormat="1" r="776" s="214" spans="1:36" x14ac:dyDescent="0.2">
      <c r="A776" s="217">
        <v>772</v>
      </c>
      <c r="B776" s="218">
        <v>25</v>
      </c>
      <c r="C776" s="207" t="s">
        <v>474</v>
      </c>
      <c r="D776" s="207">
        <v>3</v>
      </c>
      <c r="E776" s="207" t="s">
        <v>485</v>
      </c>
      <c r="F776" s="208">
        <v>44326</v>
      </c>
      <c r="G776" s="209" t="s">
        <v>4</v>
      </c>
      <c r="H776" s="210">
        <v>2120</v>
      </c>
      <c r="I776" s="208" t="s">
        <v>347</v>
      </c>
      <c r="J776" s="211">
        <v>2154</v>
      </c>
      <c r="K776" s="210">
        <v>2309</v>
      </c>
      <c r="L776" s="219">
        <v>0</v>
      </c>
      <c r="M776" s="212"/>
      <c r="N776" s="211">
        <v>2120</v>
      </c>
      <c r="O776" s="202">
        <v>6.6</v>
      </c>
      <c r="P776" s="213">
        <v>6.2</v>
      </c>
      <c r="Q776" s="213">
        <v>0.4</v>
      </c>
      <c r="R776" s="204">
        <v>4.3</v>
      </c>
      <c r="S776" s="213">
        <v>4.3</v>
      </c>
      <c r="T776" s="213">
        <v>0</v>
      </c>
      <c r="V776" s="210">
        <v>2120</v>
      </c>
      <c r="W776" s="202">
        <v>6.3</v>
      </c>
      <c r="X776" s="213">
        <v>6.2</v>
      </c>
      <c r="Y776" s="213">
        <v>0.1</v>
      </c>
      <c r="Z776" s="204">
        <v>4.3</v>
      </c>
      <c r="AA776" s="213">
        <v>4.3</v>
      </c>
      <c r="AB776" s="213">
        <v>0</v>
      </c>
      <c r="AD776" s="210">
        <v>2120</v>
      </c>
      <c r="AE776" s="202">
        <v>-0.29999999999999982</v>
      </c>
      <c r="AF776" s="213" t="s">
        <v>82</v>
      </c>
      <c r="AG776" s="213">
        <v>-0.30000000000000004</v>
      </c>
      <c r="AH776" s="204" t="s">
        <v>82</v>
      </c>
      <c r="AI776" s="213" t="s">
        <v>82</v>
      </c>
      <c r="AJ776" s="213" t="s">
        <v>82</v>
      </c>
    </row>
    <row customFormat="1" r="777" s="214" spans="1:36" x14ac:dyDescent="0.2">
      <c r="A777" s="217">
        <v>773</v>
      </c>
      <c r="B777" s="218">
        <v>25</v>
      </c>
      <c r="C777" s="207" t="s">
        <v>474</v>
      </c>
      <c r="D777" s="207">
        <v>3</v>
      </c>
      <c r="E777" s="207" t="s">
        <v>485</v>
      </c>
      <c r="F777" s="208">
        <v>44330</v>
      </c>
      <c r="G777" s="209" t="s">
        <v>8</v>
      </c>
      <c r="H777" s="210">
        <v>2120</v>
      </c>
      <c r="I777" s="208" t="s">
        <v>487</v>
      </c>
      <c r="J777" s="211">
        <v>2100</v>
      </c>
      <c r="K777" s="210">
        <v>2153</v>
      </c>
      <c r="L777" s="219">
        <v>0</v>
      </c>
      <c r="M777" s="212"/>
      <c r="N777" s="211">
        <v>2120</v>
      </c>
      <c r="O777" s="202">
        <v>8.6999999999999993</v>
      </c>
      <c r="P777" s="213">
        <v>8.3000000000000007</v>
      </c>
      <c r="Q777" s="213">
        <v>0.4</v>
      </c>
      <c r="R777" s="204">
        <v>5.9</v>
      </c>
      <c r="S777" s="213">
        <v>5.9</v>
      </c>
      <c r="T777" s="213">
        <v>0</v>
      </c>
      <c r="V777" s="210">
        <v>2120</v>
      </c>
      <c r="W777" s="202">
        <v>8.5</v>
      </c>
      <c r="X777" s="213">
        <v>8.3000000000000007</v>
      </c>
      <c r="Y777" s="213">
        <v>0.2</v>
      </c>
      <c r="Z777" s="204">
        <v>5.9</v>
      </c>
      <c r="AA777" s="213">
        <v>5.9</v>
      </c>
      <c r="AB777" s="213">
        <v>0</v>
      </c>
      <c r="AD777" s="210">
        <v>2120</v>
      </c>
      <c r="AE777" s="202">
        <v>-0.19999999999999929</v>
      </c>
      <c r="AF777" s="213" t="s">
        <v>82</v>
      </c>
      <c r="AG777" s="213">
        <v>-0.2</v>
      </c>
      <c r="AH777" s="204" t="s">
        <v>82</v>
      </c>
      <c r="AI777" s="213" t="s">
        <v>82</v>
      </c>
      <c r="AJ777" s="213" t="s">
        <v>82</v>
      </c>
    </row>
    <row customFormat="1" r="778" s="214" spans="1:36" x14ac:dyDescent="0.2">
      <c r="A778" s="217">
        <v>774</v>
      </c>
      <c r="B778" s="218">
        <v>25</v>
      </c>
      <c r="C778" s="207" t="s">
        <v>474</v>
      </c>
      <c r="D778" s="207">
        <v>3</v>
      </c>
      <c r="E778" s="207" t="s">
        <v>485</v>
      </c>
      <c r="F778" s="208">
        <v>44333</v>
      </c>
      <c r="G778" s="209" t="s">
        <v>4</v>
      </c>
      <c r="H778" s="210">
        <v>2121</v>
      </c>
      <c r="I778" s="208" t="s">
        <v>347</v>
      </c>
      <c r="J778" s="211">
        <v>2154</v>
      </c>
      <c r="K778" s="210">
        <v>2309</v>
      </c>
      <c r="L778" s="219">
        <v>0</v>
      </c>
      <c r="M778" s="212"/>
      <c r="N778" s="211">
        <v>2121</v>
      </c>
      <c r="O778" s="202">
        <v>6.9</v>
      </c>
      <c r="P778" s="213">
        <v>6.5</v>
      </c>
      <c r="Q778" s="213">
        <v>0.4</v>
      </c>
      <c r="R778" s="204">
        <v>4.3</v>
      </c>
      <c r="S778" s="213">
        <v>4.3</v>
      </c>
      <c r="T778" s="213">
        <v>0</v>
      </c>
      <c r="V778" s="210">
        <v>2121</v>
      </c>
      <c r="W778" s="202">
        <v>6.6</v>
      </c>
      <c r="X778" s="213">
        <v>6.5</v>
      </c>
      <c r="Y778" s="213">
        <v>0.1</v>
      </c>
      <c r="Z778" s="204">
        <v>4.3</v>
      </c>
      <c r="AA778" s="213">
        <v>4.3</v>
      </c>
      <c r="AB778" s="213">
        <v>0</v>
      </c>
      <c r="AD778" s="210">
        <v>2121</v>
      </c>
      <c r="AE778" s="202">
        <v>-0.30000000000000071</v>
      </c>
      <c r="AF778" s="213" t="s">
        <v>82</v>
      </c>
      <c r="AG778" s="213">
        <v>-0.30000000000000004</v>
      </c>
      <c r="AH778" s="204" t="s">
        <v>82</v>
      </c>
      <c r="AI778" s="213" t="s">
        <v>82</v>
      </c>
      <c r="AJ778" s="213" t="s">
        <v>82</v>
      </c>
    </row>
    <row customFormat="1" r="779" s="214" spans="1:36" x14ac:dyDescent="0.2">
      <c r="A779" s="217">
        <v>775</v>
      </c>
      <c r="B779" s="218">
        <v>25</v>
      </c>
      <c r="C779" s="207" t="s">
        <v>474</v>
      </c>
      <c r="D779" s="207">
        <v>3</v>
      </c>
      <c r="E779" s="207" t="s">
        <v>485</v>
      </c>
      <c r="F779" s="208">
        <v>44340</v>
      </c>
      <c r="G779" s="209" t="s">
        <v>4</v>
      </c>
      <c r="H779" s="210">
        <v>2122</v>
      </c>
      <c r="I779" s="208" t="s">
        <v>347</v>
      </c>
      <c r="J779" s="211">
        <v>2154</v>
      </c>
      <c r="K779" s="210">
        <v>2309</v>
      </c>
      <c r="L779" s="219">
        <v>0</v>
      </c>
      <c r="M779" s="212"/>
      <c r="N779" s="211">
        <v>2122</v>
      </c>
      <c r="O779" s="202">
        <v>6.7</v>
      </c>
      <c r="P779" s="213">
        <v>6.3</v>
      </c>
      <c r="Q779" s="213">
        <v>0.4</v>
      </c>
      <c r="R779" s="204">
        <v>4.0999999999999996</v>
      </c>
      <c r="S779" s="213">
        <v>4.0999999999999996</v>
      </c>
      <c r="T779" s="213">
        <v>0</v>
      </c>
      <c r="V779" s="210">
        <v>2122</v>
      </c>
      <c r="W779" s="202">
        <v>6.4</v>
      </c>
      <c r="X779" s="213">
        <v>6.3</v>
      </c>
      <c r="Y779" s="213">
        <v>0.1</v>
      </c>
      <c r="Z779" s="204">
        <v>4.0999999999999996</v>
      </c>
      <c r="AA779" s="213">
        <v>4.0999999999999996</v>
      </c>
      <c r="AB779" s="213">
        <v>0</v>
      </c>
      <c r="AD779" s="210">
        <v>2122</v>
      </c>
      <c r="AE779" s="202">
        <v>-0.29999999999999982</v>
      </c>
      <c r="AF779" s="213" t="s">
        <v>82</v>
      </c>
      <c r="AG779" s="213">
        <v>-0.30000000000000004</v>
      </c>
      <c r="AH779" s="204" t="s">
        <v>82</v>
      </c>
      <c r="AI779" s="213" t="s">
        <v>82</v>
      </c>
      <c r="AJ779" s="213" t="s">
        <v>82</v>
      </c>
    </row>
    <row customFormat="1" r="780" s="214" spans="1:36" x14ac:dyDescent="0.2">
      <c r="A780" s="217">
        <v>776</v>
      </c>
      <c r="B780" s="218">
        <v>25</v>
      </c>
      <c r="C780" s="207" t="s">
        <v>474</v>
      </c>
      <c r="D780" s="207">
        <v>3</v>
      </c>
      <c r="E780" s="207" t="s">
        <v>485</v>
      </c>
      <c r="F780" s="208">
        <v>44347</v>
      </c>
      <c r="G780" s="209" t="s">
        <v>4</v>
      </c>
      <c r="H780" s="210">
        <v>2123</v>
      </c>
      <c r="I780" s="208" t="s">
        <v>347</v>
      </c>
      <c r="J780" s="211">
        <v>2154</v>
      </c>
      <c r="K780" s="210">
        <v>2309</v>
      </c>
      <c r="L780" s="219">
        <v>0</v>
      </c>
      <c r="M780" s="212"/>
      <c r="N780" s="211">
        <v>2123</v>
      </c>
      <c r="O780" s="202">
        <v>6.9</v>
      </c>
      <c r="P780" s="213">
        <v>6.5</v>
      </c>
      <c r="Q780" s="213">
        <v>0.4</v>
      </c>
      <c r="R780" s="204">
        <v>4.8</v>
      </c>
      <c r="S780" s="213">
        <v>4.8</v>
      </c>
      <c r="T780" s="213">
        <v>0</v>
      </c>
      <c r="V780" s="210">
        <v>2123</v>
      </c>
      <c r="W780" s="202">
        <v>6.6</v>
      </c>
      <c r="X780" s="213">
        <v>6.5</v>
      </c>
      <c r="Y780" s="213">
        <v>0.1</v>
      </c>
      <c r="Z780" s="204">
        <v>4.8</v>
      </c>
      <c r="AA780" s="213">
        <v>4.8</v>
      </c>
      <c r="AB780" s="213">
        <v>0</v>
      </c>
      <c r="AD780" s="210">
        <v>2123</v>
      </c>
      <c r="AE780" s="202">
        <v>-0.30000000000000071</v>
      </c>
      <c r="AF780" s="213" t="s">
        <v>82</v>
      </c>
      <c r="AG780" s="213">
        <v>-0.30000000000000004</v>
      </c>
      <c r="AH780" s="204" t="s">
        <v>82</v>
      </c>
      <c r="AI780" s="213" t="s">
        <v>82</v>
      </c>
      <c r="AJ780" s="213" t="s">
        <v>82</v>
      </c>
    </row>
    <row customFormat="1" r="781" s="214" spans="1:36" x14ac:dyDescent="0.2">
      <c r="A781" s="217">
        <v>777</v>
      </c>
      <c r="B781" s="218">
        <v>25</v>
      </c>
      <c r="C781" s="207" t="s">
        <v>474</v>
      </c>
      <c r="D781" s="207">
        <v>3</v>
      </c>
      <c r="E781" s="207" t="s">
        <v>485</v>
      </c>
      <c r="F781" s="208">
        <v>44487</v>
      </c>
      <c r="G781" s="209" t="s">
        <v>4</v>
      </c>
      <c r="H781" s="210">
        <v>2143</v>
      </c>
      <c r="I781" s="208" t="s">
        <v>488</v>
      </c>
      <c r="J781" s="211">
        <v>1645</v>
      </c>
      <c r="K781" s="210">
        <v>1744</v>
      </c>
      <c r="L781" s="219">
        <v>0</v>
      </c>
      <c r="M781" s="212"/>
      <c r="N781" s="211">
        <v>2143</v>
      </c>
      <c r="O781" s="202">
        <v>3</v>
      </c>
      <c r="P781" s="213">
        <v>2.9</v>
      </c>
      <c r="Q781" s="213">
        <v>0.1</v>
      </c>
      <c r="R781" s="204">
        <v>4</v>
      </c>
      <c r="S781" s="213">
        <v>4</v>
      </c>
      <c r="T781" s="213">
        <v>0</v>
      </c>
      <c r="V781" s="210">
        <v>2143</v>
      </c>
      <c r="W781" s="202">
        <v>2.9</v>
      </c>
      <c r="X781" s="213">
        <v>2.9</v>
      </c>
      <c r="Y781" s="213">
        <v>0</v>
      </c>
      <c r="Z781" s="204">
        <v>4</v>
      </c>
      <c r="AA781" s="213">
        <v>4</v>
      </c>
      <c r="AB781" s="213">
        <v>0</v>
      </c>
      <c r="AD781" s="210">
        <v>2143</v>
      </c>
      <c r="AE781" s="202">
        <v>-0.10000000000000009</v>
      </c>
      <c r="AF781" s="213" t="s">
        <v>82</v>
      </c>
      <c r="AG781" s="213">
        <v>-0.1</v>
      </c>
      <c r="AH781" s="204" t="s">
        <v>82</v>
      </c>
      <c r="AI781" s="213" t="s">
        <v>82</v>
      </c>
      <c r="AJ781" s="213" t="s">
        <v>82</v>
      </c>
    </row>
    <row customFormat="1" r="782" s="214" spans="1:36" x14ac:dyDescent="0.2">
      <c r="A782" s="217">
        <v>778</v>
      </c>
      <c r="B782" s="218">
        <v>25</v>
      </c>
      <c r="C782" s="207" t="s">
        <v>474</v>
      </c>
      <c r="D782" s="207">
        <v>3</v>
      </c>
      <c r="E782" s="207" t="s">
        <v>485</v>
      </c>
      <c r="F782" s="208">
        <v>44494</v>
      </c>
      <c r="G782" s="209" t="s">
        <v>4</v>
      </c>
      <c r="H782" s="210">
        <v>2144</v>
      </c>
      <c r="I782" s="208" t="s">
        <v>488</v>
      </c>
      <c r="J782" s="211">
        <v>1645</v>
      </c>
      <c r="K782" s="210">
        <v>1749</v>
      </c>
      <c r="L782" s="219">
        <v>0</v>
      </c>
      <c r="M782" s="212"/>
      <c r="N782" s="211">
        <v>2144</v>
      </c>
      <c r="O782" s="202">
        <v>3</v>
      </c>
      <c r="P782" s="213">
        <v>2.9</v>
      </c>
      <c r="Q782" s="213">
        <v>0.1</v>
      </c>
      <c r="R782" s="204">
        <v>4</v>
      </c>
      <c r="S782" s="213">
        <v>4</v>
      </c>
      <c r="T782" s="213" t="s">
        <v>84</v>
      </c>
      <c r="V782" s="210">
        <v>2144</v>
      </c>
      <c r="W782" s="202">
        <v>2.9</v>
      </c>
      <c r="X782" s="213">
        <v>2.9</v>
      </c>
      <c r="Y782" s="213">
        <v>0</v>
      </c>
      <c r="Z782" s="204">
        <v>4</v>
      </c>
      <c r="AA782" s="213">
        <v>4</v>
      </c>
      <c r="AB782" s="213" t="s">
        <v>84</v>
      </c>
      <c r="AD782" s="210">
        <v>2144</v>
      </c>
      <c r="AE782" s="202">
        <v>-0.10000000000000009</v>
      </c>
      <c r="AF782" s="213" t="s">
        <v>82</v>
      </c>
      <c r="AG782" s="213">
        <v>-0.1</v>
      </c>
      <c r="AH782" s="204" t="s">
        <v>82</v>
      </c>
      <c r="AI782" s="213" t="s">
        <v>82</v>
      </c>
      <c r="AJ782" s="213" t="s">
        <v>82</v>
      </c>
    </row>
    <row customFormat="1" r="783" s="214" spans="1:36" x14ac:dyDescent="0.2">
      <c r="A783" s="217">
        <v>779</v>
      </c>
      <c r="B783" s="218">
        <v>25</v>
      </c>
      <c r="C783" s="207" t="s">
        <v>474</v>
      </c>
      <c r="D783" s="207">
        <v>3</v>
      </c>
      <c r="E783" s="207" t="s">
        <v>485</v>
      </c>
      <c r="F783" s="208">
        <v>44501</v>
      </c>
      <c r="G783" s="209" t="s">
        <v>4</v>
      </c>
      <c r="H783" s="210">
        <v>2145</v>
      </c>
      <c r="I783" s="208" t="s">
        <v>488</v>
      </c>
      <c r="J783" s="211">
        <v>1645</v>
      </c>
      <c r="K783" s="210">
        <v>1749</v>
      </c>
      <c r="L783" s="219">
        <v>0</v>
      </c>
      <c r="M783" s="212"/>
      <c r="N783" s="211">
        <v>2145</v>
      </c>
      <c r="O783" s="202">
        <v>3</v>
      </c>
      <c r="P783" s="213">
        <v>2.9</v>
      </c>
      <c r="Q783" s="213">
        <v>0.1</v>
      </c>
      <c r="R783" s="204">
        <v>3.9</v>
      </c>
      <c r="S783" s="213">
        <v>3.9</v>
      </c>
      <c r="T783" s="213" t="s">
        <v>84</v>
      </c>
      <c r="V783" s="210">
        <v>2145</v>
      </c>
      <c r="W783" s="202">
        <v>2.9</v>
      </c>
      <c r="X783" s="213">
        <v>2.9</v>
      </c>
      <c r="Y783" s="213">
        <v>0</v>
      </c>
      <c r="Z783" s="204">
        <v>3.9</v>
      </c>
      <c r="AA783" s="213">
        <v>3.9</v>
      </c>
      <c r="AB783" s="213" t="s">
        <v>84</v>
      </c>
      <c r="AD783" s="210">
        <v>2145</v>
      </c>
      <c r="AE783" s="202">
        <v>-0.10000000000000009</v>
      </c>
      <c r="AF783" s="213" t="s">
        <v>82</v>
      </c>
      <c r="AG783" s="213">
        <v>-0.1</v>
      </c>
      <c r="AH783" s="204" t="s">
        <v>82</v>
      </c>
      <c r="AI783" s="213" t="s">
        <v>82</v>
      </c>
      <c r="AJ783" s="213" t="s">
        <v>82</v>
      </c>
    </row>
    <row customFormat="1" r="784" s="214" spans="1:36" x14ac:dyDescent="0.2">
      <c r="A784" s="217">
        <v>780</v>
      </c>
      <c r="B784" s="218">
        <v>25</v>
      </c>
      <c r="C784" s="207" t="s">
        <v>474</v>
      </c>
      <c r="D784" s="207">
        <v>3</v>
      </c>
      <c r="E784" s="207" t="s">
        <v>485</v>
      </c>
      <c r="F784" s="208">
        <v>44508</v>
      </c>
      <c r="G784" s="209" t="s">
        <v>4</v>
      </c>
      <c r="H784" s="210">
        <v>2146</v>
      </c>
      <c r="I784" s="208" t="s">
        <v>488</v>
      </c>
      <c r="J784" s="211">
        <v>1645</v>
      </c>
      <c r="K784" s="210">
        <v>1749</v>
      </c>
      <c r="L784" s="219">
        <v>0</v>
      </c>
      <c r="M784" s="212"/>
      <c r="N784" s="211">
        <v>2146</v>
      </c>
      <c r="O784" s="202">
        <v>3.3</v>
      </c>
      <c r="P784" s="213">
        <v>3.2</v>
      </c>
      <c r="Q784" s="213">
        <v>0.1</v>
      </c>
      <c r="R784" s="204">
        <v>4.2</v>
      </c>
      <c r="S784" s="213">
        <v>4.2</v>
      </c>
      <c r="T784" s="213" t="s">
        <v>84</v>
      </c>
      <c r="V784" s="210">
        <v>2146</v>
      </c>
      <c r="W784" s="202">
        <v>3.2</v>
      </c>
      <c r="X784" s="213">
        <v>3.2</v>
      </c>
      <c r="Y784" s="213">
        <v>0</v>
      </c>
      <c r="Z784" s="204">
        <v>4.2</v>
      </c>
      <c r="AA784" s="213">
        <v>4.2</v>
      </c>
      <c r="AB784" s="213" t="s">
        <v>84</v>
      </c>
      <c r="AD784" s="210">
        <v>2146</v>
      </c>
      <c r="AE784" s="202">
        <v>-9.9999999999999645E-2</v>
      </c>
      <c r="AF784" s="213" t="s">
        <v>82</v>
      </c>
      <c r="AG784" s="213">
        <v>-0.1</v>
      </c>
      <c r="AH784" s="204" t="s">
        <v>82</v>
      </c>
      <c r="AI784" s="213" t="s">
        <v>82</v>
      </c>
      <c r="AJ784" s="213" t="s">
        <v>82</v>
      </c>
    </row>
    <row customFormat="1" r="785" s="214" spans="1:36" x14ac:dyDescent="0.2">
      <c r="A785" s="217">
        <v>781</v>
      </c>
      <c r="B785" s="218">
        <v>26</v>
      </c>
      <c r="C785" s="207" t="s">
        <v>489</v>
      </c>
      <c r="D785" s="207">
        <v>1</v>
      </c>
      <c r="E785" s="207" t="s">
        <v>490</v>
      </c>
      <c r="F785" s="208">
        <v>44119</v>
      </c>
      <c r="G785" s="209" t="s">
        <v>7</v>
      </c>
      <c r="H785" s="210">
        <v>2042</v>
      </c>
      <c r="I785" s="208" t="s">
        <v>170</v>
      </c>
      <c r="J785" s="211">
        <v>1650</v>
      </c>
      <c r="K785" s="210">
        <v>1747</v>
      </c>
      <c r="L785" s="219">
        <v>0</v>
      </c>
      <c r="M785" s="212"/>
      <c r="N785" s="211">
        <v>2042</v>
      </c>
      <c r="O785" s="202">
        <v>4.5</v>
      </c>
      <c r="P785" s="213">
        <v>4.0999999999999996</v>
      </c>
      <c r="Q785" s="213">
        <v>0.4</v>
      </c>
      <c r="R785" s="204">
        <v>5.4</v>
      </c>
      <c r="S785" s="213">
        <v>5.4</v>
      </c>
      <c r="T785" s="213" t="s">
        <v>84</v>
      </c>
      <c r="V785" s="210">
        <v>2042</v>
      </c>
      <c r="W785" s="202">
        <v>4.0999999999999996</v>
      </c>
      <c r="X785" s="213">
        <v>4.0999999999999996</v>
      </c>
      <c r="Y785" s="213">
        <v>0</v>
      </c>
      <c r="Z785" s="204">
        <v>5.4</v>
      </c>
      <c r="AA785" s="213">
        <v>5.4</v>
      </c>
      <c r="AB785" s="213" t="s">
        <v>84</v>
      </c>
      <c r="AD785" s="210">
        <v>2042</v>
      </c>
      <c r="AE785" s="202">
        <v>-0.40000000000000036</v>
      </c>
      <c r="AF785" s="213" t="s">
        <v>82</v>
      </c>
      <c r="AG785" s="213">
        <v>-0.4</v>
      </c>
      <c r="AH785" s="204" t="s">
        <v>82</v>
      </c>
      <c r="AI785" s="213" t="s">
        <v>82</v>
      </c>
      <c r="AJ785" s="213" t="s">
        <v>82</v>
      </c>
    </row>
    <row customFormat="1" r="786" s="214" spans="1:36" x14ac:dyDescent="0.2">
      <c r="A786" s="217">
        <v>782</v>
      </c>
      <c r="B786" s="218">
        <v>26</v>
      </c>
      <c r="C786" s="207" t="s">
        <v>489</v>
      </c>
      <c r="D786" s="207">
        <v>1</v>
      </c>
      <c r="E786" s="207" t="s">
        <v>490</v>
      </c>
      <c r="F786" s="208">
        <v>44126</v>
      </c>
      <c r="G786" s="209" t="s">
        <v>7</v>
      </c>
      <c r="H786" s="210">
        <v>2043</v>
      </c>
      <c r="I786" s="208" t="s">
        <v>170</v>
      </c>
      <c r="J786" s="211">
        <v>1650</v>
      </c>
      <c r="K786" s="210">
        <v>1747</v>
      </c>
      <c r="L786" s="219">
        <v>0</v>
      </c>
      <c r="M786" s="212"/>
      <c r="N786" s="211">
        <v>2043</v>
      </c>
      <c r="O786" s="202">
        <v>4.4000000000000004</v>
      </c>
      <c r="P786" s="213">
        <v>4</v>
      </c>
      <c r="Q786" s="213">
        <v>0.4</v>
      </c>
      <c r="R786" s="204">
        <v>5.6</v>
      </c>
      <c r="S786" s="213">
        <v>5.6</v>
      </c>
      <c r="T786" s="213" t="s">
        <v>84</v>
      </c>
      <c r="V786" s="210">
        <v>2043</v>
      </c>
      <c r="W786" s="202">
        <v>4</v>
      </c>
      <c r="X786" s="213">
        <v>4</v>
      </c>
      <c r="Y786" s="213">
        <v>0</v>
      </c>
      <c r="Z786" s="204">
        <v>5.6</v>
      </c>
      <c r="AA786" s="213">
        <v>5.6</v>
      </c>
      <c r="AB786" s="213" t="s">
        <v>84</v>
      </c>
      <c r="AD786" s="210">
        <v>2043</v>
      </c>
      <c r="AE786" s="202">
        <v>-0.40000000000000036</v>
      </c>
      <c r="AF786" s="213" t="s">
        <v>82</v>
      </c>
      <c r="AG786" s="213">
        <v>-0.4</v>
      </c>
      <c r="AH786" s="204" t="s">
        <v>82</v>
      </c>
      <c r="AI786" s="213" t="s">
        <v>82</v>
      </c>
      <c r="AJ786" s="213" t="s">
        <v>82</v>
      </c>
    </row>
    <row customFormat="1" r="787" s="214" spans="1:36" x14ac:dyDescent="0.2">
      <c r="A787" s="217">
        <v>783</v>
      </c>
      <c r="B787" s="218">
        <v>26</v>
      </c>
      <c r="C787" s="207" t="s">
        <v>489</v>
      </c>
      <c r="D787" s="207">
        <v>1</v>
      </c>
      <c r="E787" s="207" t="s">
        <v>490</v>
      </c>
      <c r="F787" s="208">
        <v>44133</v>
      </c>
      <c r="G787" s="209" t="s">
        <v>7</v>
      </c>
      <c r="H787" s="210">
        <v>2044</v>
      </c>
      <c r="I787" s="208" t="s">
        <v>170</v>
      </c>
      <c r="J787" s="211">
        <v>1650</v>
      </c>
      <c r="K787" s="210">
        <v>1747</v>
      </c>
      <c r="L787" s="219">
        <v>0</v>
      </c>
      <c r="M787" s="212"/>
      <c r="N787" s="211">
        <v>2044</v>
      </c>
      <c r="O787" s="202">
        <v>4.7</v>
      </c>
      <c r="P787" s="213">
        <v>4.3</v>
      </c>
      <c r="Q787" s="213">
        <v>0.4</v>
      </c>
      <c r="R787" s="204">
        <v>6.9</v>
      </c>
      <c r="S787" s="213">
        <v>6.9</v>
      </c>
      <c r="T787" s="213" t="s">
        <v>84</v>
      </c>
      <c r="V787" s="210">
        <v>2044</v>
      </c>
      <c r="W787" s="202">
        <v>4.3</v>
      </c>
      <c r="X787" s="213">
        <v>4.3</v>
      </c>
      <c r="Y787" s="213">
        <v>0</v>
      </c>
      <c r="Z787" s="204">
        <v>6.9</v>
      </c>
      <c r="AA787" s="213">
        <v>6.9</v>
      </c>
      <c r="AB787" s="213" t="s">
        <v>84</v>
      </c>
      <c r="AD787" s="210">
        <v>2044</v>
      </c>
      <c r="AE787" s="202">
        <v>-0.40000000000000036</v>
      </c>
      <c r="AF787" s="213" t="s">
        <v>82</v>
      </c>
      <c r="AG787" s="213">
        <v>-0.4</v>
      </c>
      <c r="AH787" s="204" t="s">
        <v>82</v>
      </c>
      <c r="AI787" s="213" t="s">
        <v>82</v>
      </c>
      <c r="AJ787" s="213" t="s">
        <v>82</v>
      </c>
    </row>
    <row customFormat="1" r="788" s="214" spans="1:36" x14ac:dyDescent="0.2">
      <c r="A788" s="217">
        <v>784</v>
      </c>
      <c r="B788" s="218">
        <v>26</v>
      </c>
      <c r="C788" s="207" t="s">
        <v>489</v>
      </c>
      <c r="D788" s="207">
        <v>1</v>
      </c>
      <c r="E788" s="207" t="s">
        <v>490</v>
      </c>
      <c r="F788" s="208">
        <v>44140</v>
      </c>
      <c r="G788" s="209" t="s">
        <v>7</v>
      </c>
      <c r="H788" s="210">
        <v>2045</v>
      </c>
      <c r="I788" s="208" t="s">
        <v>170</v>
      </c>
      <c r="J788" s="211">
        <v>1650</v>
      </c>
      <c r="K788" s="210">
        <v>1747</v>
      </c>
      <c r="L788" s="219">
        <v>0</v>
      </c>
      <c r="M788" s="212"/>
      <c r="N788" s="211">
        <v>2045</v>
      </c>
      <c r="O788" s="202">
        <v>5</v>
      </c>
      <c r="P788" s="213">
        <v>4.5999999999999996</v>
      </c>
      <c r="Q788" s="213">
        <v>0.4</v>
      </c>
      <c r="R788" s="204">
        <v>7.4</v>
      </c>
      <c r="S788" s="213">
        <v>7.4</v>
      </c>
      <c r="T788" s="213" t="s">
        <v>84</v>
      </c>
      <c r="V788" s="210">
        <v>2045</v>
      </c>
      <c r="W788" s="202">
        <v>4.5999999999999996</v>
      </c>
      <c r="X788" s="213">
        <v>4.5999999999999996</v>
      </c>
      <c r="Y788" s="213">
        <v>0</v>
      </c>
      <c r="Z788" s="204">
        <v>7.4</v>
      </c>
      <c r="AA788" s="213">
        <v>7.4</v>
      </c>
      <c r="AB788" s="213" t="s">
        <v>84</v>
      </c>
      <c r="AD788" s="210">
        <v>2045</v>
      </c>
      <c r="AE788" s="202">
        <v>-0.40000000000000036</v>
      </c>
      <c r="AF788" s="213" t="s">
        <v>82</v>
      </c>
      <c r="AG788" s="213">
        <v>-0.4</v>
      </c>
      <c r="AH788" s="204" t="s">
        <v>82</v>
      </c>
      <c r="AI788" s="213" t="s">
        <v>82</v>
      </c>
      <c r="AJ788" s="213" t="s">
        <v>82</v>
      </c>
    </row>
    <row customFormat="1" r="789" s="214" spans="1:36" x14ac:dyDescent="0.2">
      <c r="A789" s="217">
        <v>785</v>
      </c>
      <c r="B789" s="218">
        <v>26</v>
      </c>
      <c r="C789" s="207" t="s">
        <v>489</v>
      </c>
      <c r="D789" s="207">
        <v>1</v>
      </c>
      <c r="E789" s="207" t="s">
        <v>490</v>
      </c>
      <c r="F789" s="208">
        <v>44241</v>
      </c>
      <c r="G789" s="209" t="s">
        <v>10</v>
      </c>
      <c r="H789" s="210">
        <v>2107</v>
      </c>
      <c r="I789" s="208" t="s">
        <v>491</v>
      </c>
      <c r="J789" s="211">
        <v>1605</v>
      </c>
      <c r="K789" s="210">
        <v>1719</v>
      </c>
      <c r="L789" s="219">
        <v>0</v>
      </c>
      <c r="M789" s="212"/>
      <c r="N789" s="211">
        <v>2107</v>
      </c>
      <c r="O789" s="202">
        <v>3.6</v>
      </c>
      <c r="P789" s="213">
        <v>3.5</v>
      </c>
      <c r="Q789" s="213">
        <v>0.1</v>
      </c>
      <c r="R789" s="204">
        <v>4.2</v>
      </c>
      <c r="S789" s="213">
        <v>4.2</v>
      </c>
      <c r="T789" s="213">
        <v>0</v>
      </c>
      <c r="V789" s="210">
        <v>2107</v>
      </c>
      <c r="W789" s="202">
        <v>3.6</v>
      </c>
      <c r="X789" s="213">
        <v>3.5</v>
      </c>
      <c r="Y789" s="213">
        <v>0.1</v>
      </c>
      <c r="Z789" s="204">
        <v>4.2</v>
      </c>
      <c r="AA789" s="213">
        <v>4.2</v>
      </c>
      <c r="AB789" s="213">
        <v>0</v>
      </c>
      <c r="AD789" s="210">
        <v>2107</v>
      </c>
      <c r="AE789" s="202" t="s">
        <v>82</v>
      </c>
      <c r="AF789" s="213" t="s">
        <v>82</v>
      </c>
      <c r="AG789" s="213" t="s">
        <v>82</v>
      </c>
      <c r="AH789" s="204" t="s">
        <v>82</v>
      </c>
      <c r="AI789" s="213" t="s">
        <v>82</v>
      </c>
      <c r="AJ789" s="213" t="s">
        <v>82</v>
      </c>
    </row>
    <row customFormat="1" r="790" s="214" spans="1:36" x14ac:dyDescent="0.2">
      <c r="A790" s="217">
        <v>786</v>
      </c>
      <c r="B790" s="218">
        <v>26</v>
      </c>
      <c r="C790" s="207" t="s">
        <v>489</v>
      </c>
      <c r="D790" s="207">
        <v>1</v>
      </c>
      <c r="E790" s="207" t="s">
        <v>490</v>
      </c>
      <c r="F790" s="208">
        <v>44248</v>
      </c>
      <c r="G790" s="209" t="s">
        <v>10</v>
      </c>
      <c r="H790" s="210">
        <v>2108</v>
      </c>
      <c r="I790" s="208" t="s">
        <v>492</v>
      </c>
      <c r="J790" s="211">
        <v>1605</v>
      </c>
      <c r="K790" s="210">
        <v>1719</v>
      </c>
      <c r="L790" s="219">
        <v>0</v>
      </c>
      <c r="M790" s="212"/>
      <c r="N790" s="211">
        <v>2108</v>
      </c>
      <c r="O790" s="202">
        <v>3.1</v>
      </c>
      <c r="P790" s="213">
        <v>3</v>
      </c>
      <c r="Q790" s="213">
        <v>0.1</v>
      </c>
      <c r="R790" s="204">
        <v>4</v>
      </c>
      <c r="S790" s="213">
        <v>4</v>
      </c>
      <c r="T790" s="213">
        <v>0</v>
      </c>
      <c r="V790" s="210">
        <v>2108</v>
      </c>
      <c r="W790" s="202">
        <v>3.1</v>
      </c>
      <c r="X790" s="213">
        <v>3</v>
      </c>
      <c r="Y790" s="213">
        <v>0.1</v>
      </c>
      <c r="Z790" s="204">
        <v>4</v>
      </c>
      <c r="AA790" s="213">
        <v>4</v>
      </c>
      <c r="AB790" s="213">
        <v>0</v>
      </c>
      <c r="AD790" s="210">
        <v>2108</v>
      </c>
      <c r="AE790" s="202" t="s">
        <v>82</v>
      </c>
      <c r="AF790" s="213" t="s">
        <v>82</v>
      </c>
      <c r="AG790" s="213" t="s">
        <v>82</v>
      </c>
      <c r="AH790" s="204" t="s">
        <v>82</v>
      </c>
      <c r="AI790" s="213" t="s">
        <v>82</v>
      </c>
      <c r="AJ790" s="213" t="s">
        <v>82</v>
      </c>
    </row>
    <row customFormat="1" r="791" s="214" spans="1:36" x14ac:dyDescent="0.2">
      <c r="A791" s="217">
        <v>787</v>
      </c>
      <c r="B791" s="218">
        <v>26</v>
      </c>
      <c r="C791" s="207" t="s">
        <v>489</v>
      </c>
      <c r="D791" s="207">
        <v>1</v>
      </c>
      <c r="E791" s="207" t="s">
        <v>490</v>
      </c>
      <c r="F791" s="208">
        <v>44255</v>
      </c>
      <c r="G791" s="209" t="s">
        <v>10</v>
      </c>
      <c r="H791" s="210">
        <v>2109</v>
      </c>
      <c r="I791" s="208" t="s">
        <v>493</v>
      </c>
      <c r="J791" s="211">
        <v>1605</v>
      </c>
      <c r="K791" s="210">
        <v>1719</v>
      </c>
      <c r="L791" s="219">
        <v>0</v>
      </c>
      <c r="M791" s="212"/>
      <c r="N791" s="211">
        <v>2109</v>
      </c>
      <c r="O791" s="202">
        <v>4</v>
      </c>
      <c r="P791" s="213">
        <v>3.8</v>
      </c>
      <c r="Q791" s="213">
        <v>0.2</v>
      </c>
      <c r="R791" s="204">
        <v>5.0999999999999996</v>
      </c>
      <c r="S791" s="213">
        <v>4.9000000000000004</v>
      </c>
      <c r="T791" s="213">
        <v>0.2</v>
      </c>
      <c r="V791" s="210">
        <v>2109</v>
      </c>
      <c r="W791" s="202">
        <v>3.9</v>
      </c>
      <c r="X791" s="213">
        <v>3.8</v>
      </c>
      <c r="Y791" s="213">
        <v>0.1</v>
      </c>
      <c r="Z791" s="204">
        <v>5.0999999999999996</v>
      </c>
      <c r="AA791" s="213">
        <v>4.9000000000000004</v>
      </c>
      <c r="AB791" s="213">
        <v>0.2</v>
      </c>
      <c r="AD791" s="210">
        <v>2109</v>
      </c>
      <c r="AE791" s="202">
        <v>-0.10000000000000009</v>
      </c>
      <c r="AF791" s="213" t="s">
        <v>82</v>
      </c>
      <c r="AG791" s="213">
        <v>-0.1</v>
      </c>
      <c r="AH791" s="204"/>
      <c r="AI791" s="213" t="s">
        <v>82</v>
      </c>
      <c r="AJ791" s="213" t="s">
        <v>82</v>
      </c>
    </row>
    <row customFormat="1" r="792" s="214" spans="1:36" x14ac:dyDescent="0.2">
      <c r="A792" s="217">
        <v>788</v>
      </c>
      <c r="B792" s="218">
        <v>26</v>
      </c>
      <c r="C792" s="207" t="s">
        <v>489</v>
      </c>
      <c r="D792" s="207">
        <v>1</v>
      </c>
      <c r="E792" s="207" t="s">
        <v>490</v>
      </c>
      <c r="F792" s="208">
        <v>44262</v>
      </c>
      <c r="G792" s="209" t="s">
        <v>10</v>
      </c>
      <c r="H792" s="210">
        <v>2110</v>
      </c>
      <c r="I792" s="208" t="s">
        <v>494</v>
      </c>
      <c r="J792" s="211">
        <v>1605</v>
      </c>
      <c r="K792" s="210">
        <v>1719</v>
      </c>
      <c r="L792" s="219">
        <v>0</v>
      </c>
      <c r="M792" s="212"/>
      <c r="N792" s="211">
        <v>2110</v>
      </c>
      <c r="O792" s="202">
        <v>4.0999999999999996</v>
      </c>
      <c r="P792" s="213">
        <v>3.9</v>
      </c>
      <c r="Q792" s="213">
        <v>0.2</v>
      </c>
      <c r="R792" s="204">
        <v>5</v>
      </c>
      <c r="S792" s="213">
        <v>4.8</v>
      </c>
      <c r="T792" s="213">
        <v>0.2</v>
      </c>
      <c r="V792" s="210">
        <v>2110</v>
      </c>
      <c r="W792" s="202">
        <v>4.0999999999999996</v>
      </c>
      <c r="X792" s="213">
        <v>3.9</v>
      </c>
      <c r="Y792" s="213">
        <v>0.2</v>
      </c>
      <c r="Z792" s="204">
        <v>5</v>
      </c>
      <c r="AA792" s="213">
        <v>4.8</v>
      </c>
      <c r="AB792" s="213">
        <v>0.2</v>
      </c>
      <c r="AD792" s="210">
        <v>2110</v>
      </c>
      <c r="AE792" s="202" t="s">
        <v>82</v>
      </c>
      <c r="AF792" s="213" t="s">
        <v>82</v>
      </c>
      <c r="AG792" s="213" t="s">
        <v>82</v>
      </c>
      <c r="AH792" s="204" t="s">
        <v>82</v>
      </c>
      <c r="AI792" s="213" t="s">
        <v>82</v>
      </c>
      <c r="AJ792" s="213" t="s">
        <v>82</v>
      </c>
    </row>
    <row customFormat="1" r="793" s="214" spans="1:36" x14ac:dyDescent="0.2">
      <c r="A793" s="217">
        <v>789</v>
      </c>
      <c r="B793" s="218">
        <v>26</v>
      </c>
      <c r="C793" s="207" t="s">
        <v>489</v>
      </c>
      <c r="D793" s="207">
        <v>1</v>
      </c>
      <c r="E793" s="207" t="s">
        <v>490</v>
      </c>
      <c r="F793" s="208">
        <v>44266</v>
      </c>
      <c r="G793" s="209" t="s">
        <v>7</v>
      </c>
      <c r="H793" s="210">
        <v>2111</v>
      </c>
      <c r="I793" s="208" t="s">
        <v>378</v>
      </c>
      <c r="J793" s="211">
        <v>950</v>
      </c>
      <c r="K793" s="210">
        <v>1119</v>
      </c>
      <c r="L793" s="219">
        <v>0</v>
      </c>
      <c r="M793" s="212"/>
      <c r="N793" s="211">
        <v>2111</v>
      </c>
      <c r="O793" s="202">
        <v>7.9</v>
      </c>
      <c r="P793" s="213">
        <v>7.8</v>
      </c>
      <c r="Q793" s="213">
        <v>0.1</v>
      </c>
      <c r="R793" s="204">
        <v>7.6</v>
      </c>
      <c r="S793" s="213">
        <v>7.6</v>
      </c>
      <c r="T793" s="213">
        <v>0</v>
      </c>
      <c r="V793" s="210">
        <v>2111</v>
      </c>
      <c r="W793" s="202">
        <v>7.8</v>
      </c>
      <c r="X793" s="213">
        <v>7.8</v>
      </c>
      <c r="Y793" s="213">
        <v>0</v>
      </c>
      <c r="Z793" s="204">
        <v>7.6</v>
      </c>
      <c r="AA793" s="213">
        <v>7.6</v>
      </c>
      <c r="AB793" s="213">
        <v>0</v>
      </c>
      <c r="AD793" s="210">
        <v>2111</v>
      </c>
      <c r="AE793" s="202">
        <v>-0.10000000000000053</v>
      </c>
      <c r="AF793" s="213" t="s">
        <v>82</v>
      </c>
      <c r="AG793" s="213">
        <v>-0.1</v>
      </c>
      <c r="AH793" s="204" t="s">
        <v>82</v>
      </c>
      <c r="AI793" s="213" t="s">
        <v>82</v>
      </c>
      <c r="AJ793" s="213" t="s">
        <v>82</v>
      </c>
    </row>
    <row customFormat="1" r="794" s="214" spans="1:36" x14ac:dyDescent="0.2">
      <c r="A794" s="217">
        <v>790</v>
      </c>
      <c r="B794" s="218">
        <v>26</v>
      </c>
      <c r="C794" s="207" t="s">
        <v>489</v>
      </c>
      <c r="D794" s="207">
        <v>1</v>
      </c>
      <c r="E794" s="207" t="s">
        <v>490</v>
      </c>
      <c r="F794" s="208">
        <v>44273</v>
      </c>
      <c r="G794" s="209" t="s">
        <v>7</v>
      </c>
      <c r="H794" s="210">
        <v>2112</v>
      </c>
      <c r="I794" s="208" t="s">
        <v>378</v>
      </c>
      <c r="J794" s="211">
        <v>950</v>
      </c>
      <c r="K794" s="210">
        <v>1119</v>
      </c>
      <c r="L794" s="219">
        <v>0</v>
      </c>
      <c r="M794" s="212"/>
      <c r="N794" s="211">
        <v>2112</v>
      </c>
      <c r="O794" s="202">
        <v>7</v>
      </c>
      <c r="P794" s="213">
        <v>6.9</v>
      </c>
      <c r="Q794" s="213">
        <v>0.1</v>
      </c>
      <c r="R794" s="204">
        <v>6.8</v>
      </c>
      <c r="S794" s="213">
        <v>6.8</v>
      </c>
      <c r="T794" s="213">
        <v>0</v>
      </c>
      <c r="V794" s="210">
        <v>2112</v>
      </c>
      <c r="W794" s="202">
        <v>6.9</v>
      </c>
      <c r="X794" s="213">
        <v>6.9</v>
      </c>
      <c r="Y794" s="213">
        <v>0</v>
      </c>
      <c r="Z794" s="204">
        <v>6.8</v>
      </c>
      <c r="AA794" s="213">
        <v>6.8</v>
      </c>
      <c r="AB794" s="213">
        <v>0</v>
      </c>
      <c r="AD794" s="210">
        <v>2112</v>
      </c>
      <c r="AE794" s="202">
        <v>-9.9999999999999645E-2</v>
      </c>
      <c r="AF794" s="213" t="s">
        <v>82</v>
      </c>
      <c r="AG794" s="213">
        <v>-0.1</v>
      </c>
      <c r="AH794" s="204" t="s">
        <v>82</v>
      </c>
      <c r="AI794" s="213" t="s">
        <v>82</v>
      </c>
      <c r="AJ794" s="213" t="s">
        <v>82</v>
      </c>
    </row>
    <row customFormat="1" r="795" s="214" spans="1:36" x14ac:dyDescent="0.2">
      <c r="A795" s="217">
        <v>791</v>
      </c>
      <c r="B795" s="218">
        <v>26</v>
      </c>
      <c r="C795" s="207" t="s">
        <v>489</v>
      </c>
      <c r="D795" s="207">
        <v>1</v>
      </c>
      <c r="E795" s="207" t="s">
        <v>490</v>
      </c>
      <c r="F795" s="208">
        <v>44280</v>
      </c>
      <c r="G795" s="209" t="s">
        <v>7</v>
      </c>
      <c r="H795" s="210">
        <v>2113</v>
      </c>
      <c r="I795" s="208" t="s">
        <v>378</v>
      </c>
      <c r="J795" s="211">
        <v>950</v>
      </c>
      <c r="K795" s="210">
        <v>1119</v>
      </c>
      <c r="L795" s="219">
        <v>0</v>
      </c>
      <c r="M795" s="212"/>
      <c r="N795" s="211">
        <v>2113</v>
      </c>
      <c r="O795" s="202">
        <v>7</v>
      </c>
      <c r="P795" s="213">
        <v>6.9</v>
      </c>
      <c r="Q795" s="213">
        <v>0.1</v>
      </c>
      <c r="R795" s="204">
        <v>6.6</v>
      </c>
      <c r="S795" s="213">
        <v>6.6</v>
      </c>
      <c r="T795" s="213">
        <v>0</v>
      </c>
      <c r="V795" s="210">
        <v>2113</v>
      </c>
      <c r="W795" s="202">
        <v>6.9</v>
      </c>
      <c r="X795" s="213">
        <v>6.9</v>
      </c>
      <c r="Y795" s="213">
        <v>0</v>
      </c>
      <c r="Z795" s="204">
        <v>6.6</v>
      </c>
      <c r="AA795" s="213">
        <v>6.6</v>
      </c>
      <c r="AB795" s="213">
        <v>0</v>
      </c>
      <c r="AD795" s="210">
        <v>2113</v>
      </c>
      <c r="AE795" s="202">
        <v>-9.9999999999999645E-2</v>
      </c>
      <c r="AF795" s="213" t="s">
        <v>82</v>
      </c>
      <c r="AG795" s="213">
        <v>-0.1</v>
      </c>
      <c r="AH795" s="204" t="s">
        <v>82</v>
      </c>
      <c r="AI795" s="213" t="s">
        <v>82</v>
      </c>
      <c r="AJ795" s="213" t="s">
        <v>82</v>
      </c>
    </row>
    <row customFormat="1" r="796" s="214" spans="1:36" x14ac:dyDescent="0.2">
      <c r="A796" s="217">
        <v>792</v>
      </c>
      <c r="B796" s="218">
        <v>26</v>
      </c>
      <c r="C796" s="207" t="s">
        <v>489</v>
      </c>
      <c r="D796" s="207">
        <v>1</v>
      </c>
      <c r="E796" s="207" t="s">
        <v>490</v>
      </c>
      <c r="F796" s="208">
        <v>44287</v>
      </c>
      <c r="G796" s="209" t="s">
        <v>7</v>
      </c>
      <c r="H796" s="210">
        <v>2114</v>
      </c>
      <c r="I796" s="208" t="s">
        <v>378</v>
      </c>
      <c r="J796" s="211">
        <v>950</v>
      </c>
      <c r="K796" s="210">
        <v>1119</v>
      </c>
      <c r="L796" s="219">
        <v>0</v>
      </c>
      <c r="M796" s="212"/>
      <c r="N796" s="211">
        <v>2114</v>
      </c>
      <c r="O796" s="202">
        <v>6.6</v>
      </c>
      <c r="P796" s="213">
        <v>6.5</v>
      </c>
      <c r="Q796" s="213">
        <v>0.1</v>
      </c>
      <c r="R796" s="204">
        <v>6</v>
      </c>
      <c r="S796" s="213">
        <v>6</v>
      </c>
      <c r="T796" s="213">
        <v>0</v>
      </c>
      <c r="V796" s="210">
        <v>2114</v>
      </c>
      <c r="W796" s="202">
        <v>6.5</v>
      </c>
      <c r="X796" s="213">
        <v>6.5</v>
      </c>
      <c r="Y796" s="213">
        <v>0</v>
      </c>
      <c r="Z796" s="204">
        <v>6</v>
      </c>
      <c r="AA796" s="213">
        <v>6</v>
      </c>
      <c r="AB796" s="213">
        <v>0</v>
      </c>
      <c r="AD796" s="210">
        <v>2114</v>
      </c>
      <c r="AE796" s="202">
        <v>-9.9999999999999645E-2</v>
      </c>
      <c r="AF796" s="213" t="s">
        <v>82</v>
      </c>
      <c r="AG796" s="213">
        <v>-0.1</v>
      </c>
      <c r="AH796" s="204" t="s">
        <v>82</v>
      </c>
      <c r="AI796" s="213" t="s">
        <v>82</v>
      </c>
      <c r="AJ796" s="213" t="s">
        <v>82</v>
      </c>
    </row>
    <row customFormat="1" r="797" s="214" spans="1:36" x14ac:dyDescent="0.2">
      <c r="A797" s="217">
        <v>793</v>
      </c>
      <c r="B797" s="218">
        <v>26</v>
      </c>
      <c r="C797" s="207" t="s">
        <v>489</v>
      </c>
      <c r="D797" s="207">
        <v>1</v>
      </c>
      <c r="E797" s="207" t="s">
        <v>490</v>
      </c>
      <c r="F797" s="208">
        <v>44504</v>
      </c>
      <c r="G797" s="209" t="s">
        <v>7</v>
      </c>
      <c r="H797" s="210">
        <v>2145</v>
      </c>
      <c r="I797" s="208" t="s">
        <v>125</v>
      </c>
      <c r="J797" s="211">
        <v>610</v>
      </c>
      <c r="K797" s="210">
        <v>759</v>
      </c>
      <c r="L797" s="219">
        <v>0</v>
      </c>
      <c r="M797" s="212"/>
      <c r="N797" s="211">
        <v>2145</v>
      </c>
      <c r="O797" s="202">
        <v>9.6999999999999993</v>
      </c>
      <c r="P797" s="213">
        <v>9.6</v>
      </c>
      <c r="Q797" s="213">
        <v>0.1</v>
      </c>
      <c r="R797" s="204">
        <v>10.9</v>
      </c>
      <c r="S797" s="213">
        <v>10.9</v>
      </c>
      <c r="T797" s="213" t="s">
        <v>84</v>
      </c>
      <c r="V797" s="210">
        <v>2145</v>
      </c>
      <c r="W797" s="202">
        <v>9.6</v>
      </c>
      <c r="X797" s="213">
        <v>9.6</v>
      </c>
      <c r="Y797" s="213">
        <v>0</v>
      </c>
      <c r="Z797" s="204">
        <v>10.9</v>
      </c>
      <c r="AA797" s="213">
        <v>10.9</v>
      </c>
      <c r="AB797" s="213" t="s">
        <v>84</v>
      </c>
      <c r="AD797" s="210">
        <v>2145</v>
      </c>
      <c r="AE797" s="202">
        <v>-9.9999999999999645E-2</v>
      </c>
      <c r="AF797" s="213" t="s">
        <v>82</v>
      </c>
      <c r="AG797" s="213">
        <v>-0.1</v>
      </c>
      <c r="AH797" s="204" t="s">
        <v>82</v>
      </c>
      <c r="AI797" s="213" t="s">
        <v>82</v>
      </c>
      <c r="AJ797" s="213" t="s">
        <v>82</v>
      </c>
    </row>
    <row customFormat="1" r="798" s="214" spans="1:36" x14ac:dyDescent="0.2">
      <c r="A798" s="217">
        <v>794</v>
      </c>
      <c r="B798" s="218">
        <v>26</v>
      </c>
      <c r="C798" s="207" t="s">
        <v>489</v>
      </c>
      <c r="D798" s="207">
        <v>1</v>
      </c>
      <c r="E798" s="207" t="s">
        <v>490</v>
      </c>
      <c r="F798" s="208">
        <v>44511</v>
      </c>
      <c r="G798" s="209" t="s">
        <v>7</v>
      </c>
      <c r="H798" s="210">
        <v>2146</v>
      </c>
      <c r="I798" s="208" t="s">
        <v>125</v>
      </c>
      <c r="J798" s="211">
        <v>610</v>
      </c>
      <c r="K798" s="210">
        <v>759</v>
      </c>
      <c r="L798" s="219">
        <v>0</v>
      </c>
      <c r="M798" s="212"/>
      <c r="N798" s="211">
        <v>2146</v>
      </c>
      <c r="O798" s="202">
        <v>9.6999999999999993</v>
      </c>
      <c r="P798" s="213">
        <v>9.6</v>
      </c>
      <c r="Q798" s="213">
        <v>0.1</v>
      </c>
      <c r="R798" s="204">
        <v>11</v>
      </c>
      <c r="S798" s="213">
        <v>11</v>
      </c>
      <c r="T798" s="213" t="s">
        <v>84</v>
      </c>
      <c r="V798" s="210">
        <v>2146</v>
      </c>
      <c r="W798" s="202">
        <v>9.6</v>
      </c>
      <c r="X798" s="213">
        <v>9.6</v>
      </c>
      <c r="Y798" s="213">
        <v>0</v>
      </c>
      <c r="Z798" s="204">
        <v>11</v>
      </c>
      <c r="AA798" s="213">
        <v>11</v>
      </c>
      <c r="AB798" s="213" t="s">
        <v>84</v>
      </c>
      <c r="AD798" s="210">
        <v>2146</v>
      </c>
      <c r="AE798" s="202">
        <v>-9.9999999999999645E-2</v>
      </c>
      <c r="AF798" s="213" t="s">
        <v>82</v>
      </c>
      <c r="AG798" s="213">
        <v>-0.1</v>
      </c>
      <c r="AH798" s="204" t="s">
        <v>82</v>
      </c>
      <c r="AI798" s="213" t="s">
        <v>82</v>
      </c>
      <c r="AJ798" s="213" t="s">
        <v>82</v>
      </c>
    </row>
    <row customFormat="1" r="799" s="214" spans="1:36" x14ac:dyDescent="0.2">
      <c r="A799" s="217">
        <v>795</v>
      </c>
      <c r="B799" s="218">
        <v>26</v>
      </c>
      <c r="C799" s="207" t="s">
        <v>489</v>
      </c>
      <c r="D799" s="207">
        <v>1</v>
      </c>
      <c r="E799" s="207" t="s">
        <v>490</v>
      </c>
      <c r="F799" s="208">
        <v>44518</v>
      </c>
      <c r="G799" s="209" t="s">
        <v>7</v>
      </c>
      <c r="H799" s="210">
        <v>2147</v>
      </c>
      <c r="I799" s="208" t="s">
        <v>125</v>
      </c>
      <c r="J799" s="211">
        <v>610</v>
      </c>
      <c r="K799" s="210">
        <v>759</v>
      </c>
      <c r="L799" s="219">
        <v>0</v>
      </c>
      <c r="M799" s="212"/>
      <c r="N799" s="211">
        <v>2147</v>
      </c>
      <c r="O799" s="202">
        <v>9.8000000000000007</v>
      </c>
      <c r="P799" s="213">
        <v>9.6999999999999993</v>
      </c>
      <c r="Q799" s="213">
        <v>0.1</v>
      </c>
      <c r="R799" s="204">
        <v>10.6</v>
      </c>
      <c r="S799" s="213">
        <v>10.6</v>
      </c>
      <c r="T799" s="213" t="s">
        <v>84</v>
      </c>
      <c r="V799" s="210">
        <v>2147</v>
      </c>
      <c r="W799" s="202">
        <v>9.6999999999999993</v>
      </c>
      <c r="X799" s="213">
        <v>9.6999999999999993</v>
      </c>
      <c r="Y799" s="213">
        <v>0</v>
      </c>
      <c r="Z799" s="204">
        <v>10.6</v>
      </c>
      <c r="AA799" s="213">
        <v>10.6</v>
      </c>
      <c r="AB799" s="213" t="s">
        <v>84</v>
      </c>
      <c r="AD799" s="210">
        <v>2147</v>
      </c>
      <c r="AE799" s="202">
        <v>-0.10000000000000142</v>
      </c>
      <c r="AF799" s="213" t="s">
        <v>82</v>
      </c>
      <c r="AG799" s="213">
        <v>-0.1</v>
      </c>
      <c r="AH799" s="204" t="s">
        <v>82</v>
      </c>
      <c r="AI799" s="213" t="s">
        <v>82</v>
      </c>
      <c r="AJ799" s="213" t="s">
        <v>82</v>
      </c>
    </row>
    <row customFormat="1" r="800" s="214" spans="1:36" x14ac:dyDescent="0.2">
      <c r="A800" s="217">
        <v>796</v>
      </c>
      <c r="B800" s="218">
        <v>26</v>
      </c>
      <c r="C800" s="207" t="s">
        <v>489</v>
      </c>
      <c r="D800" s="207">
        <v>1</v>
      </c>
      <c r="E800" s="207" t="s">
        <v>490</v>
      </c>
      <c r="F800" s="208">
        <v>44525</v>
      </c>
      <c r="G800" s="209" t="s">
        <v>7</v>
      </c>
      <c r="H800" s="210">
        <v>2148</v>
      </c>
      <c r="I800" s="208" t="s">
        <v>125</v>
      </c>
      <c r="J800" s="211">
        <v>610</v>
      </c>
      <c r="K800" s="210">
        <v>759</v>
      </c>
      <c r="L800" s="219">
        <v>0</v>
      </c>
      <c r="M800" s="212"/>
      <c r="N800" s="211">
        <v>2148</v>
      </c>
      <c r="O800" s="202">
        <v>10</v>
      </c>
      <c r="P800" s="213">
        <v>9.9</v>
      </c>
      <c r="Q800" s="213">
        <v>0.1</v>
      </c>
      <c r="R800" s="204">
        <v>10.4</v>
      </c>
      <c r="S800" s="213">
        <v>10.4</v>
      </c>
      <c r="T800" s="213" t="s">
        <v>84</v>
      </c>
      <c r="V800" s="210">
        <v>2148</v>
      </c>
      <c r="W800" s="202">
        <v>9.9</v>
      </c>
      <c r="X800" s="213">
        <v>9.9</v>
      </c>
      <c r="Y800" s="213">
        <v>0</v>
      </c>
      <c r="Z800" s="204">
        <v>10.4</v>
      </c>
      <c r="AA800" s="213">
        <v>10.4</v>
      </c>
      <c r="AB800" s="213" t="s">
        <v>84</v>
      </c>
      <c r="AD800" s="210">
        <v>2148</v>
      </c>
      <c r="AE800" s="202">
        <v>-9.9999999999999645E-2</v>
      </c>
      <c r="AF800" s="213" t="s">
        <v>82</v>
      </c>
      <c r="AG800" s="213">
        <v>-0.1</v>
      </c>
      <c r="AH800" s="204" t="s">
        <v>82</v>
      </c>
      <c r="AI800" s="213" t="s">
        <v>82</v>
      </c>
      <c r="AJ800" s="213" t="s">
        <v>82</v>
      </c>
    </row>
    <row customFormat="1" r="801" s="214" spans="1:36" x14ac:dyDescent="0.2">
      <c r="A801" s="217">
        <v>797</v>
      </c>
      <c r="B801" s="218">
        <v>26</v>
      </c>
      <c r="C801" s="207" t="s">
        <v>489</v>
      </c>
      <c r="D801" s="207">
        <v>1</v>
      </c>
      <c r="E801" s="207" t="s">
        <v>490</v>
      </c>
      <c r="F801" s="208">
        <v>44576</v>
      </c>
      <c r="G801" s="209" t="s">
        <v>9</v>
      </c>
      <c r="H801" s="210">
        <v>2203</v>
      </c>
      <c r="I801" s="208" t="s">
        <v>279</v>
      </c>
      <c r="J801" s="211">
        <v>1900</v>
      </c>
      <c r="K801" s="210">
        <v>2053</v>
      </c>
      <c r="L801" s="219">
        <v>0</v>
      </c>
      <c r="M801" s="212"/>
      <c r="N801" s="211">
        <v>2203</v>
      </c>
      <c r="O801" s="202">
        <v>6.3</v>
      </c>
      <c r="P801" s="213">
        <v>5.6</v>
      </c>
      <c r="Q801" s="213">
        <v>0.7</v>
      </c>
      <c r="R801" s="204">
        <v>7.1</v>
      </c>
      <c r="S801" s="213">
        <v>6.9</v>
      </c>
      <c r="T801" s="213">
        <v>0.2</v>
      </c>
      <c r="V801" s="210">
        <v>2203</v>
      </c>
      <c r="W801" s="202">
        <v>6.3</v>
      </c>
      <c r="X801" s="213">
        <v>5.6</v>
      </c>
      <c r="Y801" s="213">
        <v>0.7</v>
      </c>
      <c r="Z801" s="204">
        <v>7.1</v>
      </c>
      <c r="AA801" s="213">
        <v>6.9</v>
      </c>
      <c r="AB801" s="213">
        <v>0.2</v>
      </c>
      <c r="AD801" s="210">
        <v>2203</v>
      </c>
      <c r="AE801" s="202" t="s">
        <v>82</v>
      </c>
      <c r="AF801" s="213" t="s">
        <v>82</v>
      </c>
      <c r="AG801" s="213" t="s">
        <v>82</v>
      </c>
      <c r="AH801" s="204"/>
      <c r="AI801" s="213" t="s">
        <v>82</v>
      </c>
      <c r="AJ801" s="213" t="s">
        <v>82</v>
      </c>
    </row>
    <row customFormat="1" r="802" s="214" spans="1:36" x14ac:dyDescent="0.2">
      <c r="A802" s="217">
        <v>798</v>
      </c>
      <c r="B802" s="218">
        <v>26</v>
      </c>
      <c r="C802" s="207" t="s">
        <v>489</v>
      </c>
      <c r="D802" s="207">
        <v>1</v>
      </c>
      <c r="E802" s="207" t="s">
        <v>490</v>
      </c>
      <c r="F802" s="208">
        <v>44583</v>
      </c>
      <c r="G802" s="209" t="s">
        <v>9</v>
      </c>
      <c r="H802" s="210">
        <v>2204</v>
      </c>
      <c r="I802" s="208" t="s">
        <v>280</v>
      </c>
      <c r="J802" s="211">
        <v>1900</v>
      </c>
      <c r="K802" s="210">
        <v>2053</v>
      </c>
      <c r="L802" s="219">
        <v>0</v>
      </c>
      <c r="M802" s="212"/>
      <c r="N802" s="211">
        <v>2204</v>
      </c>
      <c r="O802" s="202">
        <v>6.3</v>
      </c>
      <c r="P802" s="213">
        <v>5.6</v>
      </c>
      <c r="Q802" s="213">
        <v>0.7</v>
      </c>
      <c r="R802" s="204">
        <v>7.2</v>
      </c>
      <c r="S802" s="213">
        <v>7</v>
      </c>
      <c r="T802" s="213">
        <v>0.2</v>
      </c>
      <c r="V802" s="210">
        <v>2204</v>
      </c>
      <c r="W802" s="202">
        <v>6.3</v>
      </c>
      <c r="X802" s="213">
        <v>5.6</v>
      </c>
      <c r="Y802" s="213">
        <v>0.7</v>
      </c>
      <c r="Z802" s="204">
        <v>7.2</v>
      </c>
      <c r="AA802" s="213">
        <v>7</v>
      </c>
      <c r="AB802" s="213">
        <v>0.2</v>
      </c>
      <c r="AD802" s="210">
        <v>2204</v>
      </c>
      <c r="AE802" s="202" t="s">
        <v>82</v>
      </c>
      <c r="AF802" s="213" t="s">
        <v>82</v>
      </c>
      <c r="AG802" s="213" t="s">
        <v>82</v>
      </c>
      <c r="AH802" s="204" t="s">
        <v>82</v>
      </c>
      <c r="AI802" s="213" t="s">
        <v>82</v>
      </c>
      <c r="AJ802" s="213" t="s">
        <v>82</v>
      </c>
    </row>
    <row customFormat="1" r="803" s="214" spans="1:36" x14ac:dyDescent="0.2">
      <c r="A803" s="217">
        <v>799</v>
      </c>
      <c r="B803" s="218">
        <v>26</v>
      </c>
      <c r="C803" s="207" t="s">
        <v>489</v>
      </c>
      <c r="D803" s="207">
        <v>1</v>
      </c>
      <c r="E803" s="207" t="s">
        <v>490</v>
      </c>
      <c r="F803" s="208">
        <v>44590</v>
      </c>
      <c r="G803" s="209" t="s">
        <v>9</v>
      </c>
      <c r="H803" s="210">
        <v>2205</v>
      </c>
      <c r="I803" s="208" t="s">
        <v>281</v>
      </c>
      <c r="J803" s="211">
        <v>1900</v>
      </c>
      <c r="K803" s="210">
        <v>1959</v>
      </c>
      <c r="L803" s="219">
        <v>0</v>
      </c>
      <c r="M803" s="212"/>
      <c r="N803" s="211">
        <v>2205</v>
      </c>
      <c r="O803" s="202">
        <v>7.5</v>
      </c>
      <c r="P803" s="213">
        <v>6.6</v>
      </c>
      <c r="Q803" s="213">
        <v>0.9</v>
      </c>
      <c r="R803" s="204">
        <v>7.4</v>
      </c>
      <c r="S803" s="213">
        <v>7.4</v>
      </c>
      <c r="T803" s="213" t="s">
        <v>84</v>
      </c>
      <c r="V803" s="210">
        <v>2205</v>
      </c>
      <c r="W803" s="202">
        <v>7.4</v>
      </c>
      <c r="X803" s="213">
        <v>6.6</v>
      </c>
      <c r="Y803" s="213">
        <v>0.8</v>
      </c>
      <c r="Z803" s="204">
        <v>7.4</v>
      </c>
      <c r="AA803" s="213">
        <v>7.4</v>
      </c>
      <c r="AB803" s="213" t="s">
        <v>84</v>
      </c>
      <c r="AD803" s="210">
        <v>2205</v>
      </c>
      <c r="AE803" s="202">
        <v>-9.9999999999999645E-2</v>
      </c>
      <c r="AF803" s="213" t="s">
        <v>82</v>
      </c>
      <c r="AG803" s="213">
        <v>-9.9999999999999978E-2</v>
      </c>
      <c r="AH803" s="204" t="s">
        <v>82</v>
      </c>
      <c r="AI803" s="213" t="s">
        <v>82</v>
      </c>
      <c r="AJ803" s="213" t="s">
        <v>82</v>
      </c>
    </row>
    <row customFormat="1" r="804" s="214" spans="1:36" x14ac:dyDescent="0.2">
      <c r="A804" s="217">
        <v>800</v>
      </c>
      <c r="B804" s="218">
        <v>26</v>
      </c>
      <c r="C804" s="207" t="s">
        <v>489</v>
      </c>
      <c r="D804" s="207">
        <v>1</v>
      </c>
      <c r="E804" s="207" t="s">
        <v>490</v>
      </c>
      <c r="F804" s="208">
        <v>44597</v>
      </c>
      <c r="G804" s="209" t="s">
        <v>9</v>
      </c>
      <c r="H804" s="210">
        <v>2206</v>
      </c>
      <c r="I804" s="208" t="s">
        <v>281</v>
      </c>
      <c r="J804" s="211">
        <v>1900</v>
      </c>
      <c r="K804" s="210">
        <v>1959</v>
      </c>
      <c r="L804" s="219">
        <v>0</v>
      </c>
      <c r="M804" s="212"/>
      <c r="N804" s="211">
        <v>2206</v>
      </c>
      <c r="O804" s="202">
        <v>8.4</v>
      </c>
      <c r="P804" s="213">
        <v>7.5</v>
      </c>
      <c r="Q804" s="213">
        <v>0.9</v>
      </c>
      <c r="R804" s="204">
        <v>9</v>
      </c>
      <c r="S804" s="213">
        <v>9</v>
      </c>
      <c r="T804" s="213" t="s">
        <v>84</v>
      </c>
      <c r="V804" s="210">
        <v>2206</v>
      </c>
      <c r="W804" s="202">
        <v>8.3000000000000007</v>
      </c>
      <c r="X804" s="213">
        <v>7.5</v>
      </c>
      <c r="Y804" s="213">
        <v>0.8</v>
      </c>
      <c r="Z804" s="204">
        <v>9</v>
      </c>
      <c r="AA804" s="213">
        <v>9</v>
      </c>
      <c r="AB804" s="213" t="s">
        <v>84</v>
      </c>
      <c r="AD804" s="210">
        <v>2206</v>
      </c>
      <c r="AE804" s="202">
        <v>-9.9999999999999645E-2</v>
      </c>
      <c r="AF804" s="213" t="s">
        <v>82</v>
      </c>
      <c r="AG804" s="213">
        <v>-9.9999999999999978E-2</v>
      </c>
      <c r="AH804" s="204" t="s">
        <v>82</v>
      </c>
      <c r="AI804" s="213" t="s">
        <v>82</v>
      </c>
      <c r="AJ804" s="213" t="s">
        <v>82</v>
      </c>
    </row>
    <row customFormat="1" r="805" s="214" spans="1:36" x14ac:dyDescent="0.2">
      <c r="A805" s="217">
        <v>801</v>
      </c>
      <c r="B805" s="218">
        <v>27</v>
      </c>
      <c r="C805" s="207" t="s">
        <v>495</v>
      </c>
      <c r="D805" s="207">
        <v>1</v>
      </c>
      <c r="E805" s="207" t="s">
        <v>496</v>
      </c>
      <c r="F805" s="208">
        <v>44137</v>
      </c>
      <c r="G805" s="209" t="s">
        <v>4</v>
      </c>
      <c r="H805" s="210">
        <v>2045</v>
      </c>
      <c r="I805" s="208" t="s">
        <v>497</v>
      </c>
      <c r="J805" s="211">
        <v>1815</v>
      </c>
      <c r="K805" s="210">
        <v>1854</v>
      </c>
      <c r="L805" s="219">
        <v>0</v>
      </c>
      <c r="M805" s="212"/>
      <c r="N805" s="211">
        <v>2045</v>
      </c>
      <c r="O805" s="202">
        <v>9.8000000000000007</v>
      </c>
      <c r="P805" s="213">
        <v>9.4</v>
      </c>
      <c r="Q805" s="213">
        <v>0.4</v>
      </c>
      <c r="R805" s="204">
        <v>9.6999999999999993</v>
      </c>
      <c r="S805" s="213">
        <v>9.6999999999999993</v>
      </c>
      <c r="T805" s="213">
        <v>0</v>
      </c>
      <c r="V805" s="210">
        <v>2045</v>
      </c>
      <c r="W805" s="202">
        <v>9.4</v>
      </c>
      <c r="X805" s="213">
        <v>9.4</v>
      </c>
      <c r="Y805" s="213">
        <v>0</v>
      </c>
      <c r="Z805" s="204">
        <v>9.6999999999999993</v>
      </c>
      <c r="AA805" s="213">
        <v>9.6999999999999993</v>
      </c>
      <c r="AB805" s="213">
        <v>0</v>
      </c>
      <c r="AD805" s="210">
        <v>2045</v>
      </c>
      <c r="AE805" s="202">
        <v>-0.40000000000000036</v>
      </c>
      <c r="AF805" s="213" t="s">
        <v>82</v>
      </c>
      <c r="AG805" s="213">
        <v>-0.4</v>
      </c>
      <c r="AH805" s="204" t="s">
        <v>82</v>
      </c>
      <c r="AI805" s="213" t="s">
        <v>82</v>
      </c>
      <c r="AJ805" s="213" t="s">
        <v>82</v>
      </c>
    </row>
    <row customFormat="1" r="806" s="214" spans="1:36" x14ac:dyDescent="0.2">
      <c r="A806" s="217">
        <v>802</v>
      </c>
      <c r="B806" s="218">
        <v>27</v>
      </c>
      <c r="C806" s="207" t="s">
        <v>495</v>
      </c>
      <c r="D806" s="207">
        <v>1</v>
      </c>
      <c r="E806" s="207" t="s">
        <v>496</v>
      </c>
      <c r="F806" s="208">
        <v>44144</v>
      </c>
      <c r="G806" s="209" t="s">
        <v>4</v>
      </c>
      <c r="H806" s="210">
        <v>2046</v>
      </c>
      <c r="I806" s="208" t="s">
        <v>497</v>
      </c>
      <c r="J806" s="211">
        <v>1815</v>
      </c>
      <c r="K806" s="210">
        <v>1854</v>
      </c>
      <c r="L806" s="219">
        <v>0</v>
      </c>
      <c r="M806" s="212"/>
      <c r="N806" s="211">
        <v>2046</v>
      </c>
      <c r="O806" s="202">
        <v>9.1999999999999993</v>
      </c>
      <c r="P806" s="213">
        <v>8.8000000000000007</v>
      </c>
      <c r="Q806" s="213">
        <v>0.4</v>
      </c>
      <c r="R806" s="204">
        <v>9.1999999999999993</v>
      </c>
      <c r="S806" s="213">
        <v>9.1999999999999993</v>
      </c>
      <c r="T806" s="213">
        <v>0</v>
      </c>
      <c r="V806" s="210">
        <v>2046</v>
      </c>
      <c r="W806" s="202">
        <v>8.8000000000000007</v>
      </c>
      <c r="X806" s="213">
        <v>8.8000000000000007</v>
      </c>
      <c r="Y806" s="213">
        <v>0</v>
      </c>
      <c r="Z806" s="204">
        <v>9.1999999999999993</v>
      </c>
      <c r="AA806" s="213">
        <v>9.1999999999999993</v>
      </c>
      <c r="AB806" s="213">
        <v>0</v>
      </c>
      <c r="AD806" s="210">
        <v>2046</v>
      </c>
      <c r="AE806" s="202">
        <v>-0.39999999999999858</v>
      </c>
      <c r="AF806" s="213" t="s">
        <v>82</v>
      </c>
      <c r="AG806" s="213">
        <v>-0.4</v>
      </c>
      <c r="AH806" s="204" t="s">
        <v>82</v>
      </c>
      <c r="AI806" s="213" t="s">
        <v>82</v>
      </c>
      <c r="AJ806" s="213" t="s">
        <v>82</v>
      </c>
    </row>
    <row customFormat="1" r="807" s="214" spans="1:36" x14ac:dyDescent="0.2">
      <c r="A807" s="217">
        <v>803</v>
      </c>
      <c r="B807" s="218">
        <v>27</v>
      </c>
      <c r="C807" s="207" t="s">
        <v>495</v>
      </c>
      <c r="D807" s="207">
        <v>1</v>
      </c>
      <c r="E807" s="207" t="s">
        <v>496</v>
      </c>
      <c r="F807" s="208">
        <v>44151</v>
      </c>
      <c r="G807" s="209" t="s">
        <v>4</v>
      </c>
      <c r="H807" s="210">
        <v>2047</v>
      </c>
      <c r="I807" s="208" t="s">
        <v>497</v>
      </c>
      <c r="J807" s="211">
        <v>1815</v>
      </c>
      <c r="K807" s="210">
        <v>1854</v>
      </c>
      <c r="L807" s="219">
        <v>0</v>
      </c>
      <c r="M807" s="212"/>
      <c r="N807" s="211">
        <v>2047</v>
      </c>
      <c r="O807" s="202">
        <v>9.3000000000000007</v>
      </c>
      <c r="P807" s="213">
        <v>8.9</v>
      </c>
      <c r="Q807" s="213">
        <v>0.4</v>
      </c>
      <c r="R807" s="204">
        <v>9.5</v>
      </c>
      <c r="S807" s="213">
        <v>9.5</v>
      </c>
      <c r="T807" s="213">
        <v>0</v>
      </c>
      <c r="V807" s="210">
        <v>2047</v>
      </c>
      <c r="W807" s="202">
        <v>8.9</v>
      </c>
      <c r="X807" s="213">
        <v>8.9</v>
      </c>
      <c r="Y807" s="213">
        <v>0</v>
      </c>
      <c r="Z807" s="204">
        <v>9.5</v>
      </c>
      <c r="AA807" s="213">
        <v>9.5</v>
      </c>
      <c r="AB807" s="213">
        <v>0</v>
      </c>
      <c r="AD807" s="210">
        <v>2047</v>
      </c>
      <c r="AE807" s="202">
        <v>-0.40000000000000036</v>
      </c>
      <c r="AF807" s="213" t="s">
        <v>82</v>
      </c>
      <c r="AG807" s="213">
        <v>-0.4</v>
      </c>
      <c r="AH807" s="204" t="s">
        <v>82</v>
      </c>
      <c r="AI807" s="213" t="s">
        <v>82</v>
      </c>
      <c r="AJ807" s="213" t="s">
        <v>82</v>
      </c>
    </row>
    <row customFormat="1" r="808" s="214" spans="1:36" x14ac:dyDescent="0.2">
      <c r="A808" s="217">
        <v>804</v>
      </c>
      <c r="B808" s="218">
        <v>27</v>
      </c>
      <c r="C808" s="207" t="s">
        <v>495</v>
      </c>
      <c r="D808" s="207">
        <v>1</v>
      </c>
      <c r="E808" s="207" t="s">
        <v>496</v>
      </c>
      <c r="F808" s="208">
        <v>44158</v>
      </c>
      <c r="G808" s="209" t="s">
        <v>4</v>
      </c>
      <c r="H808" s="210">
        <v>2048</v>
      </c>
      <c r="I808" s="208" t="s">
        <v>497</v>
      </c>
      <c r="J808" s="211">
        <v>1815</v>
      </c>
      <c r="K808" s="210">
        <v>1854</v>
      </c>
      <c r="L808" s="219">
        <v>0</v>
      </c>
      <c r="M808" s="212"/>
      <c r="N808" s="211">
        <v>2048</v>
      </c>
      <c r="O808" s="202">
        <v>8.9</v>
      </c>
      <c r="P808" s="213">
        <v>8.5</v>
      </c>
      <c r="Q808" s="213">
        <v>0.4</v>
      </c>
      <c r="R808" s="204">
        <v>9</v>
      </c>
      <c r="S808" s="213">
        <v>9</v>
      </c>
      <c r="T808" s="213">
        <v>0</v>
      </c>
      <c r="V808" s="210">
        <v>2048</v>
      </c>
      <c r="W808" s="202">
        <v>8.5</v>
      </c>
      <c r="X808" s="213">
        <v>8.5</v>
      </c>
      <c r="Y808" s="213">
        <v>0</v>
      </c>
      <c r="Z808" s="204">
        <v>9</v>
      </c>
      <c r="AA808" s="213">
        <v>9</v>
      </c>
      <c r="AB808" s="213">
        <v>0</v>
      </c>
      <c r="AD808" s="210">
        <v>2048</v>
      </c>
      <c r="AE808" s="202">
        <v>-0.40000000000000036</v>
      </c>
      <c r="AF808" s="213" t="s">
        <v>82</v>
      </c>
      <c r="AG808" s="213">
        <v>-0.4</v>
      </c>
      <c r="AH808" s="204" t="s">
        <v>82</v>
      </c>
      <c r="AI808" s="213" t="s">
        <v>82</v>
      </c>
      <c r="AJ808" s="213" t="s">
        <v>82</v>
      </c>
    </row>
    <row customFormat="1" r="809" s="214" spans="1:36" x14ac:dyDescent="0.2">
      <c r="A809" s="217">
        <v>805</v>
      </c>
      <c r="B809" s="218">
        <v>27</v>
      </c>
      <c r="C809" s="207" t="s">
        <v>495</v>
      </c>
      <c r="D809" s="207">
        <v>2</v>
      </c>
      <c r="E809" s="207" t="s">
        <v>498</v>
      </c>
      <c r="F809" s="208">
        <v>44565</v>
      </c>
      <c r="G809" s="209" t="s">
        <v>5</v>
      </c>
      <c r="H809" s="210">
        <v>2202</v>
      </c>
      <c r="I809" s="208" t="s">
        <v>499</v>
      </c>
      <c r="J809" s="211">
        <v>1119</v>
      </c>
      <c r="K809" s="210">
        <v>1129</v>
      </c>
      <c r="L809" s="219">
        <v>1</v>
      </c>
      <c r="M809" s="212"/>
      <c r="N809" s="211">
        <v>2202</v>
      </c>
      <c r="O809" s="202">
        <v>0.8</v>
      </c>
      <c r="P809" s="213">
        <v>0.7</v>
      </c>
      <c r="Q809" s="213">
        <v>0.1</v>
      </c>
      <c r="R809" s="204">
        <v>1.6</v>
      </c>
      <c r="S809" s="213">
        <v>0.8</v>
      </c>
      <c r="T809" s="213">
        <v>0.8</v>
      </c>
      <c r="V809" s="210">
        <v>2202</v>
      </c>
      <c r="W809" s="202">
        <v>0.7</v>
      </c>
      <c r="X809" s="213">
        <v>0.7</v>
      </c>
      <c r="Y809" s="213">
        <v>0</v>
      </c>
      <c r="Z809" s="204">
        <v>0.8</v>
      </c>
      <c r="AA809" s="213">
        <v>0.8</v>
      </c>
      <c r="AB809" s="213">
        <v>0</v>
      </c>
      <c r="AD809" s="210">
        <v>2202</v>
      </c>
      <c r="AE809" s="202">
        <v>-0.10000000000000009</v>
      </c>
      <c r="AF809" s="213" t="s">
        <v>82</v>
      </c>
      <c r="AG809" s="213">
        <v>-0.1</v>
      </c>
      <c r="AH809" s="204">
        <v>-0.8</v>
      </c>
      <c r="AI809" s="213" t="s">
        <v>82</v>
      </c>
      <c r="AJ809" s="213">
        <v>-0.8</v>
      </c>
    </row>
    <row customFormat="1" r="810" s="214" spans="1:36" x14ac:dyDescent="0.2">
      <c r="A810" s="217">
        <v>806</v>
      </c>
      <c r="B810" s="218">
        <v>27</v>
      </c>
      <c r="C810" s="207" t="s">
        <v>495</v>
      </c>
      <c r="D810" s="207">
        <v>2</v>
      </c>
      <c r="E810" s="207" t="s">
        <v>498</v>
      </c>
      <c r="F810" s="208">
        <v>44572</v>
      </c>
      <c r="G810" s="209" t="s">
        <v>5</v>
      </c>
      <c r="H810" s="210">
        <v>2203</v>
      </c>
      <c r="I810" s="208" t="s">
        <v>499</v>
      </c>
      <c r="J810" s="211">
        <v>1119</v>
      </c>
      <c r="K810" s="210">
        <v>1129</v>
      </c>
      <c r="L810" s="219">
        <v>1</v>
      </c>
      <c r="M810" s="212"/>
      <c r="N810" s="211">
        <v>2203</v>
      </c>
      <c r="O810" s="202">
        <v>1.7</v>
      </c>
      <c r="P810" s="213">
        <v>1.5</v>
      </c>
      <c r="Q810" s="213">
        <v>0.2</v>
      </c>
      <c r="R810" s="204">
        <v>2.2999999999999998</v>
      </c>
      <c r="S810" s="213">
        <v>1.5</v>
      </c>
      <c r="T810" s="213">
        <v>0.8</v>
      </c>
      <c r="V810" s="210">
        <v>2203</v>
      </c>
      <c r="W810" s="202">
        <v>1.5</v>
      </c>
      <c r="X810" s="213">
        <v>1.5</v>
      </c>
      <c r="Y810" s="213">
        <v>0</v>
      </c>
      <c r="Z810" s="204">
        <v>1.5</v>
      </c>
      <c r="AA810" s="213">
        <v>1.5</v>
      </c>
      <c r="AB810" s="213">
        <v>0</v>
      </c>
      <c r="AD810" s="210">
        <v>2203</v>
      </c>
      <c r="AE810" s="202">
        <v>-0.19999999999999996</v>
      </c>
      <c r="AF810" s="213" t="s">
        <v>82</v>
      </c>
      <c r="AG810" s="213">
        <v>-0.2</v>
      </c>
      <c r="AH810" s="204">
        <v>-0.79999999999999982</v>
      </c>
      <c r="AI810" s="213" t="s">
        <v>82</v>
      </c>
      <c r="AJ810" s="213">
        <v>-0.8</v>
      </c>
    </row>
    <row customFormat="1" r="811" s="214" spans="1:36" x14ac:dyDescent="0.2">
      <c r="A811" s="217">
        <v>807</v>
      </c>
      <c r="B811" s="218">
        <v>27</v>
      </c>
      <c r="C811" s="207" t="s">
        <v>495</v>
      </c>
      <c r="D811" s="207">
        <v>2</v>
      </c>
      <c r="E811" s="207" t="s">
        <v>498</v>
      </c>
      <c r="F811" s="208">
        <v>44579</v>
      </c>
      <c r="G811" s="209" t="s">
        <v>5</v>
      </c>
      <c r="H811" s="210">
        <v>2204</v>
      </c>
      <c r="I811" s="208" t="s">
        <v>499</v>
      </c>
      <c r="J811" s="211">
        <v>1119</v>
      </c>
      <c r="K811" s="210">
        <v>1129</v>
      </c>
      <c r="L811" s="219">
        <v>1</v>
      </c>
      <c r="M811" s="212"/>
      <c r="N811" s="211">
        <v>2204</v>
      </c>
      <c r="O811" s="202">
        <v>1.8</v>
      </c>
      <c r="P811" s="213">
        <v>1.6</v>
      </c>
      <c r="Q811" s="213">
        <v>0.2</v>
      </c>
      <c r="R811" s="204">
        <v>2.6</v>
      </c>
      <c r="S811" s="213">
        <v>1.8</v>
      </c>
      <c r="T811" s="213">
        <v>0.8</v>
      </c>
      <c r="V811" s="210">
        <v>2204</v>
      </c>
      <c r="W811" s="202">
        <v>1.6</v>
      </c>
      <c r="X811" s="213">
        <v>1.6</v>
      </c>
      <c r="Y811" s="213">
        <v>0</v>
      </c>
      <c r="Z811" s="204">
        <v>1.8</v>
      </c>
      <c r="AA811" s="213">
        <v>1.8</v>
      </c>
      <c r="AB811" s="213">
        <v>0</v>
      </c>
      <c r="AD811" s="210">
        <v>2204</v>
      </c>
      <c r="AE811" s="202">
        <v>-0.19999999999999996</v>
      </c>
      <c r="AF811" s="213" t="s">
        <v>82</v>
      </c>
      <c r="AG811" s="213">
        <v>-0.2</v>
      </c>
      <c r="AH811" s="204">
        <v>-0.8</v>
      </c>
      <c r="AI811" s="213" t="s">
        <v>82</v>
      </c>
      <c r="AJ811" s="213">
        <v>-0.8</v>
      </c>
    </row>
    <row customFormat="1" r="812" s="214" spans="1:36" x14ac:dyDescent="0.2">
      <c r="A812" s="217">
        <v>808</v>
      </c>
      <c r="B812" s="218">
        <v>27</v>
      </c>
      <c r="C812" s="207" t="s">
        <v>495</v>
      </c>
      <c r="D812" s="207">
        <v>2</v>
      </c>
      <c r="E812" s="207" t="s">
        <v>498</v>
      </c>
      <c r="F812" s="208">
        <v>44586</v>
      </c>
      <c r="G812" s="209" t="s">
        <v>5</v>
      </c>
      <c r="H812" s="210">
        <v>2205</v>
      </c>
      <c r="I812" s="208" t="s">
        <v>499</v>
      </c>
      <c r="J812" s="211">
        <v>1119</v>
      </c>
      <c r="K812" s="210">
        <v>1129</v>
      </c>
      <c r="L812" s="219">
        <v>1</v>
      </c>
      <c r="M812" s="212"/>
      <c r="N812" s="211">
        <v>2205</v>
      </c>
      <c r="O812" s="202">
        <v>2.2999999999999998</v>
      </c>
      <c r="P812" s="213">
        <v>2.1</v>
      </c>
      <c r="Q812" s="213">
        <v>0.2</v>
      </c>
      <c r="R812" s="204">
        <v>2.9</v>
      </c>
      <c r="S812" s="213">
        <v>2.1</v>
      </c>
      <c r="T812" s="213">
        <v>0.8</v>
      </c>
      <c r="V812" s="210">
        <v>2205</v>
      </c>
      <c r="W812" s="202">
        <v>2.1</v>
      </c>
      <c r="X812" s="213">
        <v>2.1</v>
      </c>
      <c r="Y812" s="213">
        <v>0</v>
      </c>
      <c r="Z812" s="204">
        <v>2.1</v>
      </c>
      <c r="AA812" s="213">
        <v>2.1</v>
      </c>
      <c r="AB812" s="213">
        <v>0</v>
      </c>
      <c r="AD812" s="210">
        <v>2205</v>
      </c>
      <c r="AE812" s="202">
        <v>-0.19999999999999973</v>
      </c>
      <c r="AF812" s="213" t="s">
        <v>82</v>
      </c>
      <c r="AG812" s="213">
        <v>-0.2</v>
      </c>
      <c r="AH812" s="204">
        <v>-0.79999999999999982</v>
      </c>
      <c r="AI812" s="213" t="s">
        <v>82</v>
      </c>
      <c r="AJ812" s="213">
        <v>-0.8</v>
      </c>
    </row>
    <row customFormat="1" r="813" s="214" spans="1:36" x14ac:dyDescent="0.2">
      <c r="A813" s="217">
        <v>809</v>
      </c>
      <c r="B813" s="218">
        <v>27</v>
      </c>
      <c r="C813" s="207" t="s">
        <v>495</v>
      </c>
      <c r="D813" s="207">
        <v>3</v>
      </c>
      <c r="E813" s="207" t="s">
        <v>500</v>
      </c>
      <c r="F813" s="208">
        <v>44114</v>
      </c>
      <c r="G813" s="209" t="s">
        <v>9</v>
      </c>
      <c r="H813" s="210">
        <v>2041</v>
      </c>
      <c r="I813" s="208" t="s">
        <v>429</v>
      </c>
      <c r="J813" s="211">
        <v>2435</v>
      </c>
      <c r="K813" s="210">
        <v>2514</v>
      </c>
      <c r="L813" s="219">
        <v>0</v>
      </c>
      <c r="M813" s="212"/>
      <c r="N813" s="211">
        <v>2041</v>
      </c>
      <c r="O813" s="202">
        <v>2.5</v>
      </c>
      <c r="P813" s="213">
        <v>2.2999999999999998</v>
      </c>
      <c r="Q813" s="213">
        <v>0.2</v>
      </c>
      <c r="R813" s="204">
        <v>2.1</v>
      </c>
      <c r="S813" s="213">
        <v>2.1</v>
      </c>
      <c r="T813" s="213">
        <v>0</v>
      </c>
      <c r="V813" s="210">
        <v>2041</v>
      </c>
      <c r="W813" s="202">
        <v>2.4</v>
      </c>
      <c r="X813" s="213">
        <v>2.2999999999999998</v>
      </c>
      <c r="Y813" s="213">
        <v>0.1</v>
      </c>
      <c r="Z813" s="204">
        <v>2.1</v>
      </c>
      <c r="AA813" s="213">
        <v>2.1</v>
      </c>
      <c r="AB813" s="213">
        <v>0</v>
      </c>
      <c r="AD813" s="210">
        <v>2041</v>
      </c>
      <c r="AE813" s="202">
        <v>-0.10000000000000009</v>
      </c>
      <c r="AF813" s="213" t="s">
        <v>82</v>
      </c>
      <c r="AG813" s="213">
        <v>-0.1</v>
      </c>
      <c r="AH813" s="204" t="s">
        <v>82</v>
      </c>
      <c r="AI813" s="213" t="s">
        <v>82</v>
      </c>
      <c r="AJ813" s="213" t="s">
        <v>82</v>
      </c>
    </row>
    <row customFormat="1" r="814" s="214" spans="1:36" x14ac:dyDescent="0.2">
      <c r="A814" s="217">
        <v>810</v>
      </c>
      <c r="B814" s="218">
        <v>27</v>
      </c>
      <c r="C814" s="207" t="s">
        <v>495</v>
      </c>
      <c r="D814" s="207">
        <v>3</v>
      </c>
      <c r="E814" s="207" t="s">
        <v>500</v>
      </c>
      <c r="F814" s="208">
        <v>44121</v>
      </c>
      <c r="G814" s="209" t="s">
        <v>9</v>
      </c>
      <c r="H814" s="210">
        <v>2042</v>
      </c>
      <c r="I814" s="208" t="s">
        <v>429</v>
      </c>
      <c r="J814" s="211">
        <v>2445</v>
      </c>
      <c r="K814" s="210">
        <v>2524</v>
      </c>
      <c r="L814" s="219">
        <v>0</v>
      </c>
      <c r="M814" s="212"/>
      <c r="N814" s="211">
        <v>2042</v>
      </c>
      <c r="O814" s="202">
        <v>2.2000000000000002</v>
      </c>
      <c r="P814" s="213">
        <v>2.1</v>
      </c>
      <c r="Q814" s="213">
        <v>0.1</v>
      </c>
      <c r="R814" s="204">
        <v>2.2000000000000002</v>
      </c>
      <c r="S814" s="213">
        <v>2.1</v>
      </c>
      <c r="T814" s="213">
        <v>0.1</v>
      </c>
      <c r="V814" s="210">
        <v>2042</v>
      </c>
      <c r="W814" s="202">
        <v>2.1</v>
      </c>
      <c r="X814" s="213">
        <v>2.1</v>
      </c>
      <c r="Y814" s="213">
        <v>0</v>
      </c>
      <c r="Z814" s="204">
        <v>2.2000000000000002</v>
      </c>
      <c r="AA814" s="213">
        <v>2.1</v>
      </c>
      <c r="AB814" s="213">
        <v>0.1</v>
      </c>
      <c r="AD814" s="210">
        <v>2042</v>
      </c>
      <c r="AE814" s="202">
        <v>-0.10000000000000009</v>
      </c>
      <c r="AF814" s="213" t="s">
        <v>82</v>
      </c>
      <c r="AG814" s="213">
        <v>-0.1</v>
      </c>
      <c r="AH814" s="204" t="s">
        <v>82</v>
      </c>
      <c r="AI814" s="213" t="s">
        <v>82</v>
      </c>
      <c r="AJ814" s="213" t="s">
        <v>82</v>
      </c>
    </row>
    <row customFormat="1" r="815" s="214" spans="1:36" x14ac:dyDescent="0.2">
      <c r="A815" s="217">
        <v>811</v>
      </c>
      <c r="B815" s="218">
        <v>27</v>
      </c>
      <c r="C815" s="207" t="s">
        <v>495</v>
      </c>
      <c r="D815" s="207">
        <v>3</v>
      </c>
      <c r="E815" s="207" t="s">
        <v>500</v>
      </c>
      <c r="F815" s="208">
        <v>44128</v>
      </c>
      <c r="G815" s="209" t="s">
        <v>9</v>
      </c>
      <c r="H815" s="210">
        <v>2043</v>
      </c>
      <c r="I815" s="208" t="s">
        <v>429</v>
      </c>
      <c r="J815" s="211">
        <v>2435</v>
      </c>
      <c r="K815" s="210">
        <v>2514</v>
      </c>
      <c r="L815" s="219">
        <v>0</v>
      </c>
      <c r="M815" s="212"/>
      <c r="N815" s="211">
        <v>2043</v>
      </c>
      <c r="O815" s="202">
        <v>2.7</v>
      </c>
      <c r="P815" s="213">
        <v>2.4</v>
      </c>
      <c r="Q815" s="213">
        <v>0.3</v>
      </c>
      <c r="R815" s="204">
        <v>2.2999999999999998</v>
      </c>
      <c r="S815" s="213">
        <v>2.2999999999999998</v>
      </c>
      <c r="T815" s="213">
        <v>0</v>
      </c>
      <c r="V815" s="210">
        <v>2043</v>
      </c>
      <c r="W815" s="202">
        <v>2.6</v>
      </c>
      <c r="X815" s="213">
        <v>2.4</v>
      </c>
      <c r="Y815" s="213">
        <v>0.2</v>
      </c>
      <c r="Z815" s="204">
        <v>2.2999999999999998</v>
      </c>
      <c r="AA815" s="213">
        <v>2.2999999999999998</v>
      </c>
      <c r="AB815" s="213">
        <v>0</v>
      </c>
      <c r="AD815" s="210">
        <v>2043</v>
      </c>
      <c r="AE815" s="202">
        <v>-0.10000000000000009</v>
      </c>
      <c r="AF815" s="213" t="s">
        <v>82</v>
      </c>
      <c r="AG815" s="213">
        <v>-9.9999999999999978E-2</v>
      </c>
      <c r="AH815" s="204" t="s">
        <v>82</v>
      </c>
      <c r="AI815" s="213" t="s">
        <v>82</v>
      </c>
      <c r="AJ815" s="213" t="s">
        <v>82</v>
      </c>
    </row>
    <row customFormat="1" r="816" s="214" spans="1:36" x14ac:dyDescent="0.2">
      <c r="A816" s="217">
        <v>812</v>
      </c>
      <c r="B816" s="218">
        <v>27</v>
      </c>
      <c r="C816" s="207" t="s">
        <v>495</v>
      </c>
      <c r="D816" s="207">
        <v>3</v>
      </c>
      <c r="E816" s="207" t="s">
        <v>500</v>
      </c>
      <c r="F816" s="208">
        <v>44135</v>
      </c>
      <c r="G816" s="209" t="s">
        <v>9</v>
      </c>
      <c r="H816" s="210">
        <v>2044</v>
      </c>
      <c r="I816" s="208" t="s">
        <v>429</v>
      </c>
      <c r="J816" s="211">
        <v>2435</v>
      </c>
      <c r="K816" s="210">
        <v>2514</v>
      </c>
      <c r="L816" s="219">
        <v>0</v>
      </c>
      <c r="M816" s="212"/>
      <c r="N816" s="211">
        <v>2044</v>
      </c>
      <c r="O816" s="202">
        <v>2.7</v>
      </c>
      <c r="P816" s="213">
        <v>2.4</v>
      </c>
      <c r="Q816" s="213">
        <v>0.3</v>
      </c>
      <c r="R816" s="204">
        <v>2.2000000000000002</v>
      </c>
      <c r="S816" s="213">
        <v>2.2000000000000002</v>
      </c>
      <c r="T816" s="213">
        <v>0</v>
      </c>
      <c r="V816" s="210">
        <v>2044</v>
      </c>
      <c r="W816" s="202">
        <v>2.6</v>
      </c>
      <c r="X816" s="213">
        <v>2.4</v>
      </c>
      <c r="Y816" s="213">
        <v>0.2</v>
      </c>
      <c r="Z816" s="204">
        <v>2.2000000000000002</v>
      </c>
      <c r="AA816" s="213">
        <v>2.2000000000000002</v>
      </c>
      <c r="AB816" s="213">
        <v>0</v>
      </c>
      <c r="AD816" s="210">
        <v>2044</v>
      </c>
      <c r="AE816" s="202">
        <v>-0.10000000000000009</v>
      </c>
      <c r="AF816" s="213" t="s">
        <v>82</v>
      </c>
      <c r="AG816" s="213">
        <v>-9.9999999999999978E-2</v>
      </c>
      <c r="AH816" s="204" t="s">
        <v>82</v>
      </c>
      <c r="AI816" s="213" t="s">
        <v>82</v>
      </c>
      <c r="AJ816" s="213" t="s">
        <v>82</v>
      </c>
    </row>
    <row customFormat="1" r="817" s="214" spans="1:36" x14ac:dyDescent="0.2">
      <c r="A817" s="217">
        <v>813</v>
      </c>
      <c r="B817" s="218">
        <v>27</v>
      </c>
      <c r="C817" s="207" t="s">
        <v>495</v>
      </c>
      <c r="D817" s="207">
        <v>3</v>
      </c>
      <c r="E817" s="207" t="s">
        <v>500</v>
      </c>
      <c r="F817" s="208">
        <v>44650</v>
      </c>
      <c r="G817" s="209" t="s">
        <v>6</v>
      </c>
      <c r="H817" s="210">
        <v>2214</v>
      </c>
      <c r="I817" s="208" t="s">
        <v>501</v>
      </c>
      <c r="J817" s="211">
        <v>2200</v>
      </c>
      <c r="K817" s="210">
        <v>2333</v>
      </c>
      <c r="L817" s="219">
        <v>0</v>
      </c>
      <c r="M817" s="212"/>
      <c r="N817" s="211">
        <v>2214</v>
      </c>
      <c r="O817" s="202">
        <v>4.8</v>
      </c>
      <c r="P817" s="213">
        <v>4.4000000000000004</v>
      </c>
      <c r="Q817" s="213">
        <v>0.4</v>
      </c>
      <c r="R817" s="204">
        <v>3.3</v>
      </c>
      <c r="S817" s="213">
        <v>2.9</v>
      </c>
      <c r="T817" s="213">
        <v>0.4</v>
      </c>
      <c r="V817" s="210">
        <v>2214</v>
      </c>
      <c r="W817" s="202">
        <v>4.5999999999999996</v>
      </c>
      <c r="X817" s="213">
        <v>4.4000000000000004</v>
      </c>
      <c r="Y817" s="213">
        <v>0.2</v>
      </c>
      <c r="Z817" s="204">
        <v>3.3</v>
      </c>
      <c r="AA817" s="213">
        <v>2.9</v>
      </c>
      <c r="AB817" s="213">
        <v>0.4</v>
      </c>
      <c r="AD817" s="210">
        <v>2214</v>
      </c>
      <c r="AE817" s="202">
        <v>-0.20000000000000018</v>
      </c>
      <c r="AF817" s="213" t="s">
        <v>82</v>
      </c>
      <c r="AG817" s="213">
        <v>-0.2</v>
      </c>
      <c r="AH817" s="204" t="s">
        <v>82</v>
      </c>
      <c r="AI817" s="213" t="s">
        <v>82</v>
      </c>
      <c r="AJ817" s="213" t="s">
        <v>82</v>
      </c>
    </row>
    <row customFormat="1" r="818" s="214" spans="1:36" x14ac:dyDescent="0.2">
      <c r="A818" s="217">
        <v>814</v>
      </c>
      <c r="B818" s="218">
        <v>27</v>
      </c>
      <c r="C818" s="207" t="s">
        <v>495</v>
      </c>
      <c r="D818" s="207">
        <v>3</v>
      </c>
      <c r="E818" s="207" t="s">
        <v>500</v>
      </c>
      <c r="F818" s="208">
        <v>44657</v>
      </c>
      <c r="G818" s="209" t="s">
        <v>6</v>
      </c>
      <c r="H818" s="210">
        <v>2215</v>
      </c>
      <c r="I818" s="208" t="s">
        <v>502</v>
      </c>
      <c r="J818" s="211">
        <v>2100</v>
      </c>
      <c r="K818" s="210">
        <v>2247</v>
      </c>
      <c r="L818" s="219">
        <v>0</v>
      </c>
      <c r="M818" s="212"/>
      <c r="N818" s="211">
        <v>2215</v>
      </c>
      <c r="O818" s="202">
        <v>8.1</v>
      </c>
      <c r="P818" s="213">
        <v>7.4</v>
      </c>
      <c r="Q818" s="213">
        <v>0.7</v>
      </c>
      <c r="R818" s="204">
        <v>4.9000000000000004</v>
      </c>
      <c r="S818" s="213">
        <v>4.8</v>
      </c>
      <c r="T818" s="213">
        <v>0.1</v>
      </c>
      <c r="V818" s="210">
        <v>2215</v>
      </c>
      <c r="W818" s="202">
        <v>7.9</v>
      </c>
      <c r="X818" s="213">
        <v>7.4</v>
      </c>
      <c r="Y818" s="213">
        <v>0.5</v>
      </c>
      <c r="Z818" s="204">
        <v>4.9000000000000004</v>
      </c>
      <c r="AA818" s="213">
        <v>4.8</v>
      </c>
      <c r="AB818" s="213">
        <v>0.1</v>
      </c>
      <c r="AD818" s="210">
        <v>2215</v>
      </c>
      <c r="AE818" s="202">
        <v>-0.19999999999999929</v>
      </c>
      <c r="AF818" s="213" t="s">
        <v>82</v>
      </c>
      <c r="AG818" s="213">
        <v>-0.19999999999999996</v>
      </c>
      <c r="AH818" s="204"/>
      <c r="AI818" s="213" t="s">
        <v>82</v>
      </c>
      <c r="AJ818" s="213" t="s">
        <v>82</v>
      </c>
    </row>
    <row customFormat="1" r="819" s="214" spans="1:36" x14ac:dyDescent="0.2">
      <c r="A819" s="217">
        <v>815</v>
      </c>
      <c r="B819" s="218">
        <v>27</v>
      </c>
      <c r="C819" s="207" t="s">
        <v>495</v>
      </c>
      <c r="D819" s="207">
        <v>3</v>
      </c>
      <c r="E819" s="207" t="s">
        <v>500</v>
      </c>
      <c r="F819" s="208">
        <v>44664</v>
      </c>
      <c r="G819" s="209" t="s">
        <v>6</v>
      </c>
      <c r="H819" s="210">
        <v>2216</v>
      </c>
      <c r="I819" s="208" t="s">
        <v>503</v>
      </c>
      <c r="J819" s="211">
        <v>2200</v>
      </c>
      <c r="K819" s="210">
        <v>2308</v>
      </c>
      <c r="L819" s="219">
        <v>0</v>
      </c>
      <c r="M819" s="212"/>
      <c r="N819" s="211">
        <v>2216</v>
      </c>
      <c r="O819" s="202">
        <v>6.2</v>
      </c>
      <c r="P819" s="213">
        <v>5.8</v>
      </c>
      <c r="Q819" s="213">
        <v>0.4</v>
      </c>
      <c r="R819" s="204">
        <v>4.5</v>
      </c>
      <c r="S819" s="213">
        <v>4.5</v>
      </c>
      <c r="T819" s="213">
        <v>0</v>
      </c>
      <c r="V819" s="210">
        <v>2216</v>
      </c>
      <c r="W819" s="202">
        <v>6</v>
      </c>
      <c r="X819" s="213">
        <v>5.8</v>
      </c>
      <c r="Y819" s="213">
        <v>0.2</v>
      </c>
      <c r="Z819" s="204">
        <v>4.5</v>
      </c>
      <c r="AA819" s="213">
        <v>4.5</v>
      </c>
      <c r="AB819" s="213">
        <v>0</v>
      </c>
      <c r="AD819" s="210">
        <v>2216</v>
      </c>
      <c r="AE819" s="202">
        <v>-0.20000000000000018</v>
      </c>
      <c r="AF819" s="213" t="s">
        <v>82</v>
      </c>
      <c r="AG819" s="213">
        <v>-0.2</v>
      </c>
      <c r="AH819" s="204" t="s">
        <v>82</v>
      </c>
      <c r="AI819" s="213" t="s">
        <v>82</v>
      </c>
      <c r="AJ819" s="213" t="s">
        <v>82</v>
      </c>
    </row>
    <row customFormat="1" r="820" s="214" spans="1:36" x14ac:dyDescent="0.2">
      <c r="A820" s="217">
        <v>816</v>
      </c>
      <c r="B820" s="218">
        <v>27</v>
      </c>
      <c r="C820" s="207" t="s">
        <v>495</v>
      </c>
      <c r="D820" s="207">
        <v>3</v>
      </c>
      <c r="E820" s="207" t="s">
        <v>500</v>
      </c>
      <c r="F820" s="208">
        <v>44671</v>
      </c>
      <c r="G820" s="209" t="s">
        <v>6</v>
      </c>
      <c r="H820" s="210">
        <v>2217</v>
      </c>
      <c r="I820" s="208" t="s">
        <v>504</v>
      </c>
      <c r="J820" s="211">
        <v>2200</v>
      </c>
      <c r="K820" s="210">
        <v>2253</v>
      </c>
      <c r="L820" s="219">
        <v>0</v>
      </c>
      <c r="M820" s="212"/>
      <c r="N820" s="211">
        <v>2217</v>
      </c>
      <c r="O820" s="202">
        <v>7.7</v>
      </c>
      <c r="P820" s="213">
        <v>6.4</v>
      </c>
      <c r="Q820" s="213">
        <v>1.3</v>
      </c>
      <c r="R820" s="204">
        <v>5.2</v>
      </c>
      <c r="S820" s="213">
        <v>5.2</v>
      </c>
      <c r="T820" s="213">
        <v>0</v>
      </c>
      <c r="V820" s="210">
        <v>2217</v>
      </c>
      <c r="W820" s="202">
        <v>7.4</v>
      </c>
      <c r="X820" s="213">
        <v>6.4</v>
      </c>
      <c r="Y820" s="213">
        <v>1</v>
      </c>
      <c r="Z820" s="204">
        <v>5.2</v>
      </c>
      <c r="AA820" s="213">
        <v>5.2</v>
      </c>
      <c r="AB820" s="213">
        <v>0</v>
      </c>
      <c r="AD820" s="210">
        <v>2217</v>
      </c>
      <c r="AE820" s="202">
        <v>-0.29999999999999982</v>
      </c>
      <c r="AF820" s="213" t="s">
        <v>82</v>
      </c>
      <c r="AG820" s="213">
        <v>-0.30000000000000004</v>
      </c>
      <c r="AH820" s="204" t="s">
        <v>82</v>
      </c>
      <c r="AI820" s="213" t="s">
        <v>82</v>
      </c>
      <c r="AJ820" s="213" t="s">
        <v>82</v>
      </c>
    </row>
    <row customFormat="1" r="821" s="214" spans="1:36" x14ac:dyDescent="0.2">
      <c r="A821" s="217">
        <v>817</v>
      </c>
      <c r="B821" s="218">
        <v>28</v>
      </c>
      <c r="C821" s="207" t="s">
        <v>505</v>
      </c>
      <c r="D821" s="207">
        <v>2</v>
      </c>
      <c r="E821" s="207" t="s">
        <v>506</v>
      </c>
      <c r="F821" s="208">
        <v>44529</v>
      </c>
      <c r="G821" s="209" t="s">
        <v>4</v>
      </c>
      <c r="H821" s="210">
        <v>2149</v>
      </c>
      <c r="I821" s="208" t="s">
        <v>330</v>
      </c>
      <c r="J821" s="211">
        <v>1200</v>
      </c>
      <c r="K821" s="210">
        <v>1444</v>
      </c>
      <c r="L821" s="219">
        <v>0</v>
      </c>
      <c r="M821" s="212"/>
      <c r="N821" s="211">
        <v>2149</v>
      </c>
      <c r="O821" s="202">
        <v>5.3</v>
      </c>
      <c r="P821" s="213">
        <v>5.3</v>
      </c>
      <c r="Q821" s="213">
        <v>0</v>
      </c>
      <c r="R821" s="204">
        <v>3.8</v>
      </c>
      <c r="S821" s="213">
        <v>3.8</v>
      </c>
      <c r="T821" s="213" t="s">
        <v>84</v>
      </c>
      <c r="V821" s="210">
        <v>2149</v>
      </c>
      <c r="W821" s="202">
        <v>5.3</v>
      </c>
      <c r="X821" s="213">
        <v>5.3</v>
      </c>
      <c r="Y821" s="213">
        <v>0</v>
      </c>
      <c r="Z821" s="204">
        <v>3.8</v>
      </c>
      <c r="AA821" s="213">
        <v>3.8</v>
      </c>
      <c r="AB821" s="213" t="s">
        <v>84</v>
      </c>
      <c r="AD821" s="210">
        <v>2149</v>
      </c>
      <c r="AE821" s="202" t="s">
        <v>82</v>
      </c>
      <c r="AF821" s="213" t="s">
        <v>82</v>
      </c>
      <c r="AG821" s="213" t="s">
        <v>82</v>
      </c>
      <c r="AH821" s="204" t="s">
        <v>82</v>
      </c>
      <c r="AI821" s="213" t="s">
        <v>82</v>
      </c>
      <c r="AJ821" s="213" t="s">
        <v>82</v>
      </c>
    </row>
    <row customFormat="1" r="822" s="214" spans="1:36" x14ac:dyDescent="0.2">
      <c r="A822" s="217">
        <v>818</v>
      </c>
      <c r="B822" s="218">
        <v>28</v>
      </c>
      <c r="C822" s="207" t="s">
        <v>505</v>
      </c>
      <c r="D822" s="207">
        <v>2</v>
      </c>
      <c r="E822" s="207" t="s">
        <v>506</v>
      </c>
      <c r="F822" s="208">
        <v>44536</v>
      </c>
      <c r="G822" s="209" t="s">
        <v>4</v>
      </c>
      <c r="H822" s="210">
        <v>2150</v>
      </c>
      <c r="I822" s="208" t="s">
        <v>330</v>
      </c>
      <c r="J822" s="211">
        <v>1200</v>
      </c>
      <c r="K822" s="210">
        <v>1444</v>
      </c>
      <c r="L822" s="219">
        <v>0</v>
      </c>
      <c r="M822" s="212"/>
      <c r="N822" s="211">
        <v>2150</v>
      </c>
      <c r="O822" s="202">
        <v>5.7</v>
      </c>
      <c r="P822" s="213">
        <v>5.7</v>
      </c>
      <c r="Q822" s="213">
        <v>0</v>
      </c>
      <c r="R822" s="204">
        <v>4.0999999999999996</v>
      </c>
      <c r="S822" s="213">
        <v>4.0999999999999996</v>
      </c>
      <c r="T822" s="213" t="s">
        <v>84</v>
      </c>
      <c r="V822" s="210">
        <v>2150</v>
      </c>
      <c r="W822" s="202">
        <v>5.7</v>
      </c>
      <c r="X822" s="213">
        <v>5.7</v>
      </c>
      <c r="Y822" s="213">
        <v>0</v>
      </c>
      <c r="Z822" s="204">
        <v>4.0999999999999996</v>
      </c>
      <c r="AA822" s="213">
        <v>4.0999999999999996</v>
      </c>
      <c r="AB822" s="213" t="s">
        <v>84</v>
      </c>
      <c r="AD822" s="210">
        <v>2150</v>
      </c>
      <c r="AE822" s="202" t="s">
        <v>82</v>
      </c>
      <c r="AF822" s="213" t="s">
        <v>82</v>
      </c>
      <c r="AG822" s="213" t="s">
        <v>82</v>
      </c>
      <c r="AH822" s="204" t="s">
        <v>82</v>
      </c>
      <c r="AI822" s="213" t="s">
        <v>82</v>
      </c>
      <c r="AJ822" s="213" t="s">
        <v>82</v>
      </c>
    </row>
    <row customFormat="1" r="823" s="214" spans="1:36" x14ac:dyDescent="0.2">
      <c r="A823" s="217">
        <v>819</v>
      </c>
      <c r="B823" s="218">
        <v>28</v>
      </c>
      <c r="C823" s="207" t="s">
        <v>505</v>
      </c>
      <c r="D823" s="207">
        <v>2</v>
      </c>
      <c r="E823" s="207" t="s">
        <v>506</v>
      </c>
      <c r="F823" s="208">
        <v>44543</v>
      </c>
      <c r="G823" s="209" t="s">
        <v>4</v>
      </c>
      <c r="H823" s="210">
        <v>2151</v>
      </c>
      <c r="I823" s="208" t="s">
        <v>330</v>
      </c>
      <c r="J823" s="211">
        <v>1200</v>
      </c>
      <c r="K823" s="210">
        <v>1444</v>
      </c>
      <c r="L823" s="219">
        <v>0</v>
      </c>
      <c r="M823" s="212"/>
      <c r="N823" s="211">
        <v>2151</v>
      </c>
      <c r="O823" s="202">
        <v>5.4</v>
      </c>
      <c r="P823" s="213">
        <v>5.4</v>
      </c>
      <c r="Q823" s="213">
        <v>0</v>
      </c>
      <c r="R823" s="204">
        <v>3.9</v>
      </c>
      <c r="S823" s="213">
        <v>3.9</v>
      </c>
      <c r="T823" s="213">
        <v>0</v>
      </c>
      <c r="V823" s="210">
        <v>2151</v>
      </c>
      <c r="W823" s="202">
        <v>5.4</v>
      </c>
      <c r="X823" s="213">
        <v>5.4</v>
      </c>
      <c r="Y823" s="213">
        <v>0</v>
      </c>
      <c r="Z823" s="204">
        <v>3.9</v>
      </c>
      <c r="AA823" s="213">
        <v>3.9</v>
      </c>
      <c r="AB823" s="213">
        <v>0</v>
      </c>
      <c r="AD823" s="210">
        <v>2151</v>
      </c>
      <c r="AE823" s="202" t="s">
        <v>82</v>
      </c>
      <c r="AF823" s="213" t="s">
        <v>82</v>
      </c>
      <c r="AG823" s="213" t="s">
        <v>82</v>
      </c>
      <c r="AH823" s="204" t="s">
        <v>82</v>
      </c>
      <c r="AI823" s="213" t="s">
        <v>82</v>
      </c>
      <c r="AJ823" s="213" t="s">
        <v>82</v>
      </c>
    </row>
    <row customFormat="1" r="824" s="214" spans="1:36" x14ac:dyDescent="0.2">
      <c r="A824" s="217">
        <v>820</v>
      </c>
      <c r="B824" s="218">
        <v>28</v>
      </c>
      <c r="C824" s="207" t="s">
        <v>505</v>
      </c>
      <c r="D824" s="207">
        <v>2</v>
      </c>
      <c r="E824" s="207" t="s">
        <v>506</v>
      </c>
      <c r="F824" s="208">
        <v>44550</v>
      </c>
      <c r="G824" s="209" t="s">
        <v>4</v>
      </c>
      <c r="H824" s="210">
        <v>2152</v>
      </c>
      <c r="I824" s="208" t="s">
        <v>217</v>
      </c>
      <c r="J824" s="211">
        <v>800</v>
      </c>
      <c r="K824" s="210">
        <v>949</v>
      </c>
      <c r="L824" s="219">
        <v>0</v>
      </c>
      <c r="M824" s="212"/>
      <c r="N824" s="211">
        <v>2152</v>
      </c>
      <c r="O824" s="202">
        <v>6.7</v>
      </c>
      <c r="P824" s="213">
        <v>6.6</v>
      </c>
      <c r="Q824" s="213">
        <v>0.1</v>
      </c>
      <c r="R824" s="204">
        <v>3.5</v>
      </c>
      <c r="S824" s="213">
        <v>3.5</v>
      </c>
      <c r="T824" s="213">
        <v>0</v>
      </c>
      <c r="V824" s="210">
        <v>2152</v>
      </c>
      <c r="W824" s="202">
        <v>6.6</v>
      </c>
      <c r="X824" s="213">
        <v>6.6</v>
      </c>
      <c r="Y824" s="213">
        <v>0</v>
      </c>
      <c r="Z824" s="204">
        <v>3.5</v>
      </c>
      <c r="AA824" s="213">
        <v>3.5</v>
      </c>
      <c r="AB824" s="213">
        <v>0</v>
      </c>
      <c r="AD824" s="210">
        <v>2152</v>
      </c>
      <c r="AE824" s="202">
        <v>-0.10000000000000053</v>
      </c>
      <c r="AF824" s="213" t="s">
        <v>82</v>
      </c>
      <c r="AG824" s="213">
        <v>-0.1</v>
      </c>
      <c r="AH824" s="204" t="s">
        <v>82</v>
      </c>
      <c r="AI824" s="213" t="s">
        <v>82</v>
      </c>
      <c r="AJ824" s="213" t="s">
        <v>82</v>
      </c>
    </row>
    <row customFormat="1" r="825" s="214" spans="1:36" x14ac:dyDescent="0.2">
      <c r="A825" s="217">
        <v>821</v>
      </c>
      <c r="B825" s="218">
        <v>28</v>
      </c>
      <c r="C825" s="207" t="s">
        <v>505</v>
      </c>
      <c r="D825" s="207">
        <v>2</v>
      </c>
      <c r="E825" s="207" t="s">
        <v>506</v>
      </c>
      <c r="F825" s="208">
        <v>44550</v>
      </c>
      <c r="G825" s="209" t="s">
        <v>4</v>
      </c>
      <c r="H825" s="210">
        <v>2152</v>
      </c>
      <c r="I825" s="208" t="s">
        <v>330</v>
      </c>
      <c r="J825" s="211">
        <v>1200</v>
      </c>
      <c r="K825" s="210">
        <v>1444</v>
      </c>
      <c r="L825" s="219">
        <v>0</v>
      </c>
      <c r="M825" s="212"/>
      <c r="N825" s="211">
        <v>2152</v>
      </c>
      <c r="O825" s="202">
        <v>5.4</v>
      </c>
      <c r="P825" s="213">
        <v>5.4</v>
      </c>
      <c r="Q825" s="213">
        <v>0</v>
      </c>
      <c r="R825" s="204">
        <v>3.2</v>
      </c>
      <c r="S825" s="213">
        <v>3.2</v>
      </c>
      <c r="T825" s="213">
        <v>0</v>
      </c>
      <c r="V825" s="210">
        <v>2152</v>
      </c>
      <c r="W825" s="202">
        <v>5.4</v>
      </c>
      <c r="X825" s="213">
        <v>5.4</v>
      </c>
      <c r="Y825" s="213">
        <v>0</v>
      </c>
      <c r="Z825" s="204">
        <v>3.2</v>
      </c>
      <c r="AA825" s="213">
        <v>3.2</v>
      </c>
      <c r="AB825" s="213">
        <v>0</v>
      </c>
      <c r="AD825" s="210">
        <v>2152</v>
      </c>
      <c r="AE825" s="202" t="s">
        <v>82</v>
      </c>
      <c r="AF825" s="213" t="s">
        <v>82</v>
      </c>
      <c r="AG825" s="213" t="s">
        <v>82</v>
      </c>
      <c r="AH825" s="204" t="s">
        <v>82</v>
      </c>
      <c r="AI825" s="213" t="s">
        <v>82</v>
      </c>
      <c r="AJ825" s="213" t="s">
        <v>82</v>
      </c>
    </row>
    <row customFormat="1" r="826" s="214" spans="1:36" x14ac:dyDescent="0.2">
      <c r="A826" s="217">
        <v>822</v>
      </c>
      <c r="B826" s="218">
        <v>28</v>
      </c>
      <c r="C826" s="207" t="s">
        <v>505</v>
      </c>
      <c r="D826" s="207">
        <v>2</v>
      </c>
      <c r="E826" s="207" t="s">
        <v>506</v>
      </c>
      <c r="F826" s="208">
        <v>44557</v>
      </c>
      <c r="G826" s="209" t="s">
        <v>4</v>
      </c>
      <c r="H826" s="210">
        <v>2201</v>
      </c>
      <c r="I826" s="208" t="s">
        <v>217</v>
      </c>
      <c r="J826" s="211">
        <v>800</v>
      </c>
      <c r="K826" s="210">
        <v>949</v>
      </c>
      <c r="L826" s="219">
        <v>0</v>
      </c>
      <c r="M826" s="212"/>
      <c r="N826" s="211">
        <v>2201</v>
      </c>
      <c r="O826" s="202">
        <v>7.2</v>
      </c>
      <c r="P826" s="213">
        <v>7.1</v>
      </c>
      <c r="Q826" s="213">
        <v>0.1</v>
      </c>
      <c r="R826" s="204">
        <v>3.9</v>
      </c>
      <c r="S826" s="213">
        <v>3.9</v>
      </c>
      <c r="T826" s="213">
        <v>0</v>
      </c>
      <c r="V826" s="210">
        <v>2201</v>
      </c>
      <c r="W826" s="202">
        <v>7.1</v>
      </c>
      <c r="X826" s="213">
        <v>7.1</v>
      </c>
      <c r="Y826" s="213">
        <v>0</v>
      </c>
      <c r="Z826" s="204">
        <v>3.9</v>
      </c>
      <c r="AA826" s="213">
        <v>3.9</v>
      </c>
      <c r="AB826" s="213">
        <v>0</v>
      </c>
      <c r="AD826" s="210">
        <v>2201</v>
      </c>
      <c r="AE826" s="202">
        <v>-0.10000000000000053</v>
      </c>
      <c r="AF826" s="213" t="s">
        <v>82</v>
      </c>
      <c r="AG826" s="213">
        <v>-0.1</v>
      </c>
      <c r="AH826" s="204" t="s">
        <v>82</v>
      </c>
      <c r="AI826" s="213" t="s">
        <v>82</v>
      </c>
      <c r="AJ826" s="213" t="s">
        <v>82</v>
      </c>
    </row>
    <row customFormat="1" r="827" s="214" spans="1:36" x14ac:dyDescent="0.2">
      <c r="A827" s="217">
        <v>823</v>
      </c>
      <c r="B827" s="218">
        <v>28</v>
      </c>
      <c r="C827" s="207" t="s">
        <v>505</v>
      </c>
      <c r="D827" s="207">
        <v>2</v>
      </c>
      <c r="E827" s="207" t="s">
        <v>506</v>
      </c>
      <c r="F827" s="208">
        <v>44558</v>
      </c>
      <c r="G827" s="209" t="s">
        <v>5</v>
      </c>
      <c r="H827" s="210">
        <v>2201</v>
      </c>
      <c r="I827" s="208" t="s">
        <v>465</v>
      </c>
      <c r="J827" s="211">
        <v>2602</v>
      </c>
      <c r="K827" s="210">
        <v>2849</v>
      </c>
      <c r="L827" s="219">
        <v>0</v>
      </c>
      <c r="M827" s="212"/>
      <c r="N827" s="211">
        <v>2201</v>
      </c>
      <c r="O827" s="202">
        <v>0.6</v>
      </c>
      <c r="P827" s="213">
        <v>0.4</v>
      </c>
      <c r="Q827" s="213">
        <v>0.2</v>
      </c>
      <c r="R827" s="204" t="s">
        <v>84</v>
      </c>
      <c r="S827" s="213" t="s">
        <v>84</v>
      </c>
      <c r="T827" s="213" t="s">
        <v>84</v>
      </c>
      <c r="V827" s="210">
        <v>2201</v>
      </c>
      <c r="W827" s="202">
        <v>0.4</v>
      </c>
      <c r="X827" s="213">
        <v>0.4</v>
      </c>
      <c r="Y827" s="213">
        <v>0</v>
      </c>
      <c r="Z827" s="204" t="s">
        <v>84</v>
      </c>
      <c r="AA827" s="213" t="s">
        <v>84</v>
      </c>
      <c r="AB827" s="213" t="s">
        <v>84</v>
      </c>
      <c r="AD827" s="210">
        <v>2201</v>
      </c>
      <c r="AE827" s="202">
        <v>-0.19999999999999996</v>
      </c>
      <c r="AF827" s="213" t="s">
        <v>82</v>
      </c>
      <c r="AG827" s="213">
        <v>-0.2</v>
      </c>
      <c r="AH827" s="204" t="s">
        <v>82</v>
      </c>
      <c r="AI827" s="213" t="s">
        <v>82</v>
      </c>
      <c r="AJ827" s="213" t="s">
        <v>82</v>
      </c>
    </row>
    <row customFormat="1" r="828" s="205" spans="1:36" x14ac:dyDescent="0.2">
      <c r="A828" s="193">
        <v>824</v>
      </c>
      <c r="B828" s="215">
        <v>28</v>
      </c>
      <c r="C828" s="195" t="s">
        <v>505</v>
      </c>
      <c r="D828" s="195">
        <v>2</v>
      </c>
      <c r="E828" s="195" t="s">
        <v>506</v>
      </c>
      <c r="F828" s="196">
        <v>44564</v>
      </c>
      <c r="G828" s="197" t="s">
        <v>4</v>
      </c>
      <c r="H828" s="198">
        <v>2202</v>
      </c>
      <c r="I828" s="196" t="s">
        <v>507</v>
      </c>
      <c r="J828" s="199">
        <v>750</v>
      </c>
      <c r="K828" s="198">
        <v>1417</v>
      </c>
      <c r="L828" s="216">
        <v>0</v>
      </c>
      <c r="M828" s="201"/>
      <c r="N828" s="199">
        <v>2202</v>
      </c>
      <c r="O828" s="202">
        <v>5.0999999999999996</v>
      </c>
      <c r="P828" s="203">
        <v>5</v>
      </c>
      <c r="Q828" s="203">
        <v>0.1</v>
      </c>
      <c r="R828" s="204">
        <v>3.7</v>
      </c>
      <c r="S828" s="203">
        <v>3.7</v>
      </c>
      <c r="T828" s="203" t="s">
        <v>84</v>
      </c>
      <c r="V828" s="198">
        <v>2202</v>
      </c>
      <c r="W828" s="202">
        <v>5.0999999999999996</v>
      </c>
      <c r="X828" s="203">
        <v>5</v>
      </c>
      <c r="Y828" s="203">
        <v>0.1</v>
      </c>
      <c r="Z828" s="204">
        <v>3.7</v>
      </c>
      <c r="AA828" s="203">
        <v>3.7</v>
      </c>
      <c r="AB828" s="203" t="s">
        <v>84</v>
      </c>
      <c r="AD828" s="198">
        <v>2202</v>
      </c>
      <c r="AE828" s="202" t="s">
        <v>82</v>
      </c>
      <c r="AF828" s="203" t="s">
        <v>82</v>
      </c>
      <c r="AG828" s="203" t="s">
        <v>82</v>
      </c>
      <c r="AH828" s="204" t="s">
        <v>82</v>
      </c>
      <c r="AI828" s="203" t="s">
        <v>82</v>
      </c>
      <c r="AJ828" s="203" t="s">
        <v>82</v>
      </c>
    </row>
    <row customFormat="1" r="829" s="205" spans="1:36" x14ac:dyDescent="0.2">
      <c r="A829" s="193">
        <v>825</v>
      </c>
      <c r="B829" s="215">
        <v>28</v>
      </c>
      <c r="C829" s="195" t="s">
        <v>505</v>
      </c>
      <c r="D829" s="195">
        <v>2</v>
      </c>
      <c r="E829" s="195" t="s">
        <v>506</v>
      </c>
      <c r="F829" s="196">
        <v>44565</v>
      </c>
      <c r="G829" s="197" t="s">
        <v>5</v>
      </c>
      <c r="H829" s="198">
        <v>2202</v>
      </c>
      <c r="I829" s="196" t="s">
        <v>508</v>
      </c>
      <c r="J829" s="199">
        <v>2454</v>
      </c>
      <c r="K829" s="198">
        <v>2648</v>
      </c>
      <c r="L829" s="216">
        <v>0</v>
      </c>
      <c r="M829" s="201"/>
      <c r="N829" s="199">
        <v>2202</v>
      </c>
      <c r="O829" s="202">
        <v>0.9</v>
      </c>
      <c r="P829" s="203">
        <v>0.8</v>
      </c>
      <c r="Q829" s="203">
        <v>0.1</v>
      </c>
      <c r="R829" s="204">
        <v>0.4</v>
      </c>
      <c r="S829" s="203">
        <v>0.4</v>
      </c>
      <c r="T829" s="203" t="s">
        <v>84</v>
      </c>
      <c r="V829" s="198">
        <v>2202</v>
      </c>
      <c r="W829" s="202">
        <v>0.8</v>
      </c>
      <c r="X829" s="203">
        <v>0.8</v>
      </c>
      <c r="Y829" s="203">
        <v>0</v>
      </c>
      <c r="Z829" s="204">
        <v>0.4</v>
      </c>
      <c r="AA829" s="203">
        <v>0.4</v>
      </c>
      <c r="AB829" s="203" t="s">
        <v>84</v>
      </c>
      <c r="AD829" s="198">
        <v>2202</v>
      </c>
      <c r="AE829" s="202">
        <v>-9.9999999999999978E-2</v>
      </c>
      <c r="AF829" s="203" t="s">
        <v>82</v>
      </c>
      <c r="AG829" s="203">
        <v>-0.1</v>
      </c>
      <c r="AH829" s="204" t="s">
        <v>82</v>
      </c>
      <c r="AI829" s="203" t="s">
        <v>82</v>
      </c>
      <c r="AJ829" s="203" t="s">
        <v>82</v>
      </c>
    </row>
    <row customFormat="1" r="830" s="205" spans="1:36" x14ac:dyDescent="0.2">
      <c r="A830" s="193">
        <v>826</v>
      </c>
      <c r="B830" s="215">
        <v>28</v>
      </c>
      <c r="C830" s="195" t="s">
        <v>505</v>
      </c>
      <c r="D830" s="195">
        <v>2</v>
      </c>
      <c r="E830" s="195" t="s">
        <v>506</v>
      </c>
      <c r="F830" s="196">
        <v>44571</v>
      </c>
      <c r="G830" s="197" t="s">
        <v>4</v>
      </c>
      <c r="H830" s="198">
        <v>2203</v>
      </c>
      <c r="I830" s="196" t="s">
        <v>217</v>
      </c>
      <c r="J830" s="199">
        <v>800</v>
      </c>
      <c r="K830" s="198">
        <v>949</v>
      </c>
      <c r="L830" s="216">
        <v>0</v>
      </c>
      <c r="M830" s="201"/>
      <c r="N830" s="199">
        <v>2203</v>
      </c>
      <c r="O830" s="202">
        <v>8.4</v>
      </c>
      <c r="P830" s="203">
        <v>8.3000000000000007</v>
      </c>
      <c r="Q830" s="203">
        <v>0.1</v>
      </c>
      <c r="R830" s="204">
        <v>6.2</v>
      </c>
      <c r="S830" s="203">
        <v>6.2</v>
      </c>
      <c r="T830" s="203">
        <v>0</v>
      </c>
      <c r="V830" s="198">
        <v>2203</v>
      </c>
      <c r="W830" s="202">
        <v>8.3000000000000007</v>
      </c>
      <c r="X830" s="203">
        <v>8.3000000000000007</v>
      </c>
      <c r="Y830" s="203">
        <v>0</v>
      </c>
      <c r="Z830" s="204">
        <v>6.2</v>
      </c>
      <c r="AA830" s="203">
        <v>6.2</v>
      </c>
      <c r="AB830" s="203">
        <v>0</v>
      </c>
      <c r="AD830" s="198">
        <v>2203</v>
      </c>
      <c r="AE830" s="202">
        <v>-9.9999999999999645E-2</v>
      </c>
      <c r="AF830" s="203" t="s">
        <v>82</v>
      </c>
      <c r="AG830" s="203">
        <v>-0.1</v>
      </c>
      <c r="AH830" s="204" t="s">
        <v>82</v>
      </c>
      <c r="AI830" s="203" t="s">
        <v>82</v>
      </c>
      <c r="AJ830" s="203" t="s">
        <v>82</v>
      </c>
    </row>
    <row customFormat="1" r="831" s="205" spans="1:36" x14ac:dyDescent="0.2">
      <c r="A831" s="193">
        <v>827</v>
      </c>
      <c r="B831" s="215">
        <v>28</v>
      </c>
      <c r="C831" s="195" t="s">
        <v>505</v>
      </c>
      <c r="D831" s="195">
        <v>2</v>
      </c>
      <c r="E831" s="195" t="s">
        <v>506</v>
      </c>
      <c r="F831" s="196">
        <v>44572</v>
      </c>
      <c r="G831" s="197" t="s">
        <v>5</v>
      </c>
      <c r="H831" s="198">
        <v>2203</v>
      </c>
      <c r="I831" s="196" t="s">
        <v>400</v>
      </c>
      <c r="J831" s="199">
        <v>2624</v>
      </c>
      <c r="K831" s="198">
        <v>2653</v>
      </c>
      <c r="L831" s="216">
        <v>0</v>
      </c>
      <c r="M831" s="201"/>
      <c r="N831" s="199">
        <v>2203</v>
      </c>
      <c r="O831" s="202">
        <v>2</v>
      </c>
      <c r="P831" s="203">
        <v>0.7</v>
      </c>
      <c r="Q831" s="203">
        <v>1.3</v>
      </c>
      <c r="R831" s="204">
        <v>0.5</v>
      </c>
      <c r="S831" s="203">
        <v>0.5</v>
      </c>
      <c r="T831" s="203">
        <v>0</v>
      </c>
      <c r="V831" s="198">
        <v>2203</v>
      </c>
      <c r="W831" s="202">
        <v>1.3</v>
      </c>
      <c r="X831" s="203">
        <v>0.7</v>
      </c>
      <c r="Y831" s="203">
        <v>0.6</v>
      </c>
      <c r="Z831" s="204">
        <v>0.5</v>
      </c>
      <c r="AA831" s="203">
        <v>0.5</v>
      </c>
      <c r="AB831" s="203">
        <v>0</v>
      </c>
      <c r="AD831" s="198">
        <v>2203</v>
      </c>
      <c r="AE831" s="202">
        <v>-0.7</v>
      </c>
      <c r="AF831" s="203" t="s">
        <v>82</v>
      </c>
      <c r="AG831" s="203">
        <v>-0.70000000000000007</v>
      </c>
      <c r="AH831" s="204" t="s">
        <v>82</v>
      </c>
      <c r="AI831" s="203" t="s">
        <v>82</v>
      </c>
      <c r="AJ831" s="203" t="s">
        <v>82</v>
      </c>
    </row>
    <row customFormat="1" r="832" s="205" spans="1:36" x14ac:dyDescent="0.2">
      <c r="A832" s="193">
        <v>828</v>
      </c>
      <c r="B832" s="215">
        <v>28</v>
      </c>
      <c r="C832" s="195" t="s">
        <v>505</v>
      </c>
      <c r="D832" s="195">
        <v>2</v>
      </c>
      <c r="E832" s="195" t="s">
        <v>506</v>
      </c>
      <c r="F832" s="196">
        <v>44579</v>
      </c>
      <c r="G832" s="197" t="s">
        <v>5</v>
      </c>
      <c r="H832" s="198">
        <v>2204</v>
      </c>
      <c r="I832" s="196" t="s">
        <v>400</v>
      </c>
      <c r="J832" s="199">
        <v>2624</v>
      </c>
      <c r="K832" s="198">
        <v>2653</v>
      </c>
      <c r="L832" s="216">
        <v>0</v>
      </c>
      <c r="M832" s="201"/>
      <c r="N832" s="199">
        <v>2204</v>
      </c>
      <c r="O832" s="202">
        <v>2.2000000000000002</v>
      </c>
      <c r="P832" s="203">
        <v>0.7</v>
      </c>
      <c r="Q832" s="203">
        <v>1.5</v>
      </c>
      <c r="R832" s="204">
        <v>0.4</v>
      </c>
      <c r="S832" s="203">
        <v>0.4</v>
      </c>
      <c r="T832" s="203" t="s">
        <v>84</v>
      </c>
      <c r="V832" s="198">
        <v>2204</v>
      </c>
      <c r="W832" s="202">
        <v>1.4</v>
      </c>
      <c r="X832" s="203">
        <v>0.7</v>
      </c>
      <c r="Y832" s="203">
        <v>0.7</v>
      </c>
      <c r="Z832" s="204">
        <v>0.4</v>
      </c>
      <c r="AA832" s="203">
        <v>0.4</v>
      </c>
      <c r="AB832" s="203" t="s">
        <v>84</v>
      </c>
      <c r="AD832" s="198">
        <v>2204</v>
      </c>
      <c r="AE832" s="202">
        <v>-0.80000000000000027</v>
      </c>
      <c r="AF832" s="203" t="s">
        <v>82</v>
      </c>
      <c r="AG832" s="203">
        <v>-0.8</v>
      </c>
      <c r="AH832" s="204" t="s">
        <v>82</v>
      </c>
      <c r="AI832" s="203" t="s">
        <v>82</v>
      </c>
      <c r="AJ832" s="203" t="s">
        <v>82</v>
      </c>
    </row>
    <row customFormat="1" r="833" s="205" spans="1:36" x14ac:dyDescent="0.2">
      <c r="A833" s="193">
        <v>829</v>
      </c>
      <c r="B833" s="215">
        <v>29</v>
      </c>
      <c r="C833" s="195" t="s">
        <v>509</v>
      </c>
      <c r="D833" s="195">
        <v>1</v>
      </c>
      <c r="E833" s="195" t="s">
        <v>510</v>
      </c>
      <c r="F833" s="196">
        <v>44498</v>
      </c>
      <c r="G833" s="197" t="s">
        <v>8</v>
      </c>
      <c r="H833" s="198">
        <v>2144</v>
      </c>
      <c r="I833" s="196" t="s">
        <v>269</v>
      </c>
      <c r="J833" s="199">
        <v>1550</v>
      </c>
      <c r="K833" s="198">
        <v>1814</v>
      </c>
      <c r="L833" s="216">
        <v>0</v>
      </c>
      <c r="M833" s="201"/>
      <c r="N833" s="199">
        <v>2144</v>
      </c>
      <c r="O833" s="202" t="s">
        <v>84</v>
      </c>
      <c r="P833" s="203" t="s">
        <v>84</v>
      </c>
      <c r="Q833" s="203" t="s">
        <v>84</v>
      </c>
      <c r="R833" s="204" t="s">
        <v>84</v>
      </c>
      <c r="S833" s="203" t="s">
        <v>84</v>
      </c>
      <c r="T833" s="203" t="s">
        <v>84</v>
      </c>
      <c r="V833" s="198">
        <v>2144</v>
      </c>
      <c r="W833" s="202" t="s">
        <v>84</v>
      </c>
      <c r="X833" s="203" t="s">
        <v>84</v>
      </c>
      <c r="Y833" s="203" t="s">
        <v>84</v>
      </c>
      <c r="Z833" s="204" t="s">
        <v>84</v>
      </c>
      <c r="AA833" s="203" t="s">
        <v>84</v>
      </c>
      <c r="AB833" s="203" t="s">
        <v>84</v>
      </c>
      <c r="AD833" s="198">
        <v>2144</v>
      </c>
      <c r="AE833" s="202" t="s">
        <v>82</v>
      </c>
      <c r="AF833" s="203" t="s">
        <v>82</v>
      </c>
      <c r="AG833" s="203" t="s">
        <v>82</v>
      </c>
      <c r="AH833" s="204" t="s">
        <v>82</v>
      </c>
      <c r="AI833" s="203" t="s">
        <v>82</v>
      </c>
      <c r="AJ833" s="203" t="s">
        <v>82</v>
      </c>
    </row>
    <row customFormat="1" r="834" s="205" spans="1:36" x14ac:dyDescent="0.2">
      <c r="A834" s="193">
        <v>830</v>
      </c>
      <c r="B834" s="215">
        <v>29</v>
      </c>
      <c r="C834" s="195" t="s">
        <v>509</v>
      </c>
      <c r="D834" s="195">
        <v>1</v>
      </c>
      <c r="E834" s="195" t="s">
        <v>510</v>
      </c>
      <c r="F834" s="196">
        <v>44505</v>
      </c>
      <c r="G834" s="197" t="s">
        <v>8</v>
      </c>
      <c r="H834" s="198">
        <v>2145</v>
      </c>
      <c r="I834" s="196" t="s">
        <v>269</v>
      </c>
      <c r="J834" s="199">
        <v>1550</v>
      </c>
      <c r="K834" s="198">
        <v>1814</v>
      </c>
      <c r="L834" s="216">
        <v>0</v>
      </c>
      <c r="M834" s="201"/>
      <c r="N834" s="199">
        <v>2145</v>
      </c>
      <c r="O834" s="202">
        <v>5.4</v>
      </c>
      <c r="P834" s="203">
        <v>5.3</v>
      </c>
      <c r="Q834" s="203">
        <v>0.1</v>
      </c>
      <c r="R834" s="204">
        <v>9.6</v>
      </c>
      <c r="S834" s="203">
        <v>9.6</v>
      </c>
      <c r="T834" s="203" t="s">
        <v>84</v>
      </c>
      <c r="V834" s="198">
        <v>2145</v>
      </c>
      <c r="W834" s="202">
        <v>5.3</v>
      </c>
      <c r="X834" s="203">
        <v>5.3</v>
      </c>
      <c r="Y834" s="203">
        <v>0</v>
      </c>
      <c r="Z834" s="204">
        <v>9.6</v>
      </c>
      <c r="AA834" s="203">
        <v>9.6</v>
      </c>
      <c r="AB834" s="203" t="s">
        <v>84</v>
      </c>
      <c r="AD834" s="198">
        <v>2145</v>
      </c>
      <c r="AE834" s="202">
        <v>-0.10000000000000053</v>
      </c>
      <c r="AF834" s="203" t="s">
        <v>82</v>
      </c>
      <c r="AG834" s="203">
        <v>-0.1</v>
      </c>
      <c r="AH834" s="204" t="s">
        <v>82</v>
      </c>
      <c r="AI834" s="203" t="s">
        <v>82</v>
      </c>
      <c r="AJ834" s="203" t="s">
        <v>82</v>
      </c>
    </row>
    <row customFormat="1" r="835" s="205" spans="1:36" x14ac:dyDescent="0.2">
      <c r="A835" s="193">
        <v>831</v>
      </c>
      <c r="B835" s="215">
        <v>29</v>
      </c>
      <c r="C835" s="195" t="s">
        <v>509</v>
      </c>
      <c r="D835" s="195">
        <v>1</v>
      </c>
      <c r="E835" s="195" t="s">
        <v>510</v>
      </c>
      <c r="F835" s="196">
        <v>44512</v>
      </c>
      <c r="G835" s="197" t="s">
        <v>8</v>
      </c>
      <c r="H835" s="198">
        <v>2146</v>
      </c>
      <c r="I835" s="196" t="s">
        <v>269</v>
      </c>
      <c r="J835" s="199">
        <v>1550</v>
      </c>
      <c r="K835" s="198">
        <v>1814</v>
      </c>
      <c r="L835" s="216">
        <v>0</v>
      </c>
      <c r="M835" s="201"/>
      <c r="N835" s="199">
        <v>2146</v>
      </c>
      <c r="O835" s="202">
        <v>5.6</v>
      </c>
      <c r="P835" s="203">
        <v>5.5</v>
      </c>
      <c r="Q835" s="203">
        <v>0.1</v>
      </c>
      <c r="R835" s="204">
        <v>10</v>
      </c>
      <c r="S835" s="203">
        <v>10</v>
      </c>
      <c r="T835" s="203" t="s">
        <v>84</v>
      </c>
      <c r="V835" s="198">
        <v>2146</v>
      </c>
      <c r="W835" s="202">
        <v>5.5</v>
      </c>
      <c r="X835" s="203">
        <v>5.5</v>
      </c>
      <c r="Y835" s="203">
        <v>0</v>
      </c>
      <c r="Z835" s="204">
        <v>10</v>
      </c>
      <c r="AA835" s="203">
        <v>10</v>
      </c>
      <c r="AB835" s="203" t="s">
        <v>84</v>
      </c>
      <c r="AD835" s="198">
        <v>2146</v>
      </c>
      <c r="AE835" s="202">
        <v>-9.9999999999999645E-2</v>
      </c>
      <c r="AF835" s="203" t="s">
        <v>82</v>
      </c>
      <c r="AG835" s="203">
        <v>-0.1</v>
      </c>
      <c r="AH835" s="204" t="s">
        <v>82</v>
      </c>
      <c r="AI835" s="203" t="s">
        <v>82</v>
      </c>
      <c r="AJ835" s="203" t="s">
        <v>82</v>
      </c>
    </row>
    <row customFormat="1" r="836" s="205" spans="1:36" x14ac:dyDescent="0.2">
      <c r="A836" s="193">
        <v>832</v>
      </c>
      <c r="B836" s="215">
        <v>29</v>
      </c>
      <c r="C836" s="195" t="s">
        <v>509</v>
      </c>
      <c r="D836" s="195">
        <v>1</v>
      </c>
      <c r="E836" s="195" t="s">
        <v>510</v>
      </c>
      <c r="F836" s="196">
        <v>44519</v>
      </c>
      <c r="G836" s="197" t="s">
        <v>8</v>
      </c>
      <c r="H836" s="198">
        <v>2147</v>
      </c>
      <c r="I836" s="196" t="s">
        <v>269</v>
      </c>
      <c r="J836" s="199">
        <v>1550</v>
      </c>
      <c r="K836" s="198">
        <v>1814</v>
      </c>
      <c r="L836" s="216">
        <v>0</v>
      </c>
      <c r="M836" s="201"/>
      <c r="N836" s="199">
        <v>2147</v>
      </c>
      <c r="O836" s="202">
        <v>6</v>
      </c>
      <c r="P836" s="203">
        <v>5.9</v>
      </c>
      <c r="Q836" s="203">
        <v>0.1</v>
      </c>
      <c r="R836" s="204">
        <v>9.9</v>
      </c>
      <c r="S836" s="203">
        <v>9.9</v>
      </c>
      <c r="T836" s="203" t="s">
        <v>84</v>
      </c>
      <c r="V836" s="198">
        <v>2147</v>
      </c>
      <c r="W836" s="202">
        <v>5.9</v>
      </c>
      <c r="X836" s="203">
        <v>5.9</v>
      </c>
      <c r="Y836" s="203">
        <v>0</v>
      </c>
      <c r="Z836" s="204">
        <v>9.9</v>
      </c>
      <c r="AA836" s="203">
        <v>9.9</v>
      </c>
      <c r="AB836" s="203" t="s">
        <v>84</v>
      </c>
      <c r="AD836" s="198">
        <v>2147</v>
      </c>
      <c r="AE836" s="202">
        <v>-9.9999999999999645E-2</v>
      </c>
      <c r="AF836" s="203" t="s">
        <v>82</v>
      </c>
      <c r="AG836" s="203">
        <v>-0.1</v>
      </c>
      <c r="AH836" s="204" t="s">
        <v>82</v>
      </c>
      <c r="AI836" s="203" t="s">
        <v>82</v>
      </c>
      <c r="AJ836" s="203" t="s">
        <v>82</v>
      </c>
    </row>
    <row customFormat="1" r="837" s="205" spans="1:36" x14ac:dyDescent="0.2">
      <c r="A837" s="193">
        <v>833</v>
      </c>
      <c r="B837" s="215">
        <v>29</v>
      </c>
      <c r="C837" s="195" t="s">
        <v>509</v>
      </c>
      <c r="D837" s="195">
        <v>1</v>
      </c>
      <c r="E837" s="195" t="s">
        <v>510</v>
      </c>
      <c r="F837" s="196">
        <v>44552</v>
      </c>
      <c r="G837" s="197" t="s">
        <v>6</v>
      </c>
      <c r="H837" s="198">
        <v>2152</v>
      </c>
      <c r="I837" s="196" t="s">
        <v>511</v>
      </c>
      <c r="J837" s="199">
        <v>955</v>
      </c>
      <c r="K837" s="198">
        <v>1049</v>
      </c>
      <c r="L837" s="216">
        <v>0</v>
      </c>
      <c r="M837" s="201"/>
      <c r="N837" s="199">
        <v>2152</v>
      </c>
      <c r="O837" s="202">
        <v>1.7</v>
      </c>
      <c r="P837" s="203">
        <v>1.2</v>
      </c>
      <c r="Q837" s="203">
        <v>0.5</v>
      </c>
      <c r="R837" s="204">
        <v>1.2</v>
      </c>
      <c r="S837" s="203">
        <v>1.2</v>
      </c>
      <c r="T837" s="203">
        <v>0</v>
      </c>
      <c r="V837" s="198">
        <v>2152</v>
      </c>
      <c r="W837" s="202">
        <v>1.2</v>
      </c>
      <c r="X837" s="203">
        <v>1.2</v>
      </c>
      <c r="Y837" s="203">
        <v>0</v>
      </c>
      <c r="Z837" s="204">
        <v>1.2</v>
      </c>
      <c r="AA837" s="203">
        <v>1.2</v>
      </c>
      <c r="AB837" s="203">
        <v>0</v>
      </c>
      <c r="AD837" s="198">
        <v>2152</v>
      </c>
      <c r="AE837" s="202">
        <v>-0.5</v>
      </c>
      <c r="AF837" s="203" t="s">
        <v>82</v>
      </c>
      <c r="AG837" s="203">
        <v>-0.5</v>
      </c>
      <c r="AH837" s="204" t="s">
        <v>82</v>
      </c>
      <c r="AI837" s="203" t="s">
        <v>82</v>
      </c>
      <c r="AJ837" s="203" t="s">
        <v>82</v>
      </c>
    </row>
    <row customFormat="1" r="838" s="205" spans="1:36" x14ac:dyDescent="0.2">
      <c r="A838" s="193">
        <v>834</v>
      </c>
      <c r="B838" s="215">
        <v>29</v>
      </c>
      <c r="C838" s="195" t="s">
        <v>509</v>
      </c>
      <c r="D838" s="195">
        <v>1</v>
      </c>
      <c r="E838" s="195" t="s">
        <v>510</v>
      </c>
      <c r="F838" s="196">
        <v>44559</v>
      </c>
      <c r="G838" s="197" t="s">
        <v>6</v>
      </c>
      <c r="H838" s="198">
        <v>2201</v>
      </c>
      <c r="I838" s="196" t="s">
        <v>512</v>
      </c>
      <c r="J838" s="199">
        <v>1030</v>
      </c>
      <c r="K838" s="198">
        <v>1124</v>
      </c>
      <c r="L838" s="216">
        <v>0</v>
      </c>
      <c r="M838" s="201"/>
      <c r="N838" s="199">
        <v>2201</v>
      </c>
      <c r="O838" s="202">
        <v>1.5</v>
      </c>
      <c r="P838" s="203">
        <v>0.7</v>
      </c>
      <c r="Q838" s="203">
        <v>0.8</v>
      </c>
      <c r="R838" s="204">
        <v>0.6</v>
      </c>
      <c r="S838" s="203">
        <v>0.6</v>
      </c>
      <c r="T838" s="203">
        <v>0</v>
      </c>
      <c r="V838" s="198">
        <v>2201</v>
      </c>
      <c r="W838" s="202">
        <v>0.7</v>
      </c>
      <c r="X838" s="203">
        <v>0.7</v>
      </c>
      <c r="Y838" s="203">
        <v>0</v>
      </c>
      <c r="Z838" s="204">
        <v>0.6</v>
      </c>
      <c r="AA838" s="203">
        <v>0.6</v>
      </c>
      <c r="AB838" s="203">
        <v>0</v>
      </c>
      <c r="AD838" s="198">
        <v>2201</v>
      </c>
      <c r="AE838" s="202">
        <v>-0.8</v>
      </c>
      <c r="AF838" s="203" t="s">
        <v>82</v>
      </c>
      <c r="AG838" s="203">
        <v>-0.8</v>
      </c>
      <c r="AH838" s="204" t="s">
        <v>82</v>
      </c>
      <c r="AI838" s="203" t="s">
        <v>82</v>
      </c>
      <c r="AJ838" s="203" t="s">
        <v>82</v>
      </c>
    </row>
    <row customFormat="1" r="839" s="205" spans="1:36" x14ac:dyDescent="0.2">
      <c r="A839" s="193">
        <v>835</v>
      </c>
      <c r="B839" s="215">
        <v>29</v>
      </c>
      <c r="C839" s="195" t="s">
        <v>509</v>
      </c>
      <c r="D839" s="195">
        <v>1</v>
      </c>
      <c r="E839" s="195" t="s">
        <v>510</v>
      </c>
      <c r="F839" s="196">
        <v>44566</v>
      </c>
      <c r="G839" s="197" t="s">
        <v>6</v>
      </c>
      <c r="H839" s="198">
        <v>2202</v>
      </c>
      <c r="I839" s="196" t="s">
        <v>513</v>
      </c>
      <c r="J839" s="199">
        <v>955</v>
      </c>
      <c r="K839" s="198">
        <v>1049</v>
      </c>
      <c r="L839" s="216">
        <v>0</v>
      </c>
      <c r="M839" s="201"/>
      <c r="N839" s="199">
        <v>2202</v>
      </c>
      <c r="O839" s="202">
        <v>1.8</v>
      </c>
      <c r="P839" s="203">
        <v>1.3</v>
      </c>
      <c r="Q839" s="203">
        <v>0.5</v>
      </c>
      <c r="R839" s="204">
        <v>1</v>
      </c>
      <c r="S839" s="203">
        <v>1</v>
      </c>
      <c r="T839" s="203">
        <v>0</v>
      </c>
      <c r="V839" s="198">
        <v>2202</v>
      </c>
      <c r="W839" s="202">
        <v>1.3</v>
      </c>
      <c r="X839" s="203">
        <v>1.3</v>
      </c>
      <c r="Y839" s="203">
        <v>0</v>
      </c>
      <c r="Z839" s="204">
        <v>1</v>
      </c>
      <c r="AA839" s="203">
        <v>1</v>
      </c>
      <c r="AB839" s="203">
        <v>0</v>
      </c>
      <c r="AD839" s="198">
        <v>2202</v>
      </c>
      <c r="AE839" s="202">
        <v>-0.5</v>
      </c>
      <c r="AF839" s="203" t="s">
        <v>82</v>
      </c>
      <c r="AG839" s="203">
        <v>-0.5</v>
      </c>
      <c r="AH839" s="204" t="s">
        <v>82</v>
      </c>
      <c r="AI839" s="203" t="s">
        <v>82</v>
      </c>
      <c r="AJ839" s="203" t="s">
        <v>82</v>
      </c>
    </row>
    <row customFormat="1" r="840" s="205" spans="1:36" x14ac:dyDescent="0.2">
      <c r="A840" s="193">
        <v>836</v>
      </c>
      <c r="B840" s="215">
        <v>29</v>
      </c>
      <c r="C840" s="195" t="s">
        <v>509</v>
      </c>
      <c r="D840" s="195">
        <v>1</v>
      </c>
      <c r="E840" s="195" t="s">
        <v>510</v>
      </c>
      <c r="F840" s="196">
        <v>44573</v>
      </c>
      <c r="G840" s="197" t="s">
        <v>6</v>
      </c>
      <c r="H840" s="198">
        <v>2203</v>
      </c>
      <c r="I840" s="196" t="s">
        <v>514</v>
      </c>
      <c r="J840" s="199">
        <v>955</v>
      </c>
      <c r="K840" s="198">
        <v>1049</v>
      </c>
      <c r="L840" s="216">
        <v>0</v>
      </c>
      <c r="M840" s="201"/>
      <c r="N840" s="199">
        <v>2203</v>
      </c>
      <c r="O840" s="202">
        <v>1.9</v>
      </c>
      <c r="P840" s="203">
        <v>1.4</v>
      </c>
      <c r="Q840" s="203">
        <v>0.5</v>
      </c>
      <c r="R840" s="204">
        <v>1.2</v>
      </c>
      <c r="S840" s="203">
        <v>1.2</v>
      </c>
      <c r="T840" s="203">
        <v>0</v>
      </c>
      <c r="V840" s="198">
        <v>2203</v>
      </c>
      <c r="W840" s="202">
        <v>1.4</v>
      </c>
      <c r="X840" s="203">
        <v>1.4</v>
      </c>
      <c r="Y840" s="203">
        <v>0</v>
      </c>
      <c r="Z840" s="204">
        <v>1.2</v>
      </c>
      <c r="AA840" s="203">
        <v>1.2</v>
      </c>
      <c r="AB840" s="203">
        <v>0</v>
      </c>
      <c r="AD840" s="198">
        <v>2203</v>
      </c>
      <c r="AE840" s="202">
        <v>-0.5</v>
      </c>
      <c r="AF840" s="203" t="s">
        <v>82</v>
      </c>
      <c r="AG840" s="203">
        <v>-0.5</v>
      </c>
      <c r="AH840" s="204" t="s">
        <v>82</v>
      </c>
      <c r="AI840" s="203" t="s">
        <v>82</v>
      </c>
      <c r="AJ840" s="203" t="s">
        <v>82</v>
      </c>
    </row>
    <row customFormat="1" r="841" s="205" spans="1:36" x14ac:dyDescent="0.2">
      <c r="A841" s="193">
        <v>837</v>
      </c>
      <c r="B841" s="215">
        <v>30</v>
      </c>
      <c r="C841" s="195" t="s">
        <v>515</v>
      </c>
      <c r="D841" s="195">
        <v>1</v>
      </c>
      <c r="E841" s="195" t="s">
        <v>516</v>
      </c>
      <c r="F841" s="196">
        <v>44606</v>
      </c>
      <c r="G841" s="197" t="s">
        <v>4</v>
      </c>
      <c r="H841" s="198">
        <v>2208</v>
      </c>
      <c r="I841" s="196" t="s">
        <v>283</v>
      </c>
      <c r="J841" s="199">
        <v>1155</v>
      </c>
      <c r="K841" s="198">
        <v>1354</v>
      </c>
      <c r="L841" s="216">
        <v>0</v>
      </c>
      <c r="M841" s="201"/>
      <c r="N841" s="199">
        <v>2208</v>
      </c>
      <c r="O841" s="202">
        <v>4.5999999999999996</v>
      </c>
      <c r="P841" s="203">
        <v>4.5</v>
      </c>
      <c r="Q841" s="203">
        <v>0.1</v>
      </c>
      <c r="R841" s="204">
        <v>3.4</v>
      </c>
      <c r="S841" s="203">
        <v>3.4</v>
      </c>
      <c r="T841" s="203">
        <v>0</v>
      </c>
      <c r="V841" s="198">
        <v>2208</v>
      </c>
      <c r="W841" s="202">
        <v>4.5</v>
      </c>
      <c r="X841" s="203">
        <v>4.5</v>
      </c>
      <c r="Y841" s="203">
        <v>0</v>
      </c>
      <c r="Z841" s="204">
        <v>3.4</v>
      </c>
      <c r="AA841" s="203">
        <v>3.4</v>
      </c>
      <c r="AB841" s="203">
        <v>0</v>
      </c>
      <c r="AD841" s="198">
        <v>2208</v>
      </c>
      <c r="AE841" s="202">
        <v>-9.9999999999999645E-2</v>
      </c>
      <c r="AF841" s="203" t="s">
        <v>82</v>
      </c>
      <c r="AG841" s="203">
        <v>-0.1</v>
      </c>
      <c r="AH841" s="204" t="s">
        <v>82</v>
      </c>
      <c r="AI841" s="203" t="s">
        <v>82</v>
      </c>
      <c r="AJ841" s="203" t="s">
        <v>82</v>
      </c>
    </row>
    <row customFormat="1" r="842" s="205" spans="1:36" x14ac:dyDescent="0.2">
      <c r="A842" s="193">
        <v>838</v>
      </c>
      <c r="B842" s="215">
        <v>30</v>
      </c>
      <c r="C842" s="195" t="s">
        <v>515</v>
      </c>
      <c r="D842" s="195">
        <v>1</v>
      </c>
      <c r="E842" s="195" t="s">
        <v>516</v>
      </c>
      <c r="F842" s="196">
        <v>44613</v>
      </c>
      <c r="G842" s="197" t="s">
        <v>4</v>
      </c>
      <c r="H842" s="198">
        <v>2209</v>
      </c>
      <c r="I842" s="196" t="s">
        <v>283</v>
      </c>
      <c r="J842" s="199">
        <v>1155</v>
      </c>
      <c r="K842" s="198">
        <v>1354</v>
      </c>
      <c r="L842" s="216">
        <v>0</v>
      </c>
      <c r="M842" s="201"/>
      <c r="N842" s="199">
        <v>2209</v>
      </c>
      <c r="O842" s="202">
        <v>4</v>
      </c>
      <c r="P842" s="203">
        <v>3.9</v>
      </c>
      <c r="Q842" s="203">
        <v>0.1</v>
      </c>
      <c r="R842" s="204">
        <v>2.9</v>
      </c>
      <c r="S842" s="203">
        <v>2.9</v>
      </c>
      <c r="T842" s="203">
        <v>0</v>
      </c>
      <c r="V842" s="198">
        <v>2209</v>
      </c>
      <c r="W842" s="202">
        <v>3.9</v>
      </c>
      <c r="X842" s="203">
        <v>3.9</v>
      </c>
      <c r="Y842" s="203">
        <v>0</v>
      </c>
      <c r="Z842" s="204">
        <v>2.9</v>
      </c>
      <c r="AA842" s="203">
        <v>2.9</v>
      </c>
      <c r="AB842" s="203">
        <v>0</v>
      </c>
      <c r="AD842" s="198">
        <v>2209</v>
      </c>
      <c r="AE842" s="202">
        <v>-0.10000000000000009</v>
      </c>
      <c r="AF842" s="203" t="s">
        <v>82</v>
      </c>
      <c r="AG842" s="203">
        <v>-0.1</v>
      </c>
      <c r="AH842" s="204" t="s">
        <v>82</v>
      </c>
      <c r="AI842" s="203" t="s">
        <v>82</v>
      </c>
      <c r="AJ842" s="203" t="s">
        <v>82</v>
      </c>
    </row>
    <row customFormat="1" r="843" s="205" spans="1:36" x14ac:dyDescent="0.2">
      <c r="A843" s="193">
        <v>839</v>
      </c>
      <c r="B843" s="215">
        <v>30</v>
      </c>
      <c r="C843" s="195" t="s">
        <v>515</v>
      </c>
      <c r="D843" s="195">
        <v>1</v>
      </c>
      <c r="E843" s="195" t="s">
        <v>516</v>
      </c>
      <c r="F843" s="196">
        <v>44620</v>
      </c>
      <c r="G843" s="197" t="s">
        <v>4</v>
      </c>
      <c r="H843" s="198">
        <v>2210</v>
      </c>
      <c r="I843" s="196" t="s">
        <v>283</v>
      </c>
      <c r="J843" s="199">
        <v>1155</v>
      </c>
      <c r="K843" s="198">
        <v>1354</v>
      </c>
      <c r="L843" s="216">
        <v>0</v>
      </c>
      <c r="M843" s="201"/>
      <c r="N843" s="199">
        <v>2210</v>
      </c>
      <c r="O843" s="202">
        <v>4.4000000000000004</v>
      </c>
      <c r="P843" s="203">
        <v>4.3</v>
      </c>
      <c r="Q843" s="203">
        <v>0.1</v>
      </c>
      <c r="R843" s="204">
        <v>3.3</v>
      </c>
      <c r="S843" s="203">
        <v>3.3</v>
      </c>
      <c r="T843" s="203">
        <v>0</v>
      </c>
      <c r="V843" s="198">
        <v>2210</v>
      </c>
      <c r="W843" s="202">
        <v>4.3</v>
      </c>
      <c r="X843" s="203">
        <v>4.3</v>
      </c>
      <c r="Y843" s="203">
        <v>0</v>
      </c>
      <c r="Z843" s="204">
        <v>3.3</v>
      </c>
      <c r="AA843" s="203">
        <v>3.3</v>
      </c>
      <c r="AB843" s="203">
        <v>0</v>
      </c>
      <c r="AD843" s="198">
        <v>2210</v>
      </c>
      <c r="AE843" s="202">
        <v>-0.10000000000000053</v>
      </c>
      <c r="AF843" s="203" t="s">
        <v>82</v>
      </c>
      <c r="AG843" s="203">
        <v>-0.1</v>
      </c>
      <c r="AH843" s="204" t="s">
        <v>82</v>
      </c>
      <c r="AI843" s="203" t="s">
        <v>82</v>
      </c>
      <c r="AJ843" s="203" t="s">
        <v>82</v>
      </c>
    </row>
    <row customFormat="1" r="844" s="205" spans="1:36" x14ac:dyDescent="0.2">
      <c r="A844" s="193">
        <v>840</v>
      </c>
      <c r="B844" s="215">
        <v>30</v>
      </c>
      <c r="C844" s="195" t="s">
        <v>515</v>
      </c>
      <c r="D844" s="195">
        <v>1</v>
      </c>
      <c r="E844" s="195" t="s">
        <v>516</v>
      </c>
      <c r="F844" s="196">
        <v>44627</v>
      </c>
      <c r="G844" s="197" t="s">
        <v>4</v>
      </c>
      <c r="H844" s="198">
        <v>2211</v>
      </c>
      <c r="I844" s="196" t="s">
        <v>283</v>
      </c>
      <c r="J844" s="199">
        <v>1155</v>
      </c>
      <c r="K844" s="198">
        <v>1354</v>
      </c>
      <c r="L844" s="216">
        <v>0</v>
      </c>
      <c r="M844" s="201"/>
      <c r="N844" s="199">
        <v>2211</v>
      </c>
      <c r="O844" s="202">
        <v>4.2</v>
      </c>
      <c r="P844" s="203">
        <v>4.0999999999999996</v>
      </c>
      <c r="Q844" s="203">
        <v>0.1</v>
      </c>
      <c r="R844" s="204">
        <v>3.3</v>
      </c>
      <c r="S844" s="203">
        <v>3.3</v>
      </c>
      <c r="T844" s="203">
        <v>0</v>
      </c>
      <c r="V844" s="198">
        <v>2211</v>
      </c>
      <c r="W844" s="202">
        <v>4.0999999999999996</v>
      </c>
      <c r="X844" s="203">
        <v>4.0999999999999996</v>
      </c>
      <c r="Y844" s="203">
        <v>0</v>
      </c>
      <c r="Z844" s="204">
        <v>3.3</v>
      </c>
      <c r="AA844" s="203">
        <v>3.3</v>
      </c>
      <c r="AB844" s="203">
        <v>0</v>
      </c>
      <c r="AD844" s="198">
        <v>2211</v>
      </c>
      <c r="AE844" s="202">
        <v>-0.10000000000000053</v>
      </c>
      <c r="AF844" s="203" t="s">
        <v>82</v>
      </c>
      <c r="AG844" s="203">
        <v>-0.1</v>
      </c>
      <c r="AH844" s="204" t="s">
        <v>82</v>
      </c>
      <c r="AI844" s="203" t="s">
        <v>82</v>
      </c>
      <c r="AJ844" s="203" t="s">
        <v>82</v>
      </c>
    </row>
    <row customFormat="1" r="845" s="205" spans="1:36" x14ac:dyDescent="0.2">
      <c r="A845" s="193">
        <v>841</v>
      </c>
      <c r="B845" s="215">
        <v>30</v>
      </c>
      <c r="C845" s="195" t="s">
        <v>515</v>
      </c>
      <c r="D845" s="195">
        <v>2</v>
      </c>
      <c r="E845" s="195" t="s">
        <v>517</v>
      </c>
      <c r="F845" s="196">
        <v>44543</v>
      </c>
      <c r="G845" s="197" t="s">
        <v>4</v>
      </c>
      <c r="H845" s="198">
        <v>2151</v>
      </c>
      <c r="I845" s="196" t="s">
        <v>217</v>
      </c>
      <c r="J845" s="199">
        <v>800</v>
      </c>
      <c r="K845" s="198">
        <v>949</v>
      </c>
      <c r="L845" s="216">
        <v>0</v>
      </c>
      <c r="M845" s="201"/>
      <c r="N845" s="199">
        <v>2151</v>
      </c>
      <c r="O845" s="202">
        <v>5.0999999999999996</v>
      </c>
      <c r="P845" s="203">
        <v>4.9000000000000004</v>
      </c>
      <c r="Q845" s="203">
        <v>0.2</v>
      </c>
      <c r="R845" s="204">
        <v>3</v>
      </c>
      <c r="S845" s="203">
        <v>3</v>
      </c>
      <c r="T845" s="203">
        <v>0</v>
      </c>
      <c r="V845" s="198">
        <v>2151</v>
      </c>
      <c r="W845" s="202">
        <v>4.9000000000000004</v>
      </c>
      <c r="X845" s="203">
        <v>4.9000000000000004</v>
      </c>
      <c r="Y845" s="203">
        <v>0</v>
      </c>
      <c r="Z845" s="204">
        <v>3</v>
      </c>
      <c r="AA845" s="203">
        <v>3</v>
      </c>
      <c r="AB845" s="203">
        <v>0</v>
      </c>
      <c r="AD845" s="198">
        <v>2151</v>
      </c>
      <c r="AE845" s="202">
        <v>-0.19999999999999929</v>
      </c>
      <c r="AF845" s="203" t="s">
        <v>82</v>
      </c>
      <c r="AG845" s="203">
        <v>-0.2</v>
      </c>
      <c r="AH845" s="204" t="s">
        <v>82</v>
      </c>
      <c r="AI845" s="203" t="s">
        <v>82</v>
      </c>
      <c r="AJ845" s="203" t="s">
        <v>82</v>
      </c>
    </row>
    <row customFormat="1" r="846" s="205" spans="1:36" x14ac:dyDescent="0.2">
      <c r="A846" s="193">
        <v>842</v>
      </c>
      <c r="B846" s="215">
        <v>30</v>
      </c>
      <c r="C846" s="195" t="s">
        <v>515</v>
      </c>
      <c r="D846" s="195">
        <v>2</v>
      </c>
      <c r="E846" s="195" t="s">
        <v>517</v>
      </c>
      <c r="F846" s="196">
        <v>44550</v>
      </c>
      <c r="G846" s="197" t="s">
        <v>4</v>
      </c>
      <c r="H846" s="198">
        <v>2152</v>
      </c>
      <c r="I846" s="196" t="s">
        <v>217</v>
      </c>
      <c r="J846" s="199">
        <v>800</v>
      </c>
      <c r="K846" s="198">
        <v>949</v>
      </c>
      <c r="L846" s="216">
        <v>0</v>
      </c>
      <c r="M846" s="201"/>
      <c r="N846" s="199">
        <v>2152</v>
      </c>
      <c r="O846" s="202">
        <v>5.4</v>
      </c>
      <c r="P846" s="203">
        <v>5.2</v>
      </c>
      <c r="Q846" s="203">
        <v>0.2</v>
      </c>
      <c r="R846" s="204">
        <v>3.5</v>
      </c>
      <c r="S846" s="203">
        <v>3.5</v>
      </c>
      <c r="T846" s="203">
        <v>0</v>
      </c>
      <c r="V846" s="198">
        <v>2152</v>
      </c>
      <c r="W846" s="202">
        <v>5.2</v>
      </c>
      <c r="X846" s="203">
        <v>5.2</v>
      </c>
      <c r="Y846" s="203">
        <v>0</v>
      </c>
      <c r="Z846" s="204">
        <v>3.5</v>
      </c>
      <c r="AA846" s="203">
        <v>3.5</v>
      </c>
      <c r="AB846" s="203">
        <v>0</v>
      </c>
      <c r="AD846" s="198">
        <v>2152</v>
      </c>
      <c r="AE846" s="202">
        <v>-0.20000000000000018</v>
      </c>
      <c r="AF846" s="203" t="s">
        <v>82</v>
      </c>
      <c r="AG846" s="203">
        <v>-0.2</v>
      </c>
      <c r="AH846" s="204" t="s">
        <v>82</v>
      </c>
      <c r="AI846" s="203" t="s">
        <v>82</v>
      </c>
      <c r="AJ846" s="203" t="s">
        <v>82</v>
      </c>
    </row>
    <row customFormat="1" r="847" s="205" spans="1:36" x14ac:dyDescent="0.2">
      <c r="A847" s="193">
        <v>843</v>
      </c>
      <c r="B847" s="215">
        <v>30</v>
      </c>
      <c r="C847" s="195" t="s">
        <v>515</v>
      </c>
      <c r="D847" s="195">
        <v>2</v>
      </c>
      <c r="E847" s="195" t="s">
        <v>517</v>
      </c>
      <c r="F847" s="196">
        <v>44557</v>
      </c>
      <c r="G847" s="197" t="s">
        <v>4</v>
      </c>
      <c r="H847" s="198">
        <v>2201</v>
      </c>
      <c r="I847" s="196" t="s">
        <v>217</v>
      </c>
      <c r="J847" s="199">
        <v>800</v>
      </c>
      <c r="K847" s="198">
        <v>949</v>
      </c>
      <c r="L847" s="216">
        <v>0</v>
      </c>
      <c r="M847" s="201"/>
      <c r="N847" s="199">
        <v>2201</v>
      </c>
      <c r="O847" s="202">
        <v>5.9</v>
      </c>
      <c r="P847" s="203">
        <v>5.7</v>
      </c>
      <c r="Q847" s="203">
        <v>0.2</v>
      </c>
      <c r="R847" s="204">
        <v>3.9</v>
      </c>
      <c r="S847" s="203">
        <v>3.9</v>
      </c>
      <c r="T847" s="203">
        <v>0</v>
      </c>
      <c r="V847" s="198">
        <v>2201</v>
      </c>
      <c r="W847" s="202">
        <v>5.7</v>
      </c>
      <c r="X847" s="203">
        <v>5.7</v>
      </c>
      <c r="Y847" s="203">
        <v>0</v>
      </c>
      <c r="Z847" s="204">
        <v>3.9</v>
      </c>
      <c r="AA847" s="203">
        <v>3.9</v>
      </c>
      <c r="AB847" s="203">
        <v>0</v>
      </c>
      <c r="AD847" s="198">
        <v>2201</v>
      </c>
      <c r="AE847" s="202">
        <v>-0.20000000000000018</v>
      </c>
      <c r="AF847" s="203" t="s">
        <v>82</v>
      </c>
      <c r="AG847" s="203">
        <v>-0.2</v>
      </c>
      <c r="AH847" s="204" t="s">
        <v>82</v>
      </c>
      <c r="AI847" s="203" t="s">
        <v>82</v>
      </c>
      <c r="AJ847" s="203" t="s">
        <v>82</v>
      </c>
    </row>
    <row customFormat="1" r="848" s="205" spans="1:36" x14ac:dyDescent="0.2">
      <c r="A848" s="193">
        <v>844</v>
      </c>
      <c r="B848" s="215">
        <v>30</v>
      </c>
      <c r="C848" s="195" t="s">
        <v>515</v>
      </c>
      <c r="D848" s="195">
        <v>2</v>
      </c>
      <c r="E848" s="195" t="s">
        <v>517</v>
      </c>
      <c r="F848" s="196">
        <v>44564</v>
      </c>
      <c r="G848" s="197" t="s">
        <v>4</v>
      </c>
      <c r="H848" s="198">
        <v>2202</v>
      </c>
      <c r="I848" s="196" t="s">
        <v>518</v>
      </c>
      <c r="J848" s="199">
        <v>840</v>
      </c>
      <c r="K848" s="198">
        <v>939</v>
      </c>
      <c r="L848" s="216">
        <v>1</v>
      </c>
      <c r="M848" s="201"/>
      <c r="N848" s="199">
        <v>2202</v>
      </c>
      <c r="O848" s="202">
        <v>6.2</v>
      </c>
      <c r="P848" s="203">
        <v>5.8</v>
      </c>
      <c r="Q848" s="203">
        <v>0.4</v>
      </c>
      <c r="R848" s="204">
        <v>22</v>
      </c>
      <c r="S848" s="203">
        <v>4.8</v>
      </c>
      <c r="T848" s="203">
        <v>17.2</v>
      </c>
      <c r="V848" s="198">
        <v>2202</v>
      </c>
      <c r="W848" s="202">
        <v>5.8</v>
      </c>
      <c r="X848" s="203">
        <v>5.8</v>
      </c>
      <c r="Y848" s="203">
        <v>0</v>
      </c>
      <c r="Z848" s="204">
        <v>4.8</v>
      </c>
      <c r="AA848" s="203">
        <v>4.8</v>
      </c>
      <c r="AB848" s="203">
        <v>0</v>
      </c>
      <c r="AD848" s="198">
        <v>2202</v>
      </c>
      <c r="AE848" s="202">
        <v>-0.40000000000000036</v>
      </c>
      <c r="AF848" s="203" t="s">
        <v>82</v>
      </c>
      <c r="AG848" s="203">
        <v>-0.4</v>
      </c>
      <c r="AH848" s="204">
        <v>-17.2</v>
      </c>
      <c r="AI848" s="203" t="s">
        <v>82</v>
      </c>
      <c r="AJ848" s="203">
        <v>-17.2</v>
      </c>
    </row>
    <row customFormat="1" r="849" s="205" spans="1:36" x14ac:dyDescent="0.2">
      <c r="A849" s="193">
        <v>845</v>
      </c>
      <c r="B849" s="215">
        <v>31</v>
      </c>
      <c r="C849" s="195" t="s">
        <v>519</v>
      </c>
      <c r="D849" s="195">
        <v>1</v>
      </c>
      <c r="E849" s="195" t="s">
        <v>520</v>
      </c>
      <c r="F849" s="196">
        <v>44649</v>
      </c>
      <c r="G849" s="197" t="s">
        <v>5</v>
      </c>
      <c r="H849" s="198">
        <v>2214</v>
      </c>
      <c r="I849" s="196" t="s">
        <v>330</v>
      </c>
      <c r="J849" s="199">
        <v>1155</v>
      </c>
      <c r="K849" s="198">
        <v>1444</v>
      </c>
      <c r="L849" s="216">
        <v>0</v>
      </c>
      <c r="M849" s="201"/>
      <c r="N849" s="199">
        <v>2214</v>
      </c>
      <c r="O849" s="202">
        <v>2.8</v>
      </c>
      <c r="P849" s="203">
        <v>2.7</v>
      </c>
      <c r="Q849" s="203">
        <v>0.1</v>
      </c>
      <c r="R849" s="204">
        <v>1.6</v>
      </c>
      <c r="S849" s="203">
        <v>1.6</v>
      </c>
      <c r="T849" s="203" t="s">
        <v>84</v>
      </c>
      <c r="V849" s="198">
        <v>2214</v>
      </c>
      <c r="W849" s="202">
        <v>2.8</v>
      </c>
      <c r="X849" s="203">
        <v>2.7</v>
      </c>
      <c r="Y849" s="203">
        <v>0.1</v>
      </c>
      <c r="Z849" s="204">
        <v>1.6</v>
      </c>
      <c r="AA849" s="203">
        <v>1.6</v>
      </c>
      <c r="AB849" s="203" t="s">
        <v>84</v>
      </c>
      <c r="AD849" s="198">
        <v>2214</v>
      </c>
      <c r="AE849" s="202" t="s">
        <v>82</v>
      </c>
      <c r="AF849" s="203" t="s">
        <v>82</v>
      </c>
      <c r="AG849" s="203" t="s">
        <v>82</v>
      </c>
      <c r="AH849" s="204" t="s">
        <v>82</v>
      </c>
      <c r="AI849" s="203" t="s">
        <v>82</v>
      </c>
      <c r="AJ849" s="203" t="s">
        <v>82</v>
      </c>
    </row>
    <row customFormat="1" r="850" s="205" spans="1:36" x14ac:dyDescent="0.2">
      <c r="A850" s="193">
        <v>846</v>
      </c>
      <c r="B850" s="215">
        <v>31</v>
      </c>
      <c r="C850" s="195" t="s">
        <v>519</v>
      </c>
      <c r="D850" s="195">
        <v>1</v>
      </c>
      <c r="E850" s="195" t="s">
        <v>520</v>
      </c>
      <c r="F850" s="196">
        <v>44656</v>
      </c>
      <c r="G850" s="197" t="s">
        <v>5</v>
      </c>
      <c r="H850" s="198">
        <v>2215</v>
      </c>
      <c r="I850" s="196" t="s">
        <v>521</v>
      </c>
      <c r="J850" s="199">
        <v>1145</v>
      </c>
      <c r="K850" s="198">
        <v>1444</v>
      </c>
      <c r="L850" s="216">
        <v>0</v>
      </c>
      <c r="M850" s="201"/>
      <c r="N850" s="199">
        <v>2215</v>
      </c>
      <c r="O850" s="202">
        <v>2.6</v>
      </c>
      <c r="P850" s="203">
        <v>2.5</v>
      </c>
      <c r="Q850" s="203">
        <v>0.1</v>
      </c>
      <c r="R850" s="204">
        <v>1.3</v>
      </c>
      <c r="S850" s="203">
        <v>1.3</v>
      </c>
      <c r="T850" s="203" t="s">
        <v>84</v>
      </c>
      <c r="V850" s="198">
        <v>2215</v>
      </c>
      <c r="W850" s="202">
        <v>2.6</v>
      </c>
      <c r="X850" s="203">
        <v>2.5</v>
      </c>
      <c r="Y850" s="203">
        <v>0.1</v>
      </c>
      <c r="Z850" s="204">
        <v>1.3</v>
      </c>
      <c r="AA850" s="203">
        <v>1.3</v>
      </c>
      <c r="AB850" s="203" t="s">
        <v>84</v>
      </c>
      <c r="AD850" s="198">
        <v>2215</v>
      </c>
      <c r="AE850" s="202" t="s">
        <v>82</v>
      </c>
      <c r="AF850" s="203" t="s">
        <v>82</v>
      </c>
      <c r="AG850" s="203" t="s">
        <v>82</v>
      </c>
      <c r="AH850" s="204" t="s">
        <v>82</v>
      </c>
      <c r="AI850" s="203" t="s">
        <v>82</v>
      </c>
      <c r="AJ850" s="203" t="s">
        <v>82</v>
      </c>
    </row>
    <row customFormat="1" r="851" s="205" spans="1:36" x14ac:dyDescent="0.2">
      <c r="A851" s="193">
        <v>847</v>
      </c>
      <c r="B851" s="215">
        <v>31</v>
      </c>
      <c r="C851" s="195" t="s">
        <v>519</v>
      </c>
      <c r="D851" s="195">
        <v>1</v>
      </c>
      <c r="E851" s="195" t="s">
        <v>520</v>
      </c>
      <c r="F851" s="196">
        <v>44663</v>
      </c>
      <c r="G851" s="197" t="s">
        <v>5</v>
      </c>
      <c r="H851" s="198">
        <v>2216</v>
      </c>
      <c r="I851" s="196" t="s">
        <v>521</v>
      </c>
      <c r="J851" s="199">
        <v>1145</v>
      </c>
      <c r="K851" s="198">
        <v>1444</v>
      </c>
      <c r="L851" s="216">
        <v>0</v>
      </c>
      <c r="M851" s="201"/>
      <c r="N851" s="199">
        <v>2216</v>
      </c>
      <c r="O851" s="202">
        <v>2.1</v>
      </c>
      <c r="P851" s="203">
        <v>2.1</v>
      </c>
      <c r="Q851" s="203">
        <v>0</v>
      </c>
      <c r="R851" s="204">
        <v>1.3</v>
      </c>
      <c r="S851" s="203">
        <v>1.3</v>
      </c>
      <c r="T851" s="203" t="s">
        <v>84</v>
      </c>
      <c r="V851" s="198">
        <v>2216</v>
      </c>
      <c r="W851" s="202">
        <v>2.1</v>
      </c>
      <c r="X851" s="203">
        <v>2.1</v>
      </c>
      <c r="Y851" s="203">
        <v>0</v>
      </c>
      <c r="Z851" s="204">
        <v>1.3</v>
      </c>
      <c r="AA851" s="203">
        <v>1.3</v>
      </c>
      <c r="AB851" s="203" t="s">
        <v>84</v>
      </c>
      <c r="AD851" s="198">
        <v>2216</v>
      </c>
      <c r="AE851" s="202" t="s">
        <v>82</v>
      </c>
      <c r="AF851" s="203" t="s">
        <v>82</v>
      </c>
      <c r="AG851" s="203" t="s">
        <v>82</v>
      </c>
      <c r="AH851" s="204" t="s">
        <v>82</v>
      </c>
      <c r="AI851" s="203" t="s">
        <v>82</v>
      </c>
      <c r="AJ851" s="203" t="s">
        <v>82</v>
      </c>
    </row>
    <row customFormat="1" r="852" s="205" spans="1:36" x14ac:dyDescent="0.2">
      <c r="A852" s="193">
        <v>848</v>
      </c>
      <c r="B852" s="215">
        <v>31</v>
      </c>
      <c r="C852" s="195" t="s">
        <v>519</v>
      </c>
      <c r="D852" s="195">
        <v>1</v>
      </c>
      <c r="E852" s="195" t="s">
        <v>520</v>
      </c>
      <c r="F852" s="196">
        <v>44670</v>
      </c>
      <c r="G852" s="197" t="s">
        <v>5</v>
      </c>
      <c r="H852" s="198">
        <v>2217</v>
      </c>
      <c r="I852" s="196" t="s">
        <v>521</v>
      </c>
      <c r="J852" s="199">
        <v>1145</v>
      </c>
      <c r="K852" s="198">
        <v>1444</v>
      </c>
      <c r="L852" s="216">
        <v>0</v>
      </c>
      <c r="M852" s="201"/>
      <c r="N852" s="199">
        <v>2217</v>
      </c>
      <c r="O852" s="202">
        <v>1.8</v>
      </c>
      <c r="P852" s="203">
        <v>1.8</v>
      </c>
      <c r="Q852" s="203">
        <v>0</v>
      </c>
      <c r="R852" s="204">
        <v>1.3</v>
      </c>
      <c r="S852" s="203">
        <v>1.3</v>
      </c>
      <c r="T852" s="203" t="s">
        <v>84</v>
      </c>
      <c r="V852" s="198">
        <v>2217</v>
      </c>
      <c r="W852" s="202">
        <v>1.8</v>
      </c>
      <c r="X852" s="203">
        <v>1.8</v>
      </c>
      <c r="Y852" s="203">
        <v>0</v>
      </c>
      <c r="Z852" s="204">
        <v>1.3</v>
      </c>
      <c r="AA852" s="203">
        <v>1.3</v>
      </c>
      <c r="AB852" s="203" t="s">
        <v>84</v>
      </c>
      <c r="AD852" s="198">
        <v>2217</v>
      </c>
      <c r="AE852" s="202" t="s">
        <v>82</v>
      </c>
      <c r="AF852" s="203" t="s">
        <v>82</v>
      </c>
      <c r="AG852" s="203" t="s">
        <v>82</v>
      </c>
      <c r="AH852" s="204" t="s">
        <v>82</v>
      </c>
      <c r="AI852" s="203" t="s">
        <v>82</v>
      </c>
      <c r="AJ852" s="203" t="s">
        <v>82</v>
      </c>
    </row>
  </sheetData>
  <autoFilter ref="A4:AJ852" xr:uid="{3F7E9689-E0B6-4D99-BEA0-D757D712D872}">
    <sortState xmlns:xlrd2="http://schemas.microsoft.com/office/spreadsheetml/2017/richdata2" ref="A5:AJ852">
      <sortCondition ref="B4:B852"/>
    </sortState>
  </autoFilter>
  <mergeCells count="3">
    <mergeCell ref="N3:T3"/>
    <mergeCell ref="V3:AB3"/>
    <mergeCell ref="AD3:AJ3"/>
  </mergeCells>
  <phoneticPr fontId="3"/>
  <conditionalFormatting sqref="W5:AB8">
    <cfRule dxfId="432" operator="notEqual" priority="426" type="cellIs">
      <formula>#REF!</formula>
    </cfRule>
  </conditionalFormatting>
  <conditionalFormatting sqref="W9:AB852">
    <cfRule dxfId="431" operator="notEqual" priority="425" type="cellIs">
      <formula>#REF!</formula>
    </cfRule>
  </conditionalFormatting>
  <conditionalFormatting sqref="AE5:AJ8">
    <cfRule dxfId="430" operator="notEqual" priority="424" type="cellIs">
      <formula>#REF!</formula>
    </cfRule>
  </conditionalFormatting>
  <conditionalFormatting sqref="AE9:AE12">
    <cfRule dxfId="429" operator="notEqual" priority="423" type="cellIs">
      <formula>#REF!</formula>
    </cfRule>
  </conditionalFormatting>
  <conditionalFormatting sqref="AE13:AE16">
    <cfRule dxfId="428" operator="notEqual" priority="422" type="cellIs">
      <formula>#REF!</formula>
    </cfRule>
  </conditionalFormatting>
  <conditionalFormatting sqref="AE17:AE20">
    <cfRule dxfId="427" operator="notEqual" priority="421" type="cellIs">
      <formula>#REF!</formula>
    </cfRule>
  </conditionalFormatting>
  <conditionalFormatting sqref="AE21:AE24">
    <cfRule dxfId="426" operator="notEqual" priority="420" type="cellIs">
      <formula>#REF!</formula>
    </cfRule>
  </conditionalFormatting>
  <conditionalFormatting sqref="AE25:AE28">
    <cfRule dxfId="425" operator="notEqual" priority="419" type="cellIs">
      <formula>#REF!</formula>
    </cfRule>
  </conditionalFormatting>
  <conditionalFormatting sqref="AE29:AE32">
    <cfRule dxfId="424" operator="notEqual" priority="418" type="cellIs">
      <formula>#REF!</formula>
    </cfRule>
  </conditionalFormatting>
  <conditionalFormatting sqref="AE33:AE36">
    <cfRule dxfId="423" operator="notEqual" priority="417" type="cellIs">
      <formula>#REF!</formula>
    </cfRule>
  </conditionalFormatting>
  <conditionalFormatting sqref="AE37:AE40">
    <cfRule dxfId="422" operator="notEqual" priority="416" type="cellIs">
      <formula>#REF!</formula>
    </cfRule>
  </conditionalFormatting>
  <conditionalFormatting sqref="AE41:AE44">
    <cfRule dxfId="421" operator="notEqual" priority="415" type="cellIs">
      <formula>#REF!</formula>
    </cfRule>
  </conditionalFormatting>
  <conditionalFormatting sqref="AE45:AE48">
    <cfRule dxfId="420" operator="notEqual" priority="414" type="cellIs">
      <formula>#REF!</formula>
    </cfRule>
  </conditionalFormatting>
  <conditionalFormatting sqref="AE49:AE52">
    <cfRule dxfId="419" operator="notEqual" priority="413" type="cellIs">
      <formula>#REF!</formula>
    </cfRule>
  </conditionalFormatting>
  <conditionalFormatting sqref="AE53:AE56">
    <cfRule dxfId="418" operator="notEqual" priority="412" type="cellIs">
      <formula>#REF!</formula>
    </cfRule>
  </conditionalFormatting>
  <conditionalFormatting sqref="AE57:AE60">
    <cfRule dxfId="417" operator="notEqual" priority="411" type="cellIs">
      <formula>#REF!</formula>
    </cfRule>
  </conditionalFormatting>
  <conditionalFormatting sqref="AE61:AE64">
    <cfRule dxfId="416" operator="notEqual" priority="410" type="cellIs">
      <formula>#REF!</formula>
    </cfRule>
  </conditionalFormatting>
  <conditionalFormatting sqref="AE65:AE68">
    <cfRule dxfId="415" operator="notEqual" priority="409" type="cellIs">
      <formula>#REF!</formula>
    </cfRule>
  </conditionalFormatting>
  <conditionalFormatting sqref="AE69:AE72">
    <cfRule dxfId="414" operator="notEqual" priority="408" type="cellIs">
      <formula>#REF!</formula>
    </cfRule>
  </conditionalFormatting>
  <conditionalFormatting sqref="AE141:AE144">
    <cfRule dxfId="413" operator="notEqual" priority="407" type="cellIs">
      <formula>#REF!</formula>
    </cfRule>
  </conditionalFormatting>
  <conditionalFormatting sqref="AE145:AE148">
    <cfRule dxfId="412" operator="notEqual" priority="406" type="cellIs">
      <formula>#REF!</formula>
    </cfRule>
  </conditionalFormatting>
  <conditionalFormatting sqref="AE149:AE152">
    <cfRule dxfId="411" operator="notEqual" priority="405" type="cellIs">
      <formula>#REF!</formula>
    </cfRule>
  </conditionalFormatting>
  <conditionalFormatting sqref="AE153:AE156">
    <cfRule dxfId="410" operator="notEqual" priority="404" type="cellIs">
      <formula>#REF!</formula>
    </cfRule>
  </conditionalFormatting>
  <conditionalFormatting sqref="AE157:AE160">
    <cfRule dxfId="409" operator="notEqual" priority="403" type="cellIs">
      <formula>#REF!</formula>
    </cfRule>
  </conditionalFormatting>
  <conditionalFormatting sqref="AE161:AE164">
    <cfRule dxfId="408" operator="notEqual" priority="402" type="cellIs">
      <formula>#REF!</formula>
    </cfRule>
  </conditionalFormatting>
  <conditionalFormatting sqref="AE165:AE168">
    <cfRule dxfId="407" operator="notEqual" priority="401" type="cellIs">
      <formula>#REF!</formula>
    </cfRule>
  </conditionalFormatting>
  <conditionalFormatting sqref="AE169:AE172">
    <cfRule dxfId="406" operator="notEqual" priority="400" type="cellIs">
      <formula>#REF!</formula>
    </cfRule>
  </conditionalFormatting>
  <conditionalFormatting sqref="AE173:AE176">
    <cfRule dxfId="405" operator="notEqual" priority="399" type="cellIs">
      <formula>#REF!</formula>
    </cfRule>
  </conditionalFormatting>
  <conditionalFormatting sqref="AE177:AE180">
    <cfRule dxfId="404" operator="notEqual" priority="398" type="cellIs">
      <formula>#REF!</formula>
    </cfRule>
  </conditionalFormatting>
  <conditionalFormatting sqref="AE181:AE184">
    <cfRule dxfId="403" operator="notEqual" priority="397" type="cellIs">
      <formula>#REF!</formula>
    </cfRule>
  </conditionalFormatting>
  <conditionalFormatting sqref="AE73:AE76">
    <cfRule dxfId="402" operator="notEqual" priority="396" type="cellIs">
      <formula>#REF!</formula>
    </cfRule>
  </conditionalFormatting>
  <conditionalFormatting sqref="AE77:AE80">
    <cfRule dxfId="401" operator="notEqual" priority="395" type="cellIs">
      <formula>#REF!</formula>
    </cfRule>
  </conditionalFormatting>
  <conditionalFormatting sqref="AE81:AE84">
    <cfRule dxfId="400" operator="notEqual" priority="394" type="cellIs">
      <formula>#REF!</formula>
    </cfRule>
  </conditionalFormatting>
  <conditionalFormatting sqref="AE85:AE88">
    <cfRule dxfId="399" operator="notEqual" priority="393" type="cellIs">
      <formula>#REF!</formula>
    </cfRule>
  </conditionalFormatting>
  <conditionalFormatting sqref="AE89:AE92">
    <cfRule dxfId="398" operator="notEqual" priority="392" type="cellIs">
      <formula>#REF!</formula>
    </cfRule>
  </conditionalFormatting>
  <conditionalFormatting sqref="AE93:AE96">
    <cfRule dxfId="397" operator="notEqual" priority="391" type="cellIs">
      <formula>#REF!</formula>
    </cfRule>
  </conditionalFormatting>
  <conditionalFormatting sqref="AE97:AE100">
    <cfRule dxfId="396" operator="notEqual" priority="390" type="cellIs">
      <formula>#REF!</formula>
    </cfRule>
  </conditionalFormatting>
  <conditionalFormatting sqref="AE101:AE104">
    <cfRule dxfId="395" operator="notEqual" priority="389" type="cellIs">
      <formula>#REF!</formula>
    </cfRule>
  </conditionalFormatting>
  <conditionalFormatting sqref="AE105:AE108">
    <cfRule dxfId="394" operator="notEqual" priority="388" type="cellIs">
      <formula>#REF!</formula>
    </cfRule>
  </conditionalFormatting>
  <conditionalFormatting sqref="AE109:AE112">
    <cfRule dxfId="393" operator="notEqual" priority="387" type="cellIs">
      <formula>#REF!</formula>
    </cfRule>
  </conditionalFormatting>
  <conditionalFormatting sqref="AE113:AE116">
    <cfRule dxfId="392" operator="notEqual" priority="386" type="cellIs">
      <formula>#REF!</formula>
    </cfRule>
  </conditionalFormatting>
  <conditionalFormatting sqref="AE117:AE120">
    <cfRule dxfId="391" operator="notEqual" priority="385" type="cellIs">
      <formula>#REF!</formula>
    </cfRule>
  </conditionalFormatting>
  <conditionalFormatting sqref="AE121:AE124">
    <cfRule dxfId="390" operator="notEqual" priority="384" type="cellIs">
      <formula>#REF!</formula>
    </cfRule>
  </conditionalFormatting>
  <conditionalFormatting sqref="AE125:AE128">
    <cfRule dxfId="389" operator="notEqual" priority="383" type="cellIs">
      <formula>#REF!</formula>
    </cfRule>
  </conditionalFormatting>
  <conditionalFormatting sqref="AE129:AE132">
    <cfRule dxfId="388" operator="notEqual" priority="382" type="cellIs">
      <formula>#REF!</formula>
    </cfRule>
  </conditionalFormatting>
  <conditionalFormatting sqref="AE133:AE136">
    <cfRule dxfId="387" operator="notEqual" priority="381" type="cellIs">
      <formula>#REF!</formula>
    </cfRule>
  </conditionalFormatting>
  <conditionalFormatting sqref="AE137:AE140">
    <cfRule dxfId="386" operator="notEqual" priority="380" type="cellIs">
      <formula>#REF!</formula>
    </cfRule>
  </conditionalFormatting>
  <conditionalFormatting sqref="AE185:AE188">
    <cfRule dxfId="385" operator="notEqual" priority="379" type="cellIs">
      <formula>#REF!</formula>
    </cfRule>
  </conditionalFormatting>
  <conditionalFormatting sqref="AE189:AE192">
    <cfRule dxfId="384" operator="notEqual" priority="378" type="cellIs">
      <formula>#REF!</formula>
    </cfRule>
  </conditionalFormatting>
  <conditionalFormatting sqref="AE193:AE196">
    <cfRule dxfId="383" operator="notEqual" priority="377" type="cellIs">
      <formula>#REF!</formula>
    </cfRule>
  </conditionalFormatting>
  <conditionalFormatting sqref="AE197:AE200">
    <cfRule dxfId="382" operator="notEqual" priority="376" type="cellIs">
      <formula>#REF!</formula>
    </cfRule>
  </conditionalFormatting>
  <conditionalFormatting sqref="AE201:AE204">
    <cfRule dxfId="381" operator="notEqual" priority="375" type="cellIs">
      <formula>#REF!</formula>
    </cfRule>
  </conditionalFormatting>
  <conditionalFormatting sqref="AE205:AE208">
    <cfRule dxfId="380" operator="notEqual" priority="374" type="cellIs">
      <formula>#REF!</formula>
    </cfRule>
  </conditionalFormatting>
  <conditionalFormatting sqref="AE209:AE212">
    <cfRule dxfId="379" operator="notEqual" priority="373" type="cellIs">
      <formula>#REF!</formula>
    </cfRule>
  </conditionalFormatting>
  <conditionalFormatting sqref="AE213:AE216">
    <cfRule dxfId="378" operator="notEqual" priority="372" type="cellIs">
      <formula>#REF!</formula>
    </cfRule>
  </conditionalFormatting>
  <conditionalFormatting sqref="AE217:AE220">
    <cfRule dxfId="377" operator="notEqual" priority="371" type="cellIs">
      <formula>#REF!</formula>
    </cfRule>
  </conditionalFormatting>
  <conditionalFormatting sqref="AE221:AE224">
    <cfRule dxfId="376" operator="notEqual" priority="370" type="cellIs">
      <formula>#REF!</formula>
    </cfRule>
  </conditionalFormatting>
  <conditionalFormatting sqref="AE225:AE228">
    <cfRule dxfId="375" operator="notEqual" priority="369" type="cellIs">
      <formula>#REF!</formula>
    </cfRule>
  </conditionalFormatting>
  <conditionalFormatting sqref="AE229:AE232">
    <cfRule dxfId="374" operator="notEqual" priority="368" type="cellIs">
      <formula>#REF!</formula>
    </cfRule>
  </conditionalFormatting>
  <conditionalFormatting sqref="AE233:AE236">
    <cfRule dxfId="373" operator="notEqual" priority="367" type="cellIs">
      <formula>#REF!</formula>
    </cfRule>
  </conditionalFormatting>
  <conditionalFormatting sqref="AE237:AE240">
    <cfRule dxfId="372" operator="notEqual" priority="366" type="cellIs">
      <formula>#REF!</formula>
    </cfRule>
  </conditionalFormatting>
  <conditionalFormatting sqref="AE241:AE244">
    <cfRule dxfId="371" operator="notEqual" priority="365" type="cellIs">
      <formula>#REF!</formula>
    </cfRule>
  </conditionalFormatting>
  <conditionalFormatting sqref="AE245:AE248">
    <cfRule dxfId="370" operator="notEqual" priority="364" type="cellIs">
      <formula>#REF!</formula>
    </cfRule>
  </conditionalFormatting>
  <conditionalFormatting sqref="AE249:AE252">
    <cfRule dxfId="369" operator="notEqual" priority="363" type="cellIs">
      <formula>#REF!</formula>
    </cfRule>
  </conditionalFormatting>
  <conditionalFormatting sqref="AE321:AE324">
    <cfRule dxfId="368" operator="notEqual" priority="362" type="cellIs">
      <formula>#REF!</formula>
    </cfRule>
  </conditionalFormatting>
  <conditionalFormatting sqref="AE325:AE328">
    <cfRule dxfId="367" operator="notEqual" priority="361" type="cellIs">
      <formula>#REF!</formula>
    </cfRule>
  </conditionalFormatting>
  <conditionalFormatting sqref="AE329:AE332">
    <cfRule dxfId="366" operator="notEqual" priority="360" type="cellIs">
      <formula>#REF!</formula>
    </cfRule>
  </conditionalFormatting>
  <conditionalFormatting sqref="AE333:AE336">
    <cfRule dxfId="365" operator="notEqual" priority="359" type="cellIs">
      <formula>#REF!</formula>
    </cfRule>
  </conditionalFormatting>
  <conditionalFormatting sqref="AE337:AE340">
    <cfRule dxfId="364" operator="notEqual" priority="358" type="cellIs">
      <formula>#REF!</formula>
    </cfRule>
  </conditionalFormatting>
  <conditionalFormatting sqref="AE341:AE344">
    <cfRule dxfId="363" operator="notEqual" priority="357" type="cellIs">
      <formula>#REF!</formula>
    </cfRule>
  </conditionalFormatting>
  <conditionalFormatting sqref="AE345:AE348">
    <cfRule dxfId="362" operator="notEqual" priority="356" type="cellIs">
      <formula>#REF!</formula>
    </cfRule>
  </conditionalFormatting>
  <conditionalFormatting sqref="AE349:AE352">
    <cfRule dxfId="361" operator="notEqual" priority="355" type="cellIs">
      <formula>#REF!</formula>
    </cfRule>
  </conditionalFormatting>
  <conditionalFormatting sqref="AE353:AE356">
    <cfRule dxfId="360" operator="notEqual" priority="354" type="cellIs">
      <formula>#REF!</formula>
    </cfRule>
  </conditionalFormatting>
  <conditionalFormatting sqref="AE357:AE360">
    <cfRule dxfId="359" operator="notEqual" priority="353" type="cellIs">
      <formula>#REF!</formula>
    </cfRule>
  </conditionalFormatting>
  <conditionalFormatting sqref="AE361:AE364">
    <cfRule dxfId="358" operator="notEqual" priority="352" type="cellIs">
      <formula>#REF!</formula>
    </cfRule>
  </conditionalFormatting>
  <conditionalFormatting sqref="AE253:AE256">
    <cfRule dxfId="357" operator="notEqual" priority="351" type="cellIs">
      <formula>#REF!</formula>
    </cfRule>
  </conditionalFormatting>
  <conditionalFormatting sqref="AE257:AE260">
    <cfRule dxfId="356" operator="notEqual" priority="350" type="cellIs">
      <formula>#REF!</formula>
    </cfRule>
  </conditionalFormatting>
  <conditionalFormatting sqref="AE261:AE264">
    <cfRule dxfId="355" operator="notEqual" priority="349" type="cellIs">
      <formula>#REF!</formula>
    </cfRule>
  </conditionalFormatting>
  <conditionalFormatting sqref="AE265:AE268">
    <cfRule dxfId="354" operator="notEqual" priority="348" type="cellIs">
      <formula>#REF!</formula>
    </cfRule>
  </conditionalFormatting>
  <conditionalFormatting sqref="AE269:AE272">
    <cfRule dxfId="353" operator="notEqual" priority="347" type="cellIs">
      <formula>#REF!</formula>
    </cfRule>
  </conditionalFormatting>
  <conditionalFormatting sqref="AE273:AE276">
    <cfRule dxfId="352" operator="notEqual" priority="346" type="cellIs">
      <formula>#REF!</formula>
    </cfRule>
  </conditionalFormatting>
  <conditionalFormatting sqref="AE277:AE280">
    <cfRule dxfId="351" operator="notEqual" priority="345" type="cellIs">
      <formula>#REF!</formula>
    </cfRule>
  </conditionalFormatting>
  <conditionalFormatting sqref="AE281:AE284">
    <cfRule dxfId="350" operator="notEqual" priority="344" type="cellIs">
      <formula>#REF!</formula>
    </cfRule>
  </conditionalFormatting>
  <conditionalFormatting sqref="AE285:AE288">
    <cfRule dxfId="349" operator="notEqual" priority="343" type="cellIs">
      <formula>#REF!</formula>
    </cfRule>
  </conditionalFormatting>
  <conditionalFormatting sqref="AE289:AE292">
    <cfRule dxfId="348" operator="notEqual" priority="342" type="cellIs">
      <formula>#REF!</formula>
    </cfRule>
  </conditionalFormatting>
  <conditionalFormatting sqref="AE293:AE296">
    <cfRule dxfId="347" operator="notEqual" priority="341" type="cellIs">
      <formula>#REF!</formula>
    </cfRule>
  </conditionalFormatting>
  <conditionalFormatting sqref="AE297:AE300">
    <cfRule dxfId="346" operator="notEqual" priority="340" type="cellIs">
      <formula>#REF!</formula>
    </cfRule>
  </conditionalFormatting>
  <conditionalFormatting sqref="AE301:AE304">
    <cfRule dxfId="345" operator="notEqual" priority="339" type="cellIs">
      <formula>#REF!</formula>
    </cfRule>
  </conditionalFormatting>
  <conditionalFormatting sqref="AE305:AE308">
    <cfRule dxfId="344" operator="notEqual" priority="338" type="cellIs">
      <formula>#REF!</formula>
    </cfRule>
  </conditionalFormatting>
  <conditionalFormatting sqref="AE309:AE312">
    <cfRule dxfId="343" operator="notEqual" priority="337" type="cellIs">
      <formula>#REF!</formula>
    </cfRule>
  </conditionalFormatting>
  <conditionalFormatting sqref="AE313:AE316">
    <cfRule dxfId="342" operator="notEqual" priority="336" type="cellIs">
      <formula>#REF!</formula>
    </cfRule>
  </conditionalFormatting>
  <conditionalFormatting sqref="AE317:AE320">
    <cfRule dxfId="341" operator="notEqual" priority="335" type="cellIs">
      <formula>#REF!</formula>
    </cfRule>
  </conditionalFormatting>
  <conditionalFormatting sqref="AE365:AE368">
    <cfRule dxfId="340" operator="notEqual" priority="334" type="cellIs">
      <formula>#REF!</formula>
    </cfRule>
  </conditionalFormatting>
  <conditionalFormatting sqref="AE369:AE372">
    <cfRule dxfId="339" operator="notEqual" priority="333" type="cellIs">
      <formula>#REF!</formula>
    </cfRule>
  </conditionalFormatting>
  <conditionalFormatting sqref="AE373:AE376">
    <cfRule dxfId="338" operator="notEqual" priority="332" type="cellIs">
      <formula>#REF!</formula>
    </cfRule>
  </conditionalFormatting>
  <conditionalFormatting sqref="AE377:AE380">
    <cfRule dxfId="337" operator="notEqual" priority="331" type="cellIs">
      <formula>#REF!</formula>
    </cfRule>
  </conditionalFormatting>
  <conditionalFormatting sqref="AE381:AE384">
    <cfRule dxfId="336" operator="notEqual" priority="330" type="cellIs">
      <formula>#REF!</formula>
    </cfRule>
  </conditionalFormatting>
  <conditionalFormatting sqref="AE385:AE388">
    <cfRule dxfId="335" operator="notEqual" priority="329" type="cellIs">
      <formula>#REF!</formula>
    </cfRule>
  </conditionalFormatting>
  <conditionalFormatting sqref="AE389:AE392">
    <cfRule dxfId="334" operator="notEqual" priority="328" type="cellIs">
      <formula>#REF!</formula>
    </cfRule>
  </conditionalFormatting>
  <conditionalFormatting sqref="AE393:AE396">
    <cfRule dxfId="333" operator="notEqual" priority="327" type="cellIs">
      <formula>#REF!</formula>
    </cfRule>
  </conditionalFormatting>
  <conditionalFormatting sqref="AE397:AE400">
    <cfRule dxfId="332" operator="notEqual" priority="326" type="cellIs">
      <formula>#REF!</formula>
    </cfRule>
  </conditionalFormatting>
  <conditionalFormatting sqref="AE401:AE404">
    <cfRule dxfId="331" operator="notEqual" priority="325" type="cellIs">
      <formula>#REF!</formula>
    </cfRule>
  </conditionalFormatting>
  <conditionalFormatting sqref="AE405:AE408">
    <cfRule dxfId="330" operator="notEqual" priority="324" type="cellIs">
      <formula>#REF!</formula>
    </cfRule>
  </conditionalFormatting>
  <conditionalFormatting sqref="AE409:AE412">
    <cfRule dxfId="329" operator="notEqual" priority="323" type="cellIs">
      <formula>#REF!</formula>
    </cfRule>
  </conditionalFormatting>
  <conditionalFormatting sqref="AE413:AE416">
    <cfRule dxfId="328" operator="notEqual" priority="322" type="cellIs">
      <formula>#REF!</formula>
    </cfRule>
  </conditionalFormatting>
  <conditionalFormatting sqref="AE417:AE420">
    <cfRule dxfId="327" operator="notEqual" priority="321" type="cellIs">
      <formula>#REF!</formula>
    </cfRule>
  </conditionalFormatting>
  <conditionalFormatting sqref="AE421:AE424">
    <cfRule dxfId="326" operator="notEqual" priority="320" type="cellIs">
      <formula>#REF!</formula>
    </cfRule>
  </conditionalFormatting>
  <conditionalFormatting sqref="AE425:AE428">
    <cfRule dxfId="325" operator="notEqual" priority="319" type="cellIs">
      <formula>#REF!</formula>
    </cfRule>
  </conditionalFormatting>
  <conditionalFormatting sqref="AE429:AE432">
    <cfRule dxfId="324" operator="notEqual" priority="318" type="cellIs">
      <formula>#REF!</formula>
    </cfRule>
  </conditionalFormatting>
  <conditionalFormatting sqref="AE501:AE504">
    <cfRule dxfId="323" operator="notEqual" priority="317" type="cellIs">
      <formula>#REF!</formula>
    </cfRule>
  </conditionalFormatting>
  <conditionalFormatting sqref="AE505:AE508">
    <cfRule dxfId="322" operator="notEqual" priority="316" type="cellIs">
      <formula>#REF!</formula>
    </cfRule>
  </conditionalFormatting>
  <conditionalFormatting sqref="AE509:AE512">
    <cfRule dxfId="321" operator="notEqual" priority="315" type="cellIs">
      <formula>#REF!</formula>
    </cfRule>
  </conditionalFormatting>
  <conditionalFormatting sqref="AE513:AE516">
    <cfRule dxfId="320" operator="notEqual" priority="314" type="cellIs">
      <formula>#REF!</formula>
    </cfRule>
  </conditionalFormatting>
  <conditionalFormatting sqref="AE517:AE520">
    <cfRule dxfId="319" operator="notEqual" priority="313" type="cellIs">
      <formula>#REF!</formula>
    </cfRule>
  </conditionalFormatting>
  <conditionalFormatting sqref="AE521:AE524">
    <cfRule dxfId="318" operator="notEqual" priority="312" type="cellIs">
      <formula>#REF!</formula>
    </cfRule>
  </conditionalFormatting>
  <conditionalFormatting sqref="AE525:AE528">
    <cfRule dxfId="317" operator="notEqual" priority="311" type="cellIs">
      <formula>#REF!</formula>
    </cfRule>
  </conditionalFormatting>
  <conditionalFormatting sqref="AE529:AE532">
    <cfRule dxfId="316" operator="notEqual" priority="310" type="cellIs">
      <formula>#REF!</formula>
    </cfRule>
  </conditionalFormatting>
  <conditionalFormatting sqref="AE533:AE536">
    <cfRule dxfId="315" operator="notEqual" priority="309" type="cellIs">
      <formula>#REF!</formula>
    </cfRule>
  </conditionalFormatting>
  <conditionalFormatting sqref="AE537:AE540">
    <cfRule dxfId="314" operator="notEqual" priority="308" type="cellIs">
      <formula>#REF!</formula>
    </cfRule>
  </conditionalFormatting>
  <conditionalFormatting sqref="AE541:AE544">
    <cfRule dxfId="313" operator="notEqual" priority="307" type="cellIs">
      <formula>#REF!</formula>
    </cfRule>
  </conditionalFormatting>
  <conditionalFormatting sqref="AE433:AE436">
    <cfRule dxfId="312" operator="notEqual" priority="306" type="cellIs">
      <formula>#REF!</formula>
    </cfRule>
  </conditionalFormatting>
  <conditionalFormatting sqref="AE437:AE440">
    <cfRule dxfId="311" operator="notEqual" priority="305" type="cellIs">
      <formula>#REF!</formula>
    </cfRule>
  </conditionalFormatting>
  <conditionalFormatting sqref="AE441:AE444">
    <cfRule dxfId="310" operator="notEqual" priority="304" type="cellIs">
      <formula>#REF!</formula>
    </cfRule>
  </conditionalFormatting>
  <conditionalFormatting sqref="AE445:AE448">
    <cfRule dxfId="309" operator="notEqual" priority="303" type="cellIs">
      <formula>#REF!</formula>
    </cfRule>
  </conditionalFormatting>
  <conditionalFormatting sqref="AE449:AE452">
    <cfRule dxfId="308" operator="notEqual" priority="302" type="cellIs">
      <formula>#REF!</formula>
    </cfRule>
  </conditionalFormatting>
  <conditionalFormatting sqref="AE453:AE456">
    <cfRule dxfId="307" operator="notEqual" priority="301" type="cellIs">
      <formula>#REF!</formula>
    </cfRule>
  </conditionalFormatting>
  <conditionalFormatting sqref="AE457:AE460">
    <cfRule dxfId="306" operator="notEqual" priority="300" type="cellIs">
      <formula>#REF!</formula>
    </cfRule>
  </conditionalFormatting>
  <conditionalFormatting sqref="AE461:AE464">
    <cfRule dxfId="305" operator="notEqual" priority="299" type="cellIs">
      <formula>#REF!</formula>
    </cfRule>
  </conditionalFormatting>
  <conditionalFormatting sqref="AE465:AE468">
    <cfRule dxfId="304" operator="notEqual" priority="298" type="cellIs">
      <formula>#REF!</formula>
    </cfRule>
  </conditionalFormatting>
  <conditionalFormatting sqref="AE469:AE472">
    <cfRule dxfId="303" operator="notEqual" priority="297" type="cellIs">
      <formula>#REF!</formula>
    </cfRule>
  </conditionalFormatting>
  <conditionalFormatting sqref="AE473:AE476">
    <cfRule dxfId="302" operator="notEqual" priority="296" type="cellIs">
      <formula>#REF!</formula>
    </cfRule>
  </conditionalFormatting>
  <conditionalFormatting sqref="AE477:AE480">
    <cfRule dxfId="301" operator="notEqual" priority="295" type="cellIs">
      <formula>#REF!</formula>
    </cfRule>
  </conditionalFormatting>
  <conditionalFormatting sqref="AE481:AE484">
    <cfRule dxfId="300" operator="notEqual" priority="294" type="cellIs">
      <formula>#REF!</formula>
    </cfRule>
  </conditionalFormatting>
  <conditionalFormatting sqref="AE485:AE488">
    <cfRule dxfId="299" operator="notEqual" priority="293" type="cellIs">
      <formula>#REF!</formula>
    </cfRule>
  </conditionalFormatting>
  <conditionalFormatting sqref="AE489:AE492">
    <cfRule dxfId="298" operator="notEqual" priority="292" type="cellIs">
      <formula>#REF!</formula>
    </cfRule>
  </conditionalFormatting>
  <conditionalFormatting sqref="AE493:AE496">
    <cfRule dxfId="297" operator="notEqual" priority="291" type="cellIs">
      <formula>#REF!</formula>
    </cfRule>
  </conditionalFormatting>
  <conditionalFormatting sqref="AE497:AE500">
    <cfRule dxfId="296" operator="notEqual" priority="290" type="cellIs">
      <formula>#REF!</formula>
    </cfRule>
  </conditionalFormatting>
  <conditionalFormatting sqref="AE545:AE548">
    <cfRule dxfId="295" operator="notEqual" priority="289" type="cellIs">
      <formula>#REF!</formula>
    </cfRule>
  </conditionalFormatting>
  <conditionalFormatting sqref="AE549:AE552">
    <cfRule dxfId="294" operator="notEqual" priority="288" type="cellIs">
      <formula>#REF!</formula>
    </cfRule>
  </conditionalFormatting>
  <conditionalFormatting sqref="AE553:AE556">
    <cfRule dxfId="293" operator="notEqual" priority="287" type="cellIs">
      <formula>#REF!</formula>
    </cfRule>
  </conditionalFormatting>
  <conditionalFormatting sqref="AE557:AE560">
    <cfRule dxfId="292" operator="notEqual" priority="286" type="cellIs">
      <formula>#REF!</formula>
    </cfRule>
  </conditionalFormatting>
  <conditionalFormatting sqref="AE561:AE564">
    <cfRule dxfId="291" operator="notEqual" priority="285" type="cellIs">
      <formula>#REF!</formula>
    </cfRule>
  </conditionalFormatting>
  <conditionalFormatting sqref="AE565:AE568">
    <cfRule dxfId="290" operator="notEqual" priority="284" type="cellIs">
      <formula>#REF!</formula>
    </cfRule>
  </conditionalFormatting>
  <conditionalFormatting sqref="AE569:AE572">
    <cfRule dxfId="289" operator="notEqual" priority="283" type="cellIs">
      <formula>#REF!</formula>
    </cfRule>
  </conditionalFormatting>
  <conditionalFormatting sqref="AE573:AE576">
    <cfRule dxfId="288" operator="notEqual" priority="282" type="cellIs">
      <formula>#REF!</formula>
    </cfRule>
  </conditionalFormatting>
  <conditionalFormatting sqref="AE577:AE580">
    <cfRule dxfId="287" operator="notEqual" priority="281" type="cellIs">
      <formula>#REF!</formula>
    </cfRule>
  </conditionalFormatting>
  <conditionalFormatting sqref="AE581:AE584">
    <cfRule dxfId="286" operator="notEqual" priority="280" type="cellIs">
      <formula>#REF!</formula>
    </cfRule>
  </conditionalFormatting>
  <conditionalFormatting sqref="AE585:AE588">
    <cfRule dxfId="285" operator="notEqual" priority="279" type="cellIs">
      <formula>#REF!</formula>
    </cfRule>
  </conditionalFormatting>
  <conditionalFormatting sqref="AE589:AE592">
    <cfRule dxfId="284" operator="notEqual" priority="278" type="cellIs">
      <formula>#REF!</formula>
    </cfRule>
  </conditionalFormatting>
  <conditionalFormatting sqref="AE593:AE596">
    <cfRule dxfId="283" operator="notEqual" priority="277" type="cellIs">
      <formula>#REF!</formula>
    </cfRule>
  </conditionalFormatting>
  <conditionalFormatting sqref="AE597:AE600">
    <cfRule dxfId="282" operator="notEqual" priority="276" type="cellIs">
      <formula>#REF!</formula>
    </cfRule>
  </conditionalFormatting>
  <conditionalFormatting sqref="AE601:AE604">
    <cfRule dxfId="281" operator="notEqual" priority="275" type="cellIs">
      <formula>#REF!</formula>
    </cfRule>
  </conditionalFormatting>
  <conditionalFormatting sqref="AE605:AE608">
    <cfRule dxfId="280" operator="notEqual" priority="274" type="cellIs">
      <formula>#REF!</formula>
    </cfRule>
  </conditionalFormatting>
  <conditionalFormatting sqref="AE609:AE612">
    <cfRule dxfId="279" operator="notEqual" priority="273" type="cellIs">
      <formula>#REF!</formula>
    </cfRule>
  </conditionalFormatting>
  <conditionalFormatting sqref="AE681:AE684">
    <cfRule dxfId="278" operator="notEqual" priority="272" type="cellIs">
      <formula>#REF!</formula>
    </cfRule>
  </conditionalFormatting>
  <conditionalFormatting sqref="AE685:AE688">
    <cfRule dxfId="277" operator="notEqual" priority="271" type="cellIs">
      <formula>#REF!</formula>
    </cfRule>
  </conditionalFormatting>
  <conditionalFormatting sqref="AE689:AE692">
    <cfRule dxfId="276" operator="notEqual" priority="270" type="cellIs">
      <formula>#REF!</formula>
    </cfRule>
  </conditionalFormatting>
  <conditionalFormatting sqref="AE693:AE696">
    <cfRule dxfId="275" operator="notEqual" priority="269" type="cellIs">
      <formula>#REF!</formula>
    </cfRule>
  </conditionalFormatting>
  <conditionalFormatting sqref="AE697:AE700">
    <cfRule dxfId="274" operator="notEqual" priority="268" type="cellIs">
      <formula>#REF!</formula>
    </cfRule>
  </conditionalFormatting>
  <conditionalFormatting sqref="AE701:AE704">
    <cfRule dxfId="273" operator="notEqual" priority="267" type="cellIs">
      <formula>#REF!</formula>
    </cfRule>
  </conditionalFormatting>
  <conditionalFormatting sqref="AE705:AE708">
    <cfRule dxfId="272" operator="notEqual" priority="266" type="cellIs">
      <formula>#REF!</formula>
    </cfRule>
  </conditionalFormatting>
  <conditionalFormatting sqref="AE709:AE712">
    <cfRule dxfId="271" operator="notEqual" priority="265" type="cellIs">
      <formula>#REF!</formula>
    </cfRule>
  </conditionalFormatting>
  <conditionalFormatting sqref="AE713:AE716">
    <cfRule dxfId="270" operator="notEqual" priority="264" type="cellIs">
      <formula>#REF!</formula>
    </cfRule>
  </conditionalFormatting>
  <conditionalFormatting sqref="AE717:AE720">
    <cfRule dxfId="269" operator="notEqual" priority="263" type="cellIs">
      <formula>#REF!</formula>
    </cfRule>
  </conditionalFormatting>
  <conditionalFormatting sqref="AE721:AE724">
    <cfRule dxfId="268" operator="notEqual" priority="262" type="cellIs">
      <formula>#REF!</formula>
    </cfRule>
  </conditionalFormatting>
  <conditionalFormatting sqref="AE613:AE616">
    <cfRule dxfId="267" operator="notEqual" priority="261" type="cellIs">
      <formula>#REF!</formula>
    </cfRule>
  </conditionalFormatting>
  <conditionalFormatting sqref="AE617:AE620">
    <cfRule dxfId="266" operator="notEqual" priority="260" type="cellIs">
      <formula>#REF!</formula>
    </cfRule>
  </conditionalFormatting>
  <conditionalFormatting sqref="AE621:AE624">
    <cfRule dxfId="265" operator="notEqual" priority="259" type="cellIs">
      <formula>#REF!</formula>
    </cfRule>
  </conditionalFormatting>
  <conditionalFormatting sqref="AE625:AE628">
    <cfRule dxfId="264" operator="notEqual" priority="258" type="cellIs">
      <formula>#REF!</formula>
    </cfRule>
  </conditionalFormatting>
  <conditionalFormatting sqref="AE629:AE632">
    <cfRule dxfId="263" operator="notEqual" priority="257" type="cellIs">
      <formula>#REF!</formula>
    </cfRule>
  </conditionalFormatting>
  <conditionalFormatting sqref="AE633:AE636">
    <cfRule dxfId="262" operator="notEqual" priority="256" type="cellIs">
      <formula>#REF!</formula>
    </cfRule>
  </conditionalFormatting>
  <conditionalFormatting sqref="AE637:AE640">
    <cfRule dxfId="261" operator="notEqual" priority="255" type="cellIs">
      <formula>#REF!</formula>
    </cfRule>
  </conditionalFormatting>
  <conditionalFormatting sqref="AE641:AE644">
    <cfRule dxfId="260" operator="notEqual" priority="254" type="cellIs">
      <formula>#REF!</formula>
    </cfRule>
  </conditionalFormatting>
  <conditionalFormatting sqref="AE645:AE648">
    <cfRule dxfId="259" operator="notEqual" priority="253" type="cellIs">
      <formula>#REF!</formula>
    </cfRule>
  </conditionalFormatting>
  <conditionalFormatting sqref="AE649:AE652">
    <cfRule dxfId="258" operator="notEqual" priority="252" type="cellIs">
      <formula>#REF!</formula>
    </cfRule>
  </conditionalFormatting>
  <conditionalFormatting sqref="AE653:AE656">
    <cfRule dxfId="257" operator="notEqual" priority="251" type="cellIs">
      <formula>#REF!</formula>
    </cfRule>
  </conditionalFormatting>
  <conditionalFormatting sqref="AE657:AE660">
    <cfRule dxfId="256" operator="notEqual" priority="250" type="cellIs">
      <formula>#REF!</formula>
    </cfRule>
  </conditionalFormatting>
  <conditionalFormatting sqref="AE661:AE664">
    <cfRule dxfId="255" operator="notEqual" priority="249" type="cellIs">
      <formula>#REF!</formula>
    </cfRule>
  </conditionalFormatting>
  <conditionalFormatting sqref="AE665:AE668">
    <cfRule dxfId="254" operator="notEqual" priority="248" type="cellIs">
      <formula>#REF!</formula>
    </cfRule>
  </conditionalFormatting>
  <conditionalFormatting sqref="AE669:AE672">
    <cfRule dxfId="253" operator="notEqual" priority="247" type="cellIs">
      <formula>#REF!</formula>
    </cfRule>
  </conditionalFormatting>
  <conditionalFormatting sqref="AE673:AE676">
    <cfRule dxfId="252" operator="notEqual" priority="246" type="cellIs">
      <formula>#REF!</formula>
    </cfRule>
  </conditionalFormatting>
  <conditionalFormatting sqref="AE677:AE680">
    <cfRule dxfId="251" operator="notEqual" priority="245" type="cellIs">
      <formula>#REF!</formula>
    </cfRule>
  </conditionalFormatting>
  <conditionalFormatting sqref="AE725:AE728">
    <cfRule dxfId="250" operator="notEqual" priority="244" type="cellIs">
      <formula>#REF!</formula>
    </cfRule>
  </conditionalFormatting>
  <conditionalFormatting sqref="AE729:AE732">
    <cfRule dxfId="249" operator="notEqual" priority="243" type="cellIs">
      <formula>#REF!</formula>
    </cfRule>
  </conditionalFormatting>
  <conditionalFormatting sqref="AE733:AE736">
    <cfRule dxfId="248" operator="notEqual" priority="242" type="cellIs">
      <formula>#REF!</formula>
    </cfRule>
  </conditionalFormatting>
  <conditionalFormatting sqref="AE737:AE740">
    <cfRule dxfId="247" operator="notEqual" priority="241" type="cellIs">
      <formula>#REF!</formula>
    </cfRule>
  </conditionalFormatting>
  <conditionalFormatting sqref="AE741:AE744">
    <cfRule dxfId="246" operator="notEqual" priority="240" type="cellIs">
      <formula>#REF!</formula>
    </cfRule>
  </conditionalFormatting>
  <conditionalFormatting sqref="AE745:AE748">
    <cfRule dxfId="245" operator="notEqual" priority="239" type="cellIs">
      <formula>#REF!</formula>
    </cfRule>
  </conditionalFormatting>
  <conditionalFormatting sqref="AE749:AE752">
    <cfRule dxfId="244" operator="notEqual" priority="238" type="cellIs">
      <formula>#REF!</formula>
    </cfRule>
  </conditionalFormatting>
  <conditionalFormatting sqref="AE753:AE756">
    <cfRule dxfId="243" operator="notEqual" priority="237" type="cellIs">
      <formula>#REF!</formula>
    </cfRule>
  </conditionalFormatting>
  <conditionalFormatting sqref="AE757:AE760">
    <cfRule dxfId="242" operator="notEqual" priority="236" type="cellIs">
      <formula>#REF!</formula>
    </cfRule>
  </conditionalFormatting>
  <conditionalFormatting sqref="AE761:AE764">
    <cfRule dxfId="241" operator="notEqual" priority="235" type="cellIs">
      <formula>#REF!</formula>
    </cfRule>
  </conditionalFormatting>
  <conditionalFormatting sqref="AE765:AE768">
    <cfRule dxfId="240" operator="notEqual" priority="234" type="cellIs">
      <formula>#REF!</formula>
    </cfRule>
  </conditionalFormatting>
  <conditionalFormatting sqref="AE769:AE772">
    <cfRule dxfId="239" operator="notEqual" priority="233" type="cellIs">
      <formula>#REF!</formula>
    </cfRule>
  </conditionalFormatting>
  <conditionalFormatting sqref="AE773:AE776">
    <cfRule dxfId="238" operator="notEqual" priority="232" type="cellIs">
      <formula>#REF!</formula>
    </cfRule>
  </conditionalFormatting>
  <conditionalFormatting sqref="AE777:AE780">
    <cfRule dxfId="237" operator="notEqual" priority="231" type="cellIs">
      <formula>#REF!</formula>
    </cfRule>
  </conditionalFormatting>
  <conditionalFormatting sqref="AE781:AE784">
    <cfRule dxfId="236" operator="notEqual" priority="230" type="cellIs">
      <formula>#REF!</formula>
    </cfRule>
  </conditionalFormatting>
  <conditionalFormatting sqref="AE785:AE788">
    <cfRule dxfId="235" operator="notEqual" priority="229" type="cellIs">
      <formula>#REF!</formula>
    </cfRule>
  </conditionalFormatting>
  <conditionalFormatting sqref="AE789:AE792">
    <cfRule dxfId="234" operator="notEqual" priority="228" type="cellIs">
      <formula>#REF!</formula>
    </cfRule>
  </conditionalFormatting>
  <conditionalFormatting sqref="AE793:AE796">
    <cfRule dxfId="233" operator="notEqual" priority="227" type="cellIs">
      <formula>#REF!</formula>
    </cfRule>
  </conditionalFormatting>
  <conditionalFormatting sqref="AE797:AE800">
    <cfRule dxfId="232" operator="notEqual" priority="226" type="cellIs">
      <formula>#REF!</formula>
    </cfRule>
  </conditionalFormatting>
  <conditionalFormatting sqref="AE801:AE804">
    <cfRule dxfId="231" operator="notEqual" priority="225" type="cellIs">
      <formula>#REF!</formula>
    </cfRule>
  </conditionalFormatting>
  <conditionalFormatting sqref="AE805:AE808">
    <cfRule dxfId="230" operator="notEqual" priority="224" type="cellIs">
      <formula>#REF!</formula>
    </cfRule>
  </conditionalFormatting>
  <conditionalFormatting sqref="AE809:AE812">
    <cfRule dxfId="229" operator="notEqual" priority="223" type="cellIs">
      <formula>#REF!</formula>
    </cfRule>
  </conditionalFormatting>
  <conditionalFormatting sqref="AE813:AE816">
    <cfRule dxfId="228" operator="notEqual" priority="222" type="cellIs">
      <formula>#REF!</formula>
    </cfRule>
  </conditionalFormatting>
  <conditionalFormatting sqref="AE817:AE820">
    <cfRule dxfId="227" operator="notEqual" priority="221" type="cellIs">
      <formula>#REF!</formula>
    </cfRule>
  </conditionalFormatting>
  <conditionalFormatting sqref="AE821:AE824">
    <cfRule dxfId="226" operator="notEqual" priority="220" type="cellIs">
      <formula>#REF!</formula>
    </cfRule>
  </conditionalFormatting>
  <conditionalFormatting sqref="AE825:AE828">
    <cfRule dxfId="225" operator="notEqual" priority="219" type="cellIs">
      <formula>#REF!</formula>
    </cfRule>
  </conditionalFormatting>
  <conditionalFormatting sqref="AE829:AE832">
    <cfRule dxfId="224" operator="notEqual" priority="218" type="cellIs">
      <formula>#REF!</formula>
    </cfRule>
  </conditionalFormatting>
  <conditionalFormatting sqref="AE833:AE836">
    <cfRule dxfId="223" operator="notEqual" priority="217" type="cellIs">
      <formula>#REF!</formula>
    </cfRule>
  </conditionalFormatting>
  <conditionalFormatting sqref="AE837:AE840">
    <cfRule dxfId="222" operator="notEqual" priority="216" type="cellIs">
      <formula>#REF!</formula>
    </cfRule>
  </conditionalFormatting>
  <conditionalFormatting sqref="AE841:AE844">
    <cfRule dxfId="221" operator="notEqual" priority="215" type="cellIs">
      <formula>#REF!</formula>
    </cfRule>
  </conditionalFormatting>
  <conditionalFormatting sqref="AE845:AE848">
    <cfRule dxfId="220" operator="notEqual" priority="214" type="cellIs">
      <formula>#REF!</formula>
    </cfRule>
  </conditionalFormatting>
  <conditionalFormatting sqref="AE850:AE852">
    <cfRule dxfId="219" operator="notEqual" priority="213" type="cellIs">
      <formula>#REF!</formula>
    </cfRule>
  </conditionalFormatting>
  <conditionalFormatting sqref="AF9:AJ12">
    <cfRule dxfId="218" operator="notEqual" priority="212" type="cellIs">
      <formula>#REF!</formula>
    </cfRule>
  </conditionalFormatting>
  <conditionalFormatting sqref="AF13:AJ16">
    <cfRule dxfId="217" operator="notEqual" priority="211" type="cellIs">
      <formula>#REF!</formula>
    </cfRule>
  </conditionalFormatting>
  <conditionalFormatting sqref="AF17:AJ20">
    <cfRule dxfId="216" operator="notEqual" priority="210" type="cellIs">
      <formula>#REF!</formula>
    </cfRule>
  </conditionalFormatting>
  <conditionalFormatting sqref="AF21:AJ24">
    <cfRule dxfId="215" operator="notEqual" priority="209" type="cellIs">
      <formula>#REF!</formula>
    </cfRule>
  </conditionalFormatting>
  <conditionalFormatting sqref="AF25:AJ28">
    <cfRule dxfId="214" operator="notEqual" priority="208" type="cellIs">
      <formula>#REF!</formula>
    </cfRule>
  </conditionalFormatting>
  <conditionalFormatting sqref="AF29:AJ32">
    <cfRule dxfId="213" operator="notEqual" priority="207" type="cellIs">
      <formula>#REF!</formula>
    </cfRule>
  </conditionalFormatting>
  <conditionalFormatting sqref="AF33:AJ36">
    <cfRule dxfId="212" operator="notEqual" priority="206" type="cellIs">
      <formula>#REF!</formula>
    </cfRule>
  </conditionalFormatting>
  <conditionalFormatting sqref="AF37:AJ40">
    <cfRule dxfId="211" operator="notEqual" priority="205" type="cellIs">
      <formula>#REF!</formula>
    </cfRule>
  </conditionalFormatting>
  <conditionalFormatting sqref="AF41:AJ44">
    <cfRule dxfId="210" operator="notEqual" priority="204" type="cellIs">
      <formula>#REF!</formula>
    </cfRule>
  </conditionalFormatting>
  <conditionalFormatting sqref="AF45:AJ48">
    <cfRule dxfId="209" operator="notEqual" priority="203" type="cellIs">
      <formula>#REF!</formula>
    </cfRule>
  </conditionalFormatting>
  <conditionalFormatting sqref="AF49:AJ52">
    <cfRule dxfId="208" operator="notEqual" priority="202" type="cellIs">
      <formula>#REF!</formula>
    </cfRule>
  </conditionalFormatting>
  <conditionalFormatting sqref="AF53:AJ56">
    <cfRule dxfId="207" operator="notEqual" priority="201" type="cellIs">
      <formula>#REF!</formula>
    </cfRule>
  </conditionalFormatting>
  <conditionalFormatting sqref="AF57:AJ60">
    <cfRule dxfId="206" operator="notEqual" priority="200" type="cellIs">
      <formula>#REF!</formula>
    </cfRule>
  </conditionalFormatting>
  <conditionalFormatting sqref="AF61:AJ64">
    <cfRule dxfId="205" operator="notEqual" priority="199" type="cellIs">
      <formula>#REF!</formula>
    </cfRule>
  </conditionalFormatting>
  <conditionalFormatting sqref="AF65:AJ68">
    <cfRule dxfId="204" operator="notEqual" priority="198" type="cellIs">
      <formula>#REF!</formula>
    </cfRule>
  </conditionalFormatting>
  <conditionalFormatting sqref="AF69:AJ72">
    <cfRule dxfId="203" operator="notEqual" priority="197" type="cellIs">
      <formula>#REF!</formula>
    </cfRule>
  </conditionalFormatting>
  <conditionalFormatting sqref="AF73:AJ76">
    <cfRule dxfId="202" operator="notEqual" priority="196" type="cellIs">
      <formula>#REF!</formula>
    </cfRule>
  </conditionalFormatting>
  <conditionalFormatting sqref="AF77:AJ80">
    <cfRule dxfId="201" operator="notEqual" priority="195" type="cellIs">
      <formula>#REF!</formula>
    </cfRule>
  </conditionalFormatting>
  <conditionalFormatting sqref="AF81:AJ84">
    <cfRule dxfId="200" operator="notEqual" priority="194" type="cellIs">
      <formula>#REF!</formula>
    </cfRule>
  </conditionalFormatting>
  <conditionalFormatting sqref="AF85:AJ88">
    <cfRule dxfId="199" operator="notEqual" priority="193" type="cellIs">
      <formula>#REF!</formula>
    </cfRule>
  </conditionalFormatting>
  <conditionalFormatting sqref="AF89:AJ92">
    <cfRule dxfId="198" operator="notEqual" priority="192" type="cellIs">
      <formula>#REF!</formula>
    </cfRule>
  </conditionalFormatting>
  <conditionalFormatting sqref="AF93:AJ96">
    <cfRule dxfId="197" operator="notEqual" priority="191" type="cellIs">
      <formula>#REF!</formula>
    </cfRule>
  </conditionalFormatting>
  <conditionalFormatting sqref="AF97:AJ100">
    <cfRule dxfId="196" operator="notEqual" priority="190" type="cellIs">
      <formula>#REF!</formula>
    </cfRule>
  </conditionalFormatting>
  <conditionalFormatting sqref="AF101:AJ104">
    <cfRule dxfId="195" operator="notEqual" priority="189" type="cellIs">
      <formula>#REF!</formula>
    </cfRule>
  </conditionalFormatting>
  <conditionalFormatting sqref="AF105:AJ108">
    <cfRule dxfId="194" operator="notEqual" priority="188" type="cellIs">
      <formula>#REF!</formula>
    </cfRule>
  </conditionalFormatting>
  <conditionalFormatting sqref="AF109:AJ112">
    <cfRule dxfId="193" operator="notEqual" priority="187" type="cellIs">
      <formula>#REF!</formula>
    </cfRule>
  </conditionalFormatting>
  <conditionalFormatting sqref="AF113:AJ116">
    <cfRule dxfId="192" operator="notEqual" priority="186" type="cellIs">
      <formula>#REF!</formula>
    </cfRule>
  </conditionalFormatting>
  <conditionalFormatting sqref="AF117:AJ120">
    <cfRule dxfId="191" operator="notEqual" priority="185" type="cellIs">
      <formula>#REF!</formula>
    </cfRule>
  </conditionalFormatting>
  <conditionalFormatting sqref="AF121:AJ124">
    <cfRule dxfId="190" operator="notEqual" priority="184" type="cellIs">
      <formula>#REF!</formula>
    </cfRule>
  </conditionalFormatting>
  <conditionalFormatting sqref="AF125:AJ128">
    <cfRule dxfId="189" operator="notEqual" priority="183" type="cellIs">
      <formula>#REF!</formula>
    </cfRule>
  </conditionalFormatting>
  <conditionalFormatting sqref="AF129:AJ132">
    <cfRule dxfId="188" operator="notEqual" priority="182" type="cellIs">
      <formula>#REF!</formula>
    </cfRule>
  </conditionalFormatting>
  <conditionalFormatting sqref="AF133:AJ136">
    <cfRule dxfId="187" operator="notEqual" priority="181" type="cellIs">
      <formula>#REF!</formula>
    </cfRule>
  </conditionalFormatting>
  <conditionalFormatting sqref="AF137:AJ140">
    <cfRule dxfId="186" operator="notEqual" priority="180" type="cellIs">
      <formula>#REF!</formula>
    </cfRule>
  </conditionalFormatting>
  <conditionalFormatting sqref="AF141:AJ144">
    <cfRule dxfId="185" operator="notEqual" priority="179" type="cellIs">
      <formula>#REF!</formula>
    </cfRule>
  </conditionalFormatting>
  <conditionalFormatting sqref="AF145:AJ148">
    <cfRule dxfId="184" operator="notEqual" priority="178" type="cellIs">
      <formula>#REF!</formula>
    </cfRule>
  </conditionalFormatting>
  <conditionalFormatting sqref="AF149:AJ152">
    <cfRule dxfId="183" operator="notEqual" priority="177" type="cellIs">
      <formula>#REF!</formula>
    </cfRule>
  </conditionalFormatting>
  <conditionalFormatting sqref="AF153:AJ156">
    <cfRule dxfId="182" operator="notEqual" priority="176" type="cellIs">
      <formula>#REF!</formula>
    </cfRule>
  </conditionalFormatting>
  <conditionalFormatting sqref="AF157:AJ160">
    <cfRule dxfId="181" operator="notEqual" priority="175" type="cellIs">
      <formula>#REF!</formula>
    </cfRule>
  </conditionalFormatting>
  <conditionalFormatting sqref="AF161:AJ164">
    <cfRule dxfId="180" operator="notEqual" priority="174" type="cellIs">
      <formula>#REF!</formula>
    </cfRule>
  </conditionalFormatting>
  <conditionalFormatting sqref="AF165:AJ168">
    <cfRule dxfId="179" operator="notEqual" priority="173" type="cellIs">
      <formula>#REF!</formula>
    </cfRule>
  </conditionalFormatting>
  <conditionalFormatting sqref="AF169:AJ172">
    <cfRule dxfId="178" operator="notEqual" priority="172" type="cellIs">
      <formula>#REF!</formula>
    </cfRule>
  </conditionalFormatting>
  <conditionalFormatting sqref="AF173:AJ176">
    <cfRule dxfId="177" operator="notEqual" priority="171" type="cellIs">
      <formula>#REF!</formula>
    </cfRule>
  </conditionalFormatting>
  <conditionalFormatting sqref="AF177:AJ180">
    <cfRule dxfId="176" operator="notEqual" priority="170" type="cellIs">
      <formula>#REF!</formula>
    </cfRule>
  </conditionalFormatting>
  <conditionalFormatting sqref="AF181:AJ184">
    <cfRule dxfId="175" operator="notEqual" priority="169" type="cellIs">
      <formula>#REF!</formula>
    </cfRule>
  </conditionalFormatting>
  <conditionalFormatting sqref="AF185:AJ188">
    <cfRule dxfId="174" operator="notEqual" priority="168" type="cellIs">
      <formula>#REF!</formula>
    </cfRule>
  </conditionalFormatting>
  <conditionalFormatting sqref="AF189:AJ192">
    <cfRule dxfId="173" operator="notEqual" priority="167" type="cellIs">
      <formula>#REF!</formula>
    </cfRule>
  </conditionalFormatting>
  <conditionalFormatting sqref="AF193:AJ196">
    <cfRule dxfId="172" operator="notEqual" priority="166" type="cellIs">
      <formula>#REF!</formula>
    </cfRule>
  </conditionalFormatting>
  <conditionalFormatting sqref="AF197:AJ200">
    <cfRule dxfId="171" operator="notEqual" priority="165" type="cellIs">
      <formula>#REF!</formula>
    </cfRule>
  </conditionalFormatting>
  <conditionalFormatting sqref="AF201:AJ204">
    <cfRule dxfId="170" operator="notEqual" priority="164" type="cellIs">
      <formula>#REF!</formula>
    </cfRule>
  </conditionalFormatting>
  <conditionalFormatting sqref="AF205:AJ208">
    <cfRule dxfId="169" operator="notEqual" priority="163" type="cellIs">
      <formula>#REF!</formula>
    </cfRule>
  </conditionalFormatting>
  <conditionalFormatting sqref="AF209:AJ212">
    <cfRule dxfId="168" operator="notEqual" priority="162" type="cellIs">
      <formula>#REF!</formula>
    </cfRule>
  </conditionalFormatting>
  <conditionalFormatting sqref="AF213:AJ216">
    <cfRule dxfId="167" operator="notEqual" priority="161" type="cellIs">
      <formula>#REF!</formula>
    </cfRule>
  </conditionalFormatting>
  <conditionalFormatting sqref="AF217:AJ220">
    <cfRule dxfId="166" operator="notEqual" priority="160" type="cellIs">
      <formula>#REF!</formula>
    </cfRule>
  </conditionalFormatting>
  <conditionalFormatting sqref="AF221:AJ224">
    <cfRule dxfId="165" operator="notEqual" priority="159" type="cellIs">
      <formula>#REF!</formula>
    </cfRule>
  </conditionalFormatting>
  <conditionalFormatting sqref="AF225:AJ228">
    <cfRule dxfId="164" operator="notEqual" priority="158" type="cellIs">
      <formula>#REF!</formula>
    </cfRule>
  </conditionalFormatting>
  <conditionalFormatting sqref="AF229:AJ232">
    <cfRule dxfId="163" operator="notEqual" priority="157" type="cellIs">
      <formula>#REF!</formula>
    </cfRule>
  </conditionalFormatting>
  <conditionalFormatting sqref="AF233:AJ236">
    <cfRule dxfId="162" operator="notEqual" priority="156" type="cellIs">
      <formula>#REF!</formula>
    </cfRule>
  </conditionalFormatting>
  <conditionalFormatting sqref="AF237:AJ240">
    <cfRule dxfId="161" operator="notEqual" priority="155" type="cellIs">
      <formula>#REF!</formula>
    </cfRule>
  </conditionalFormatting>
  <conditionalFormatting sqref="AF241:AJ244">
    <cfRule dxfId="160" operator="notEqual" priority="154" type="cellIs">
      <formula>#REF!</formula>
    </cfRule>
  </conditionalFormatting>
  <conditionalFormatting sqref="AF245:AJ248">
    <cfRule dxfId="159" operator="notEqual" priority="153" type="cellIs">
      <formula>#REF!</formula>
    </cfRule>
  </conditionalFormatting>
  <conditionalFormatting sqref="AF249:AJ252">
    <cfRule dxfId="158" operator="notEqual" priority="152" type="cellIs">
      <formula>#REF!</formula>
    </cfRule>
  </conditionalFormatting>
  <conditionalFormatting sqref="AF253:AJ256">
    <cfRule dxfId="157" operator="notEqual" priority="151" type="cellIs">
      <formula>#REF!</formula>
    </cfRule>
  </conditionalFormatting>
  <conditionalFormatting sqref="AF257:AJ260">
    <cfRule dxfId="156" operator="notEqual" priority="150" type="cellIs">
      <formula>#REF!</formula>
    </cfRule>
  </conditionalFormatting>
  <conditionalFormatting sqref="AF261:AJ264">
    <cfRule dxfId="155" operator="notEqual" priority="149" type="cellIs">
      <formula>#REF!</formula>
    </cfRule>
  </conditionalFormatting>
  <conditionalFormatting sqref="AF265:AJ268">
    <cfRule dxfId="154" operator="notEqual" priority="148" type="cellIs">
      <formula>#REF!</formula>
    </cfRule>
  </conditionalFormatting>
  <conditionalFormatting sqref="AF269:AJ272">
    <cfRule dxfId="153" operator="notEqual" priority="147" type="cellIs">
      <formula>#REF!</formula>
    </cfRule>
  </conditionalFormatting>
  <conditionalFormatting sqref="AF273:AJ276">
    <cfRule dxfId="152" operator="notEqual" priority="146" type="cellIs">
      <formula>#REF!</formula>
    </cfRule>
  </conditionalFormatting>
  <conditionalFormatting sqref="AF277:AJ280">
    <cfRule dxfId="151" operator="notEqual" priority="145" type="cellIs">
      <formula>#REF!</formula>
    </cfRule>
  </conditionalFormatting>
  <conditionalFormatting sqref="AF281:AJ284">
    <cfRule dxfId="150" operator="notEqual" priority="144" type="cellIs">
      <formula>#REF!</formula>
    </cfRule>
  </conditionalFormatting>
  <conditionalFormatting sqref="AF285:AJ288">
    <cfRule dxfId="149" operator="notEqual" priority="143" type="cellIs">
      <formula>#REF!</formula>
    </cfRule>
  </conditionalFormatting>
  <conditionalFormatting sqref="AF289:AJ292">
    <cfRule dxfId="148" operator="notEqual" priority="142" type="cellIs">
      <formula>#REF!</formula>
    </cfRule>
  </conditionalFormatting>
  <conditionalFormatting sqref="AF293:AJ296">
    <cfRule dxfId="147" operator="notEqual" priority="141" type="cellIs">
      <formula>#REF!</formula>
    </cfRule>
  </conditionalFormatting>
  <conditionalFormatting sqref="AF297:AJ300">
    <cfRule dxfId="146" operator="notEqual" priority="140" type="cellIs">
      <formula>#REF!</formula>
    </cfRule>
  </conditionalFormatting>
  <conditionalFormatting sqref="AF301:AJ304">
    <cfRule dxfId="145" operator="notEqual" priority="139" type="cellIs">
      <formula>#REF!</formula>
    </cfRule>
  </conditionalFormatting>
  <conditionalFormatting sqref="AF305:AJ308">
    <cfRule dxfId="144" operator="notEqual" priority="138" type="cellIs">
      <formula>#REF!</formula>
    </cfRule>
  </conditionalFormatting>
  <conditionalFormatting sqref="AF309:AJ312">
    <cfRule dxfId="143" operator="notEqual" priority="137" type="cellIs">
      <formula>#REF!</formula>
    </cfRule>
  </conditionalFormatting>
  <conditionalFormatting sqref="AF313:AJ316">
    <cfRule dxfId="142" operator="notEqual" priority="136" type="cellIs">
      <formula>#REF!</formula>
    </cfRule>
  </conditionalFormatting>
  <conditionalFormatting sqref="AF317:AJ320">
    <cfRule dxfId="141" operator="notEqual" priority="135" type="cellIs">
      <formula>#REF!</formula>
    </cfRule>
  </conditionalFormatting>
  <conditionalFormatting sqref="AF321:AJ324">
    <cfRule dxfId="140" operator="notEqual" priority="134" type="cellIs">
      <formula>#REF!</formula>
    </cfRule>
  </conditionalFormatting>
  <conditionalFormatting sqref="AF325:AJ328">
    <cfRule dxfId="139" operator="notEqual" priority="133" type="cellIs">
      <formula>#REF!</formula>
    </cfRule>
  </conditionalFormatting>
  <conditionalFormatting sqref="AF329:AJ332">
    <cfRule dxfId="138" operator="notEqual" priority="132" type="cellIs">
      <formula>#REF!</formula>
    </cfRule>
  </conditionalFormatting>
  <conditionalFormatting sqref="AF333:AJ336">
    <cfRule dxfId="137" operator="notEqual" priority="131" type="cellIs">
      <formula>#REF!</formula>
    </cfRule>
  </conditionalFormatting>
  <conditionalFormatting sqref="AF337:AJ340">
    <cfRule dxfId="136" operator="notEqual" priority="130" type="cellIs">
      <formula>#REF!</formula>
    </cfRule>
  </conditionalFormatting>
  <conditionalFormatting sqref="AF341:AJ344">
    <cfRule dxfId="135" operator="notEqual" priority="129" type="cellIs">
      <formula>#REF!</formula>
    </cfRule>
  </conditionalFormatting>
  <conditionalFormatting sqref="AF345:AJ348">
    <cfRule dxfId="134" operator="notEqual" priority="128" type="cellIs">
      <formula>#REF!</formula>
    </cfRule>
  </conditionalFormatting>
  <conditionalFormatting sqref="AF349:AJ352">
    <cfRule dxfId="133" operator="notEqual" priority="127" type="cellIs">
      <formula>#REF!</formula>
    </cfRule>
  </conditionalFormatting>
  <conditionalFormatting sqref="AF353:AJ356">
    <cfRule dxfId="132" operator="notEqual" priority="126" type="cellIs">
      <formula>#REF!</formula>
    </cfRule>
  </conditionalFormatting>
  <conditionalFormatting sqref="AF357:AJ360">
    <cfRule dxfId="131" operator="notEqual" priority="125" type="cellIs">
      <formula>#REF!</formula>
    </cfRule>
  </conditionalFormatting>
  <conditionalFormatting sqref="AF361:AJ364">
    <cfRule dxfId="130" operator="notEqual" priority="124" type="cellIs">
      <formula>#REF!</formula>
    </cfRule>
  </conditionalFormatting>
  <conditionalFormatting sqref="AF365:AJ368">
    <cfRule dxfId="129" operator="notEqual" priority="123" type="cellIs">
      <formula>#REF!</formula>
    </cfRule>
  </conditionalFormatting>
  <conditionalFormatting sqref="AF369:AJ372">
    <cfRule dxfId="128" operator="notEqual" priority="122" type="cellIs">
      <formula>#REF!</formula>
    </cfRule>
  </conditionalFormatting>
  <conditionalFormatting sqref="AF373:AJ376">
    <cfRule dxfId="127" operator="notEqual" priority="121" type="cellIs">
      <formula>#REF!</formula>
    </cfRule>
  </conditionalFormatting>
  <conditionalFormatting sqref="AF377:AJ380">
    <cfRule dxfId="126" operator="notEqual" priority="120" type="cellIs">
      <formula>#REF!</formula>
    </cfRule>
  </conditionalFormatting>
  <conditionalFormatting sqref="AF381:AJ384">
    <cfRule dxfId="125" operator="notEqual" priority="119" type="cellIs">
      <formula>#REF!</formula>
    </cfRule>
  </conditionalFormatting>
  <conditionalFormatting sqref="AF385:AJ388">
    <cfRule dxfId="124" operator="notEqual" priority="118" type="cellIs">
      <formula>#REF!</formula>
    </cfRule>
  </conditionalFormatting>
  <conditionalFormatting sqref="AF389:AJ392">
    <cfRule dxfId="123" operator="notEqual" priority="117" type="cellIs">
      <formula>#REF!</formula>
    </cfRule>
  </conditionalFormatting>
  <conditionalFormatting sqref="AF393:AJ396">
    <cfRule dxfId="122" operator="notEqual" priority="116" type="cellIs">
      <formula>#REF!</formula>
    </cfRule>
  </conditionalFormatting>
  <conditionalFormatting sqref="AF397:AJ400">
    <cfRule dxfId="121" operator="notEqual" priority="115" type="cellIs">
      <formula>#REF!</formula>
    </cfRule>
  </conditionalFormatting>
  <conditionalFormatting sqref="AF401:AJ404">
    <cfRule dxfId="120" operator="notEqual" priority="114" type="cellIs">
      <formula>#REF!</formula>
    </cfRule>
  </conditionalFormatting>
  <conditionalFormatting sqref="AF405:AJ408">
    <cfRule dxfId="119" operator="notEqual" priority="113" type="cellIs">
      <formula>#REF!</formula>
    </cfRule>
  </conditionalFormatting>
  <conditionalFormatting sqref="AF409:AJ412">
    <cfRule dxfId="118" operator="notEqual" priority="112" type="cellIs">
      <formula>#REF!</formula>
    </cfRule>
  </conditionalFormatting>
  <conditionalFormatting sqref="AF413:AJ416">
    <cfRule dxfId="117" operator="notEqual" priority="111" type="cellIs">
      <formula>#REF!</formula>
    </cfRule>
  </conditionalFormatting>
  <conditionalFormatting sqref="AF417:AJ420">
    <cfRule dxfId="116" operator="notEqual" priority="110" type="cellIs">
      <formula>#REF!</formula>
    </cfRule>
  </conditionalFormatting>
  <conditionalFormatting sqref="AF421:AJ424">
    <cfRule dxfId="115" operator="notEqual" priority="109" type="cellIs">
      <formula>#REF!</formula>
    </cfRule>
  </conditionalFormatting>
  <conditionalFormatting sqref="AF425:AJ428">
    <cfRule dxfId="114" operator="notEqual" priority="108" type="cellIs">
      <formula>#REF!</formula>
    </cfRule>
  </conditionalFormatting>
  <conditionalFormatting sqref="AF429:AJ432">
    <cfRule dxfId="113" operator="notEqual" priority="107" type="cellIs">
      <formula>#REF!</formula>
    </cfRule>
  </conditionalFormatting>
  <conditionalFormatting sqref="AF433:AJ436">
    <cfRule dxfId="112" operator="notEqual" priority="106" type="cellIs">
      <formula>#REF!</formula>
    </cfRule>
  </conditionalFormatting>
  <conditionalFormatting sqref="AF437:AJ440">
    <cfRule dxfId="111" operator="notEqual" priority="105" type="cellIs">
      <formula>#REF!</formula>
    </cfRule>
  </conditionalFormatting>
  <conditionalFormatting sqref="AF441:AJ444">
    <cfRule dxfId="110" operator="notEqual" priority="104" type="cellIs">
      <formula>#REF!</formula>
    </cfRule>
  </conditionalFormatting>
  <conditionalFormatting sqref="AF445:AJ448">
    <cfRule dxfId="109" operator="notEqual" priority="103" type="cellIs">
      <formula>#REF!</formula>
    </cfRule>
  </conditionalFormatting>
  <conditionalFormatting sqref="AF449:AJ452">
    <cfRule dxfId="108" operator="notEqual" priority="102" type="cellIs">
      <formula>#REF!</formula>
    </cfRule>
  </conditionalFormatting>
  <conditionalFormatting sqref="AF453:AJ456">
    <cfRule dxfId="107" operator="notEqual" priority="101" type="cellIs">
      <formula>#REF!</formula>
    </cfRule>
  </conditionalFormatting>
  <conditionalFormatting sqref="AF457:AJ460">
    <cfRule dxfId="106" operator="notEqual" priority="100" type="cellIs">
      <formula>#REF!</formula>
    </cfRule>
  </conditionalFormatting>
  <conditionalFormatting sqref="AF461:AJ464">
    <cfRule dxfId="105" operator="notEqual" priority="99" type="cellIs">
      <formula>#REF!</formula>
    </cfRule>
  </conditionalFormatting>
  <conditionalFormatting sqref="AF465:AJ468">
    <cfRule dxfId="104" operator="notEqual" priority="98" type="cellIs">
      <formula>#REF!</formula>
    </cfRule>
  </conditionalFormatting>
  <conditionalFormatting sqref="AF469:AJ472">
    <cfRule dxfId="103" operator="notEqual" priority="97" type="cellIs">
      <formula>#REF!</formula>
    </cfRule>
  </conditionalFormatting>
  <conditionalFormatting sqref="AF473:AJ476">
    <cfRule dxfId="102" operator="notEqual" priority="96" type="cellIs">
      <formula>#REF!</formula>
    </cfRule>
  </conditionalFormatting>
  <conditionalFormatting sqref="AF477:AJ480">
    <cfRule dxfId="101" operator="notEqual" priority="95" type="cellIs">
      <formula>#REF!</formula>
    </cfRule>
  </conditionalFormatting>
  <conditionalFormatting sqref="AF481:AJ484">
    <cfRule dxfId="100" operator="notEqual" priority="94" type="cellIs">
      <formula>#REF!</formula>
    </cfRule>
  </conditionalFormatting>
  <conditionalFormatting sqref="AF485:AJ488">
    <cfRule dxfId="99" operator="notEqual" priority="93" type="cellIs">
      <formula>#REF!</formula>
    </cfRule>
  </conditionalFormatting>
  <conditionalFormatting sqref="AF489:AJ492">
    <cfRule dxfId="98" operator="notEqual" priority="92" type="cellIs">
      <formula>#REF!</formula>
    </cfRule>
  </conditionalFormatting>
  <conditionalFormatting sqref="AF493:AJ496">
    <cfRule dxfId="97" operator="notEqual" priority="91" type="cellIs">
      <formula>#REF!</formula>
    </cfRule>
  </conditionalFormatting>
  <conditionalFormatting sqref="AF497:AJ500">
    <cfRule dxfId="96" operator="notEqual" priority="90" type="cellIs">
      <formula>#REF!</formula>
    </cfRule>
  </conditionalFormatting>
  <conditionalFormatting sqref="AF501:AJ504">
    <cfRule dxfId="95" operator="notEqual" priority="89" type="cellIs">
      <formula>#REF!</formula>
    </cfRule>
  </conditionalFormatting>
  <conditionalFormatting sqref="AF505:AJ508">
    <cfRule dxfId="94" operator="notEqual" priority="88" type="cellIs">
      <formula>#REF!</formula>
    </cfRule>
  </conditionalFormatting>
  <conditionalFormatting sqref="AF509:AJ512">
    <cfRule dxfId="93" operator="notEqual" priority="87" type="cellIs">
      <formula>#REF!</formula>
    </cfRule>
  </conditionalFormatting>
  <conditionalFormatting sqref="AF513:AJ516">
    <cfRule dxfId="92" operator="notEqual" priority="86" type="cellIs">
      <formula>#REF!</formula>
    </cfRule>
  </conditionalFormatting>
  <conditionalFormatting sqref="AF517:AJ520">
    <cfRule dxfId="91" operator="notEqual" priority="85" type="cellIs">
      <formula>#REF!</formula>
    </cfRule>
  </conditionalFormatting>
  <conditionalFormatting sqref="AF521:AJ524">
    <cfRule dxfId="90" operator="notEqual" priority="84" type="cellIs">
      <formula>#REF!</formula>
    </cfRule>
  </conditionalFormatting>
  <conditionalFormatting sqref="AF525:AJ528">
    <cfRule dxfId="89" operator="notEqual" priority="83" type="cellIs">
      <formula>#REF!</formula>
    </cfRule>
  </conditionalFormatting>
  <conditionalFormatting sqref="AF529:AJ532">
    <cfRule dxfId="88" operator="notEqual" priority="82" type="cellIs">
      <formula>#REF!</formula>
    </cfRule>
  </conditionalFormatting>
  <conditionalFormatting sqref="AF533:AJ536">
    <cfRule dxfId="87" operator="notEqual" priority="81" type="cellIs">
      <formula>#REF!</formula>
    </cfRule>
  </conditionalFormatting>
  <conditionalFormatting sqref="AF537:AJ540">
    <cfRule dxfId="86" operator="notEqual" priority="80" type="cellIs">
      <formula>#REF!</formula>
    </cfRule>
  </conditionalFormatting>
  <conditionalFormatting sqref="AF541:AJ544">
    <cfRule dxfId="85" operator="notEqual" priority="79" type="cellIs">
      <formula>#REF!</formula>
    </cfRule>
  </conditionalFormatting>
  <conditionalFormatting sqref="AF545:AJ548">
    <cfRule dxfId="84" operator="notEqual" priority="78" type="cellIs">
      <formula>#REF!</formula>
    </cfRule>
  </conditionalFormatting>
  <conditionalFormatting sqref="AF549:AJ552">
    <cfRule dxfId="83" operator="notEqual" priority="77" type="cellIs">
      <formula>#REF!</formula>
    </cfRule>
  </conditionalFormatting>
  <conditionalFormatting sqref="AF553:AJ556">
    <cfRule dxfId="82" operator="notEqual" priority="76" type="cellIs">
      <formula>#REF!</formula>
    </cfRule>
  </conditionalFormatting>
  <conditionalFormatting sqref="AF557:AJ560">
    <cfRule dxfId="81" operator="notEqual" priority="75" type="cellIs">
      <formula>#REF!</formula>
    </cfRule>
  </conditionalFormatting>
  <conditionalFormatting sqref="AF561:AJ564">
    <cfRule dxfId="80" operator="notEqual" priority="74" type="cellIs">
      <formula>#REF!</formula>
    </cfRule>
  </conditionalFormatting>
  <conditionalFormatting sqref="AF565:AJ568">
    <cfRule dxfId="79" operator="notEqual" priority="73" type="cellIs">
      <formula>#REF!</formula>
    </cfRule>
  </conditionalFormatting>
  <conditionalFormatting sqref="AF569:AJ572">
    <cfRule dxfId="78" operator="notEqual" priority="72" type="cellIs">
      <formula>#REF!</formula>
    </cfRule>
  </conditionalFormatting>
  <conditionalFormatting sqref="AF573:AJ576">
    <cfRule dxfId="77" operator="notEqual" priority="71" type="cellIs">
      <formula>#REF!</formula>
    </cfRule>
  </conditionalFormatting>
  <conditionalFormatting sqref="AF577:AJ580">
    <cfRule dxfId="76" operator="notEqual" priority="70" type="cellIs">
      <formula>#REF!</formula>
    </cfRule>
  </conditionalFormatting>
  <conditionalFormatting sqref="AF581:AJ584">
    <cfRule dxfId="75" operator="notEqual" priority="69" type="cellIs">
      <formula>#REF!</formula>
    </cfRule>
  </conditionalFormatting>
  <conditionalFormatting sqref="AF585:AJ588">
    <cfRule dxfId="74" operator="notEqual" priority="68" type="cellIs">
      <formula>#REF!</formula>
    </cfRule>
  </conditionalFormatting>
  <conditionalFormatting sqref="AF589:AJ592">
    <cfRule dxfId="73" operator="notEqual" priority="67" type="cellIs">
      <formula>#REF!</formula>
    </cfRule>
  </conditionalFormatting>
  <conditionalFormatting sqref="AF593:AJ596">
    <cfRule dxfId="72" operator="notEqual" priority="66" type="cellIs">
      <formula>#REF!</formula>
    </cfRule>
  </conditionalFormatting>
  <conditionalFormatting sqref="AF597:AJ600">
    <cfRule dxfId="71" operator="notEqual" priority="65" type="cellIs">
      <formula>#REF!</formula>
    </cfRule>
  </conditionalFormatting>
  <conditionalFormatting sqref="AF601:AJ604">
    <cfRule dxfId="70" operator="notEqual" priority="64" type="cellIs">
      <formula>#REF!</formula>
    </cfRule>
  </conditionalFormatting>
  <conditionalFormatting sqref="AF605:AJ608">
    <cfRule dxfId="69" operator="notEqual" priority="63" type="cellIs">
      <formula>#REF!</formula>
    </cfRule>
  </conditionalFormatting>
  <conditionalFormatting sqref="AF609:AJ612">
    <cfRule dxfId="68" operator="notEqual" priority="62" type="cellIs">
      <formula>#REF!</formula>
    </cfRule>
  </conditionalFormatting>
  <conditionalFormatting sqref="AF613:AJ616">
    <cfRule dxfId="67" operator="notEqual" priority="61" type="cellIs">
      <formula>#REF!</formula>
    </cfRule>
  </conditionalFormatting>
  <conditionalFormatting sqref="AF617:AJ620">
    <cfRule dxfId="66" operator="notEqual" priority="60" type="cellIs">
      <formula>#REF!</formula>
    </cfRule>
  </conditionalFormatting>
  <conditionalFormatting sqref="AF621:AJ624">
    <cfRule dxfId="65" operator="notEqual" priority="59" type="cellIs">
      <formula>#REF!</formula>
    </cfRule>
  </conditionalFormatting>
  <conditionalFormatting sqref="AF625:AJ628">
    <cfRule dxfId="64" operator="notEqual" priority="58" type="cellIs">
      <formula>#REF!</formula>
    </cfRule>
  </conditionalFormatting>
  <conditionalFormatting sqref="AF629:AJ632">
    <cfRule dxfId="63" operator="notEqual" priority="57" type="cellIs">
      <formula>#REF!</formula>
    </cfRule>
  </conditionalFormatting>
  <conditionalFormatting sqref="AF633:AJ636">
    <cfRule dxfId="62" operator="notEqual" priority="56" type="cellIs">
      <formula>#REF!</formula>
    </cfRule>
  </conditionalFormatting>
  <conditionalFormatting sqref="AF637:AJ640">
    <cfRule dxfId="61" operator="notEqual" priority="55" type="cellIs">
      <formula>#REF!</formula>
    </cfRule>
  </conditionalFormatting>
  <conditionalFormatting sqref="AF641:AJ644">
    <cfRule dxfId="60" operator="notEqual" priority="54" type="cellIs">
      <formula>#REF!</formula>
    </cfRule>
  </conditionalFormatting>
  <conditionalFormatting sqref="AF645:AJ648">
    <cfRule dxfId="59" operator="notEqual" priority="53" type="cellIs">
      <formula>#REF!</formula>
    </cfRule>
  </conditionalFormatting>
  <conditionalFormatting sqref="AF649:AJ652">
    <cfRule dxfId="58" operator="notEqual" priority="52" type="cellIs">
      <formula>#REF!</formula>
    </cfRule>
  </conditionalFormatting>
  <conditionalFormatting sqref="AF653:AJ656">
    <cfRule dxfId="57" operator="notEqual" priority="51" type="cellIs">
      <formula>#REF!</formula>
    </cfRule>
  </conditionalFormatting>
  <conditionalFormatting sqref="AF657:AJ660">
    <cfRule dxfId="56" operator="notEqual" priority="50" type="cellIs">
      <formula>#REF!</formula>
    </cfRule>
  </conditionalFormatting>
  <conditionalFormatting sqref="AF661:AJ664">
    <cfRule dxfId="55" operator="notEqual" priority="49" type="cellIs">
      <formula>#REF!</formula>
    </cfRule>
  </conditionalFormatting>
  <conditionalFormatting sqref="AF665:AJ668">
    <cfRule dxfId="54" operator="notEqual" priority="48" type="cellIs">
      <formula>#REF!</formula>
    </cfRule>
  </conditionalFormatting>
  <conditionalFormatting sqref="AF669:AJ672">
    <cfRule dxfId="53" operator="notEqual" priority="47" type="cellIs">
      <formula>#REF!</formula>
    </cfRule>
  </conditionalFormatting>
  <conditionalFormatting sqref="AF673:AJ676">
    <cfRule dxfId="52" operator="notEqual" priority="46" type="cellIs">
      <formula>#REF!</formula>
    </cfRule>
  </conditionalFormatting>
  <conditionalFormatting sqref="AF677:AJ680">
    <cfRule dxfId="51" operator="notEqual" priority="45" type="cellIs">
      <formula>#REF!</formula>
    </cfRule>
  </conditionalFormatting>
  <conditionalFormatting sqref="AF681:AJ684">
    <cfRule dxfId="50" operator="notEqual" priority="44" type="cellIs">
      <formula>#REF!</formula>
    </cfRule>
  </conditionalFormatting>
  <conditionalFormatting sqref="AF685:AJ688">
    <cfRule dxfId="49" operator="notEqual" priority="43" type="cellIs">
      <formula>#REF!</formula>
    </cfRule>
  </conditionalFormatting>
  <conditionalFormatting sqref="AF689:AJ692">
    <cfRule dxfId="48" operator="notEqual" priority="42" type="cellIs">
      <formula>#REF!</formula>
    </cfRule>
  </conditionalFormatting>
  <conditionalFormatting sqref="AF693:AJ696">
    <cfRule dxfId="47" operator="notEqual" priority="41" type="cellIs">
      <formula>#REF!</formula>
    </cfRule>
  </conditionalFormatting>
  <conditionalFormatting sqref="AF697:AJ700">
    <cfRule dxfId="46" operator="notEqual" priority="40" type="cellIs">
      <formula>#REF!</formula>
    </cfRule>
  </conditionalFormatting>
  <conditionalFormatting sqref="AF701:AJ704">
    <cfRule dxfId="45" operator="notEqual" priority="39" type="cellIs">
      <formula>#REF!</formula>
    </cfRule>
  </conditionalFormatting>
  <conditionalFormatting sqref="AF705:AJ708">
    <cfRule dxfId="44" operator="notEqual" priority="38" type="cellIs">
      <formula>#REF!</formula>
    </cfRule>
  </conditionalFormatting>
  <conditionalFormatting sqref="AF709:AJ712">
    <cfRule dxfId="43" operator="notEqual" priority="37" type="cellIs">
      <formula>#REF!</formula>
    </cfRule>
  </conditionalFormatting>
  <conditionalFormatting sqref="AF713:AJ716">
    <cfRule dxfId="42" operator="notEqual" priority="36" type="cellIs">
      <formula>#REF!</formula>
    </cfRule>
  </conditionalFormatting>
  <conditionalFormatting sqref="AF717:AJ720">
    <cfRule dxfId="41" operator="notEqual" priority="35" type="cellIs">
      <formula>#REF!</formula>
    </cfRule>
  </conditionalFormatting>
  <conditionalFormatting sqref="AF721:AJ724">
    <cfRule dxfId="40" operator="notEqual" priority="34" type="cellIs">
      <formula>#REF!</formula>
    </cfRule>
  </conditionalFormatting>
  <conditionalFormatting sqref="AF725:AJ728">
    <cfRule dxfId="39" operator="notEqual" priority="33" type="cellIs">
      <formula>#REF!</formula>
    </cfRule>
  </conditionalFormatting>
  <conditionalFormatting sqref="AF729:AJ732">
    <cfRule dxfId="38" operator="notEqual" priority="32" type="cellIs">
      <formula>#REF!</formula>
    </cfRule>
  </conditionalFormatting>
  <conditionalFormatting sqref="AF733:AJ736">
    <cfRule dxfId="37" operator="notEqual" priority="31" type="cellIs">
      <formula>#REF!</formula>
    </cfRule>
  </conditionalFormatting>
  <conditionalFormatting sqref="AF737:AJ740">
    <cfRule dxfId="36" operator="notEqual" priority="30" type="cellIs">
      <formula>#REF!</formula>
    </cfRule>
  </conditionalFormatting>
  <conditionalFormatting sqref="AF741:AJ744">
    <cfRule dxfId="35" operator="notEqual" priority="29" type="cellIs">
      <formula>#REF!</formula>
    </cfRule>
  </conditionalFormatting>
  <conditionalFormatting sqref="AF745:AJ748">
    <cfRule dxfId="34" operator="notEqual" priority="28" type="cellIs">
      <formula>#REF!</formula>
    </cfRule>
  </conditionalFormatting>
  <conditionalFormatting sqref="AF749:AJ752">
    <cfRule dxfId="33" operator="notEqual" priority="27" type="cellIs">
      <formula>#REF!</formula>
    </cfRule>
  </conditionalFormatting>
  <conditionalFormatting sqref="AF753:AJ756">
    <cfRule dxfId="32" operator="notEqual" priority="26" type="cellIs">
      <formula>#REF!</formula>
    </cfRule>
  </conditionalFormatting>
  <conditionalFormatting sqref="AF757:AJ760">
    <cfRule dxfId="31" operator="notEqual" priority="25" type="cellIs">
      <formula>#REF!</formula>
    </cfRule>
  </conditionalFormatting>
  <conditionalFormatting sqref="AF761:AJ764">
    <cfRule dxfId="30" operator="notEqual" priority="24" type="cellIs">
      <formula>#REF!</formula>
    </cfRule>
  </conditionalFormatting>
  <conditionalFormatting sqref="AF765:AJ768">
    <cfRule dxfId="29" operator="notEqual" priority="23" type="cellIs">
      <formula>#REF!</formula>
    </cfRule>
  </conditionalFormatting>
  <conditionalFormatting sqref="AF769:AJ772">
    <cfRule dxfId="28" operator="notEqual" priority="22" type="cellIs">
      <formula>#REF!</formula>
    </cfRule>
  </conditionalFormatting>
  <conditionalFormatting sqref="AF773:AJ776">
    <cfRule dxfId="27" operator="notEqual" priority="21" type="cellIs">
      <formula>#REF!</formula>
    </cfRule>
  </conditionalFormatting>
  <conditionalFormatting sqref="AF777:AJ780">
    <cfRule dxfId="26" operator="notEqual" priority="20" type="cellIs">
      <formula>#REF!</formula>
    </cfRule>
  </conditionalFormatting>
  <conditionalFormatting sqref="AF781:AJ784">
    <cfRule dxfId="25" operator="notEqual" priority="19" type="cellIs">
      <formula>#REF!</formula>
    </cfRule>
  </conditionalFormatting>
  <conditionalFormatting sqref="AF785:AJ788">
    <cfRule dxfId="24" operator="notEqual" priority="18" type="cellIs">
      <formula>#REF!</formula>
    </cfRule>
  </conditionalFormatting>
  <conditionalFormatting sqref="AF789:AJ792">
    <cfRule dxfId="23" operator="notEqual" priority="17" type="cellIs">
      <formula>#REF!</formula>
    </cfRule>
  </conditionalFormatting>
  <conditionalFormatting sqref="AF793:AJ796">
    <cfRule dxfId="22" operator="notEqual" priority="16" type="cellIs">
      <formula>#REF!</formula>
    </cfRule>
  </conditionalFormatting>
  <conditionalFormatting sqref="AF797:AJ800">
    <cfRule dxfId="21" operator="notEqual" priority="15" type="cellIs">
      <formula>#REF!</formula>
    </cfRule>
  </conditionalFormatting>
  <conditionalFormatting sqref="AF801:AJ804">
    <cfRule dxfId="20" operator="notEqual" priority="14" type="cellIs">
      <formula>#REF!</formula>
    </cfRule>
  </conditionalFormatting>
  <conditionalFormatting sqref="AF805:AJ808">
    <cfRule dxfId="19" operator="notEqual" priority="13" type="cellIs">
      <formula>#REF!</formula>
    </cfRule>
  </conditionalFormatting>
  <conditionalFormatting sqref="AF809:AJ812">
    <cfRule dxfId="18" operator="notEqual" priority="12" type="cellIs">
      <formula>#REF!</formula>
    </cfRule>
  </conditionalFormatting>
  <conditionalFormatting sqref="AF813:AJ816">
    <cfRule dxfId="17" operator="notEqual" priority="11" type="cellIs">
      <formula>#REF!</formula>
    </cfRule>
  </conditionalFormatting>
  <conditionalFormatting sqref="AF817:AJ820">
    <cfRule dxfId="16" operator="notEqual" priority="10" type="cellIs">
      <formula>#REF!</formula>
    </cfRule>
  </conditionalFormatting>
  <conditionalFormatting sqref="AF821:AJ824">
    <cfRule dxfId="15" operator="notEqual" priority="9" type="cellIs">
      <formula>#REF!</formula>
    </cfRule>
  </conditionalFormatting>
  <conditionalFormatting sqref="AF825:AJ828">
    <cfRule dxfId="14" operator="notEqual" priority="8" type="cellIs">
      <formula>#REF!</formula>
    </cfRule>
  </conditionalFormatting>
  <conditionalFormatting sqref="AF829:AJ832">
    <cfRule dxfId="13" operator="notEqual" priority="7" type="cellIs">
      <formula>#REF!</formula>
    </cfRule>
  </conditionalFormatting>
  <conditionalFormatting sqref="AF833:AJ836">
    <cfRule dxfId="12" operator="notEqual" priority="6" type="cellIs">
      <formula>#REF!</formula>
    </cfRule>
  </conditionalFormatting>
  <conditionalFormatting sqref="AF837:AJ840">
    <cfRule dxfId="11" operator="notEqual" priority="5" type="cellIs">
      <formula>#REF!</formula>
    </cfRule>
  </conditionalFormatting>
  <conditionalFormatting sqref="AF841:AJ844">
    <cfRule dxfId="10" operator="notEqual" priority="4" type="cellIs">
      <formula>#REF!</formula>
    </cfRule>
  </conditionalFormatting>
  <conditionalFormatting sqref="AF845:AJ848">
    <cfRule dxfId="9" operator="notEqual" priority="3" type="cellIs">
      <formula>#REF!</formula>
    </cfRule>
  </conditionalFormatting>
  <conditionalFormatting sqref="AF849:AJ852">
    <cfRule dxfId="8" operator="notEqual" priority="2" type="cellIs">
      <formula>#REF!</formula>
    </cfRule>
  </conditionalFormatting>
  <conditionalFormatting sqref="AE849">
    <cfRule dxfId="7" operator="notEqual" priority="1" type="cellIs">
      <formula>#REF!</formula>
    </cfRule>
  </conditionalFormatting>
  <pageMargins bottom="0.75" footer="0.3" header="0.3" left="0.7" right="0.7" top="0.75"/>
  <pageSetup orientation="portrait" paperSize="9" r:id="rId1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94"/>
  <sheetViews>
    <sheetView workbookViewId="0" zoomScaleNormal="100">
      <pane activePane="bottomLeft" state="frozen" topLeftCell="A11" ySplit="10"/>
      <selection pane="bottomLeft"/>
    </sheetView>
  </sheetViews>
  <sheetFormatPr defaultColWidth="9" defaultRowHeight="12" x14ac:dyDescent="0.2"/>
  <cols>
    <col min="1" max="1" customWidth="true" style="13" width="3.08984375" collapsed="false"/>
    <col min="2" max="2" customWidth="true" style="13" width="8.453125" collapsed="false"/>
    <col min="3" max="10" customWidth="true" style="19" width="4.6328125" collapsed="false"/>
    <col min="11" max="11" customWidth="true" style="13" width="4.26953125" collapsed="false"/>
    <col min="12" max="13" customWidth="true" style="13" width="7.36328125" collapsed="false"/>
    <col min="14" max="14" customWidth="true" style="13" width="3.7265625" collapsed="false"/>
    <col min="15" max="16" customWidth="true" style="13" width="7.36328125" collapsed="false"/>
    <col min="17" max="17" customWidth="true" style="13" width="3.7265625" collapsed="false"/>
    <col min="18" max="19" customWidth="true" style="13" width="7.36328125" collapsed="false"/>
    <col min="20" max="20" customWidth="true" style="13" width="3.7265625" collapsed="false"/>
    <col min="21" max="22" customWidth="true" style="13" width="7.36328125" collapsed="false"/>
    <col min="23" max="24" customWidth="true" style="13" width="5.6328125" collapsed="false"/>
    <col min="25" max="26" customWidth="true" style="13" width="6.08984375" collapsed="false"/>
    <col min="27" max="27" customWidth="true" style="13" width="1.90625" collapsed="false"/>
    <col min="28" max="16384" style="13" width="9.0" collapsed="false"/>
  </cols>
  <sheetData>
    <row customHeight="1" ht="11.25" r="1" spans="1:29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</row>
    <row customHeight="1" ht="11.25" r="2" spans="1:29" x14ac:dyDescent="0.2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</row>
    <row customHeight="1" ht="11.25" r="3" spans="1:29" x14ac:dyDescent="0.2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</row>
    <row customHeight="1" ht="11.25" r="4" spans="1:29" x14ac:dyDescent="0.2">
      <c r="A4" s="114"/>
      <c r="B4" s="114"/>
      <c r="C4" s="114"/>
      <c r="D4" s="114"/>
      <c r="E4" s="114"/>
      <c r="F4" s="114"/>
      <c r="G4" s="114"/>
      <c r="H4" s="115"/>
      <c r="I4" s="114"/>
      <c r="J4" s="114"/>
      <c r="K4" s="116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</row>
    <row customHeight="1" ht="11.25" r="5" spans="1:29" x14ac:dyDescent="0.2">
      <c r="A5" s="114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</row>
    <row customHeight="1" ht="11.25" r="6" spans="1:29" x14ac:dyDescent="0.2">
      <c r="A6" s="114"/>
      <c r="B6" s="114"/>
      <c r="C6" s="117" t="s">
        <v>41</v>
      </c>
      <c r="D6" s="117"/>
      <c r="E6" s="114" t="s">
        <v>79</v>
      </c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</row>
    <row customHeight="1" ht="11.25" r="7" spans="1:29" x14ac:dyDescent="0.2">
      <c r="A7" s="114"/>
      <c r="B7" s="114"/>
      <c r="C7" s="117" t="s">
        <v>42</v>
      </c>
      <c r="D7" s="117"/>
      <c r="E7" s="114" t="s">
        <v>857</v>
      </c>
      <c r="F7" s="114"/>
      <c r="G7" s="114"/>
      <c r="H7" s="114"/>
      <c r="I7" s="114"/>
      <c r="J7" s="114"/>
      <c r="K7" s="114"/>
      <c r="L7" s="114"/>
      <c r="M7" s="114"/>
      <c r="N7" s="114"/>
      <c r="O7" s="118" t="s">
        <v>859</v>
      </c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</row>
    <row customHeight="1" ht="11.25" r="8" spans="1:29" x14ac:dyDescent="0.2">
      <c r="A8" s="114"/>
      <c r="B8" s="114"/>
      <c r="C8" s="117" t="s">
        <v>43</v>
      </c>
      <c r="D8" s="117"/>
      <c r="E8" s="114" t="s">
        <v>858</v>
      </c>
      <c r="F8" s="114"/>
      <c r="G8" s="114"/>
      <c r="H8" s="114"/>
      <c r="I8" s="114"/>
      <c r="J8" s="114"/>
      <c r="K8" s="114"/>
      <c r="L8" s="114"/>
      <c r="M8" s="114"/>
      <c r="N8" s="114"/>
      <c r="O8" s="118" t="s">
        <v>860</v>
      </c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</row>
    <row customFormat="1" customHeight="1" ht="15" r="9" s="14" spans="1:29" x14ac:dyDescent="0.2">
      <c r="A9" s="119"/>
      <c r="B9" s="120"/>
      <c r="C9" s="120"/>
      <c r="D9" s="120"/>
      <c r="E9" s="120"/>
      <c r="F9" s="120"/>
      <c r="G9" s="120"/>
      <c r="H9" s="120"/>
      <c r="I9" s="120"/>
      <c r="J9" s="119"/>
      <c r="K9" s="119"/>
      <c r="L9" s="119"/>
      <c r="M9" s="119"/>
      <c r="N9" s="119"/>
      <c r="O9" s="119" t="s">
        <v>861</v>
      </c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</row>
    <row customFormat="1" customHeight="1" ht="15" r="10" s="14" spans="1:29" x14ac:dyDescent="0.2">
      <c r="A10" s="119"/>
      <c r="B10" s="121"/>
      <c r="C10" s="122" t="s">
        <v>44</v>
      </c>
      <c r="D10" s="122" t="s">
        <v>45</v>
      </c>
      <c r="E10" s="122" t="s">
        <v>6</v>
      </c>
      <c r="F10" s="122" t="s">
        <v>7</v>
      </c>
      <c r="G10" s="122" t="s">
        <v>8</v>
      </c>
      <c r="H10" s="122" t="s">
        <v>9</v>
      </c>
      <c r="I10" s="122" t="s">
        <v>10</v>
      </c>
      <c r="J10" s="123"/>
      <c r="K10" s="119"/>
      <c r="L10" s="119"/>
      <c r="M10" s="119"/>
      <c r="N10" s="119"/>
      <c r="O10" s="119" t="s">
        <v>862</v>
      </c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</row>
    <row customFormat="1" customHeight="1" ht="15" r="11" s="14" spans="1:29" x14ac:dyDescent="0.2">
      <c r="A11" s="119"/>
      <c r="B11" s="80" t="s">
        <v>863</v>
      </c>
      <c r="C11" s="75" t="s">
        <v>82</v>
      </c>
      <c r="D11" s="76" t="s">
        <v>82</v>
      </c>
      <c r="E11" s="76" t="s">
        <v>82</v>
      </c>
      <c r="F11" s="76" t="s">
        <v>82</v>
      </c>
      <c r="G11" s="76" t="s">
        <v>82</v>
      </c>
      <c r="H11" s="76" t="s">
        <v>82</v>
      </c>
      <c r="I11" s="67" t="n">
        <v>1.0</v>
      </c>
      <c r="J11" s="126"/>
      <c r="K11" s="119"/>
      <c r="L11" s="127"/>
      <c r="M11" s="119" t="s">
        <v>46</v>
      </c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</row>
    <row customFormat="1" customHeight="1" ht="15" r="12" s="14" spans="1:29" x14ac:dyDescent="0.2">
      <c r="A12" s="119"/>
      <c r="B12" s="81" t="s">
        <v>82</v>
      </c>
      <c r="C12" s="68" t="n">
        <v>2.0</v>
      </c>
      <c r="D12" s="28" t="n">
        <v>3.0</v>
      </c>
      <c r="E12" s="28" t="n">
        <v>4.0</v>
      </c>
      <c r="F12" s="28" t="n">
        <v>5.0</v>
      </c>
      <c r="G12" s="28" t="n">
        <v>6.0</v>
      </c>
      <c r="H12" s="28" t="n">
        <v>7.0</v>
      </c>
      <c r="I12" s="69" t="n">
        <v>8.0</v>
      </c>
      <c r="J12" s="126"/>
      <c r="K12" s="119"/>
      <c r="L12" s="128"/>
      <c r="M12" s="119" t="s">
        <v>47</v>
      </c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</row>
    <row customFormat="1" customHeight="1" ht="15" r="13" s="14" spans="1:29" x14ac:dyDescent="0.2">
      <c r="A13" s="119"/>
      <c r="B13" s="81" t="s">
        <v>82</v>
      </c>
      <c r="C13" s="68" t="n">
        <v>9.0</v>
      </c>
      <c r="D13" s="28" t="n">
        <v>10.0</v>
      </c>
      <c r="E13" s="28" t="n">
        <v>11.0</v>
      </c>
      <c r="F13" s="28" t="n">
        <v>12.0</v>
      </c>
      <c r="G13" s="28" t="n">
        <v>13.0</v>
      </c>
      <c r="H13" s="28" t="n">
        <v>14.0</v>
      </c>
      <c r="I13" s="69" t="n">
        <v>15.0</v>
      </c>
      <c r="J13" s="126"/>
      <c r="K13" s="119"/>
      <c r="L13" s="129"/>
      <c r="M13" s="119" t="s">
        <v>48</v>
      </c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</row>
    <row customFormat="1" customHeight="1" ht="15" r="14" s="14" spans="1:29" x14ac:dyDescent="0.2">
      <c r="A14" s="119"/>
      <c r="B14" s="81" t="s">
        <v>82</v>
      </c>
      <c r="C14" s="68" t="n">
        <v>16.0</v>
      </c>
      <c r="D14" s="28" t="n">
        <v>17.0</v>
      </c>
      <c r="E14" s="28" t="n">
        <v>18.0</v>
      </c>
      <c r="F14" s="28" t="n">
        <v>19.0</v>
      </c>
      <c r="G14" s="28" t="n">
        <v>20.0</v>
      </c>
      <c r="H14" s="28" t="n">
        <v>21.0</v>
      </c>
      <c r="I14" s="69" t="n">
        <v>22.0</v>
      </c>
      <c r="J14" s="126"/>
      <c r="K14" s="119"/>
      <c r="L14" s="119" t="s">
        <v>49</v>
      </c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</row>
    <row customFormat="1" customHeight="1" ht="15" r="15" s="14" spans="1:29" x14ac:dyDescent="0.2">
      <c r="A15" s="119"/>
      <c r="B15" s="81" t="s">
        <v>82</v>
      </c>
      <c r="C15" s="68" t="n">
        <v>23.0</v>
      </c>
      <c r="D15" s="28" t="n">
        <v>24.0</v>
      </c>
      <c r="E15" s="28" t="n">
        <v>25.0</v>
      </c>
      <c r="F15" s="28" t="n">
        <v>26.0</v>
      </c>
      <c r="G15" s="28" t="n">
        <v>27.0</v>
      </c>
      <c r="H15" s="28" t="n">
        <v>28.0</v>
      </c>
      <c r="I15" s="69" t="n">
        <v>29.0</v>
      </c>
      <c r="J15" s="126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19"/>
      <c r="X15" s="119"/>
      <c r="Y15" s="119"/>
      <c r="Z15" s="119"/>
      <c r="AA15" s="119"/>
      <c r="AB15" s="119"/>
      <c r="AC15" s="119"/>
    </row>
    <row customFormat="1" customHeight="1" ht="15" r="16" s="14" spans="1:29" x14ac:dyDescent="0.2">
      <c r="A16" s="119"/>
      <c r="B16" s="88" t="s">
        <v>82</v>
      </c>
      <c r="C16" s="89" t="n">
        <v>30.0</v>
      </c>
      <c r="D16" s="90" t="n">
        <v>31.0</v>
      </c>
      <c r="E16" s="102" t="s">
        <v>82</v>
      </c>
      <c r="F16" s="102" t="s">
        <v>82</v>
      </c>
      <c r="G16" s="102" t="s">
        <v>82</v>
      </c>
      <c r="H16" s="102" t="s">
        <v>82</v>
      </c>
      <c r="I16" s="103" t="s">
        <v>82</v>
      </c>
      <c r="J16" s="166" t="s">
        <v>867</v>
      </c>
      <c r="K16" s="162" t="n">
        <v>1.0</v>
      </c>
      <c r="L16" s="289" t="s">
        <v>864</v>
      </c>
      <c r="M16" s="161"/>
      <c r="N16" s="162"/>
      <c r="O16" s="161"/>
      <c r="P16" s="161"/>
      <c r="Q16" s="162"/>
      <c r="R16" s="161"/>
      <c r="S16" s="161"/>
      <c r="T16" s="162"/>
      <c r="U16" s="161"/>
      <c r="V16" s="161"/>
      <c r="W16" s="119"/>
      <c r="X16" s="119"/>
      <c r="Y16" s="119"/>
      <c r="Z16" s="119"/>
      <c r="AA16" s="119"/>
      <c r="AB16" s="119"/>
      <c r="AC16" s="119"/>
    </row>
    <row customFormat="1" customHeight="1" ht="15" r="17" s="14" spans="1:29" x14ac:dyDescent="0.2">
      <c r="A17" s="119"/>
      <c r="B17" s="120"/>
      <c r="C17" s="126"/>
      <c r="D17" s="126"/>
      <c r="E17" s="126"/>
      <c r="F17" s="126"/>
      <c r="G17" s="126"/>
      <c r="H17" s="126"/>
      <c r="I17" s="126"/>
      <c r="J17" s="166"/>
      <c r="K17" s="162"/>
      <c r="L17" s="161"/>
      <c r="M17" s="161"/>
      <c r="N17" s="162"/>
      <c r="O17" s="161"/>
      <c r="P17" s="161"/>
      <c r="Q17" s="162"/>
      <c r="R17" s="161"/>
      <c r="S17" s="161"/>
      <c r="T17" s="162"/>
      <c r="U17" s="161"/>
      <c r="V17" s="161"/>
      <c r="W17" s="119"/>
      <c r="X17" s="119"/>
      <c r="Y17" s="119"/>
      <c r="Z17" s="119"/>
      <c r="AA17" s="119"/>
      <c r="AB17" s="119"/>
      <c r="AC17" s="119"/>
    </row>
    <row customFormat="1" customHeight="1" ht="15" r="18" s="14" spans="1:29" x14ac:dyDescent="0.2">
      <c r="A18" s="119"/>
      <c r="B18" s="120"/>
      <c r="C18" s="126"/>
      <c r="D18" s="126"/>
      <c r="E18" s="126"/>
      <c r="F18" s="126"/>
      <c r="G18" s="126"/>
      <c r="H18" s="126"/>
      <c r="I18" s="126"/>
      <c r="J18" s="166"/>
      <c r="K18" s="162" t="n">
        <v>2.0</v>
      </c>
      <c r="L18" s="290" t="s">
        <v>865</v>
      </c>
      <c r="M18" s="161"/>
      <c r="N18" s="162"/>
      <c r="O18" s="161"/>
      <c r="P18" s="161"/>
      <c r="Q18" s="162"/>
      <c r="R18" s="161"/>
      <c r="S18" s="161"/>
      <c r="T18" s="162"/>
      <c r="U18" s="161"/>
      <c r="V18" s="161"/>
      <c r="W18" s="119"/>
      <c r="X18" s="119"/>
      <c r="Y18" s="119"/>
      <c r="Z18" s="119"/>
      <c r="AA18" s="119"/>
      <c r="AB18" s="119"/>
      <c r="AC18" s="119"/>
    </row>
    <row customFormat="1" customHeight="1" ht="15" r="19" s="14" spans="1:29" x14ac:dyDescent="0.2">
      <c r="A19" s="119"/>
      <c r="B19" s="130"/>
      <c r="C19" s="126"/>
      <c r="D19" s="126"/>
      <c r="E19" s="126"/>
      <c r="F19" s="126"/>
      <c r="G19" s="126"/>
      <c r="H19" s="126"/>
      <c r="I19" s="126"/>
      <c r="J19" s="166"/>
      <c r="K19" s="162"/>
      <c r="L19" s="161"/>
      <c r="M19" s="161"/>
      <c r="N19" s="162"/>
      <c r="O19" s="161"/>
      <c r="P19" s="161"/>
      <c r="Q19" s="162"/>
      <c r="R19" s="161"/>
      <c r="S19" s="161"/>
      <c r="T19" s="162"/>
      <c r="U19" s="161"/>
      <c r="V19" s="161"/>
      <c r="W19" s="119"/>
      <c r="X19" s="119"/>
      <c r="Y19" s="119"/>
      <c r="Z19" s="119"/>
      <c r="AA19" s="119"/>
      <c r="AB19" s="119"/>
      <c r="AC19" s="119"/>
    </row>
    <row customFormat="1" customHeight="1" ht="15" r="20" s="14" spans="1:29" x14ac:dyDescent="0.2">
      <c r="A20" s="119"/>
      <c r="B20" s="120"/>
      <c r="C20" s="126"/>
      <c r="D20" s="126"/>
      <c r="E20" s="126"/>
      <c r="F20" s="126"/>
      <c r="G20" s="126"/>
      <c r="H20" s="126"/>
      <c r="I20" s="126"/>
      <c r="J20" s="166"/>
      <c r="K20" s="162"/>
      <c r="L20" s="161"/>
      <c r="M20" s="161"/>
      <c r="N20" s="162"/>
      <c r="O20" s="161"/>
      <c r="P20" s="161"/>
      <c r="Q20" s="162"/>
      <c r="R20" s="161"/>
      <c r="S20" s="161"/>
      <c r="T20" s="162"/>
      <c r="U20" s="161"/>
      <c r="V20" s="161"/>
      <c r="W20" s="119"/>
      <c r="X20" s="119"/>
      <c r="Y20" s="119"/>
      <c r="Z20" s="119"/>
      <c r="AA20" s="119"/>
      <c r="AB20" s="119"/>
      <c r="AC20" s="119"/>
    </row>
    <row customFormat="1" customHeight="1" ht="15" r="21" s="14" spans="1:29" x14ac:dyDescent="0.2">
      <c r="A21" s="119"/>
      <c r="B21" s="120"/>
      <c r="C21" s="126"/>
      <c r="D21" s="126"/>
      <c r="E21" s="126"/>
      <c r="F21" s="126"/>
      <c r="G21" s="126"/>
      <c r="H21" s="126"/>
      <c r="I21" s="126"/>
      <c r="J21" s="166"/>
      <c r="K21" s="162"/>
      <c r="L21" s="161"/>
      <c r="M21" s="161"/>
      <c r="N21" s="162"/>
      <c r="O21" s="161"/>
      <c r="P21" s="161"/>
      <c r="Q21" s="162"/>
      <c r="R21" s="161"/>
      <c r="S21" s="161"/>
      <c r="T21" s="162"/>
      <c r="U21" s="161"/>
      <c r="V21" s="161"/>
      <c r="W21" s="119"/>
      <c r="X21" s="119"/>
      <c r="Y21" s="119"/>
      <c r="Z21" s="119"/>
      <c r="AA21" s="119"/>
      <c r="AB21" s="119"/>
      <c r="AC21" s="119"/>
    </row>
    <row customFormat="1" customHeight="1" ht="15" r="22" s="14" spans="1:29" x14ac:dyDescent="0.2">
      <c r="A22" s="119"/>
      <c r="B22" s="120"/>
      <c r="C22" s="126"/>
      <c r="D22" s="126"/>
      <c r="E22" s="126"/>
      <c r="F22" s="126"/>
      <c r="G22" s="126"/>
      <c r="H22" s="126"/>
      <c r="I22" s="126"/>
      <c r="J22" s="166"/>
      <c r="K22" s="162"/>
      <c r="L22" s="161"/>
      <c r="M22" s="161"/>
      <c r="N22" s="162"/>
      <c r="O22" s="161"/>
      <c r="P22" s="161"/>
      <c r="Q22" s="162"/>
      <c r="R22" s="161"/>
      <c r="S22" s="161"/>
      <c r="T22" s="162"/>
      <c r="U22" s="161"/>
      <c r="V22" s="161"/>
      <c r="W22" s="119"/>
      <c r="X22" s="119"/>
      <c r="Y22" s="119"/>
      <c r="Z22" s="119"/>
      <c r="AA22" s="119"/>
      <c r="AB22" s="119"/>
      <c r="AC22" s="119"/>
    </row>
    <row customFormat="1" customHeight="1" ht="15" r="23" s="14" spans="1:29" x14ac:dyDescent="0.2">
      <c r="A23" s="119"/>
      <c r="B23" s="130"/>
      <c r="C23" s="126"/>
      <c r="D23" s="126"/>
      <c r="E23" s="126"/>
      <c r="F23" s="126"/>
      <c r="G23" s="126"/>
      <c r="H23" s="126"/>
      <c r="I23" s="126"/>
      <c r="J23" s="166"/>
      <c r="K23" s="162"/>
      <c r="L23" s="161"/>
      <c r="M23" s="161"/>
      <c r="N23" s="162"/>
      <c r="O23" s="161"/>
      <c r="P23" s="161"/>
      <c r="Q23" s="162"/>
      <c r="R23" s="161"/>
      <c r="S23" s="161"/>
      <c r="T23" s="162"/>
      <c r="U23" s="161"/>
      <c r="V23" s="161"/>
      <c r="W23" s="119"/>
      <c r="X23" s="119"/>
      <c r="Y23" s="119"/>
      <c r="Z23" s="119"/>
      <c r="AA23" s="119"/>
      <c r="AB23" s="119"/>
      <c r="AC23" s="119"/>
    </row>
    <row customFormat="1" customHeight="1" ht="15" r="24" s="14" spans="1:29" x14ac:dyDescent="0.2">
      <c r="A24" s="119"/>
      <c r="B24" s="120"/>
      <c r="C24" s="126"/>
      <c r="D24" s="126"/>
      <c r="E24" s="126"/>
      <c r="F24" s="126"/>
      <c r="G24" s="126"/>
      <c r="H24" s="126"/>
      <c r="I24" s="126"/>
      <c r="J24" s="166"/>
      <c r="K24" s="162"/>
      <c r="L24" s="161"/>
      <c r="M24" s="161"/>
      <c r="N24" s="162"/>
      <c r="O24" s="161"/>
      <c r="P24" s="161"/>
      <c r="Q24" s="162"/>
      <c r="R24" s="161"/>
      <c r="S24" s="161"/>
      <c r="T24" s="162"/>
      <c r="U24" s="161"/>
      <c r="V24" s="161"/>
      <c r="W24" s="119"/>
      <c r="X24" s="119"/>
      <c r="Y24" s="119"/>
      <c r="Z24" s="119"/>
      <c r="AA24" s="119"/>
      <c r="AB24" s="119"/>
      <c r="AC24" s="119"/>
    </row>
    <row customFormat="1" customHeight="1" ht="15" r="25" s="14" spans="1:29" x14ac:dyDescent="0.2">
      <c r="A25" s="119"/>
      <c r="B25" s="120"/>
      <c r="C25" s="126"/>
      <c r="D25" s="126"/>
      <c r="E25" s="126"/>
      <c r="F25" s="126"/>
      <c r="G25" s="126"/>
      <c r="H25" s="126"/>
      <c r="I25" s="126"/>
      <c r="J25" s="166"/>
      <c r="K25" s="162"/>
      <c r="L25" s="161"/>
      <c r="M25" s="161"/>
      <c r="N25" s="162"/>
      <c r="O25" s="161"/>
      <c r="P25" s="161"/>
      <c r="Q25" s="162"/>
      <c r="R25" s="161"/>
      <c r="S25" s="161"/>
      <c r="T25" s="162"/>
      <c r="U25" s="161"/>
      <c r="V25" s="161"/>
      <c r="W25" s="119"/>
      <c r="X25" s="119"/>
      <c r="Y25" s="119"/>
      <c r="Z25" s="119"/>
      <c r="AA25" s="119"/>
      <c r="AB25" s="119"/>
      <c r="AC25" s="119"/>
    </row>
    <row customFormat="1" customHeight="1" ht="15" r="26" s="14" spans="1:29" x14ac:dyDescent="0.2">
      <c r="A26" s="119"/>
      <c r="B26" s="120"/>
      <c r="C26" s="126"/>
      <c r="D26" s="126"/>
      <c r="E26" s="126"/>
      <c r="F26" s="126"/>
      <c r="G26" s="126"/>
      <c r="H26" s="126"/>
      <c r="I26" s="126"/>
      <c r="J26" s="126"/>
      <c r="K26" s="120"/>
      <c r="L26" s="131"/>
      <c r="M26" s="131"/>
      <c r="N26" s="131"/>
      <c r="O26" s="120"/>
      <c r="P26" s="120"/>
      <c r="Q26" s="131"/>
      <c r="R26" s="120"/>
      <c r="S26" s="120"/>
      <c r="T26" s="131"/>
      <c r="U26" s="120"/>
      <c r="V26" s="120"/>
      <c r="W26" s="119"/>
      <c r="X26" s="119"/>
      <c r="Y26" s="119"/>
      <c r="Z26" s="119"/>
      <c r="AA26" s="119"/>
      <c r="AB26" s="119"/>
      <c r="AC26" s="119"/>
    </row>
    <row customFormat="1" customHeight="1" ht="15" r="27" s="14" spans="1:29" x14ac:dyDescent="0.2">
      <c r="A27" s="119"/>
      <c r="B27" s="130"/>
      <c r="C27" s="126"/>
      <c r="D27" s="126"/>
      <c r="E27" s="126"/>
      <c r="F27" s="126"/>
      <c r="G27" s="126"/>
      <c r="H27" s="126"/>
      <c r="I27" s="126"/>
      <c r="J27" s="163" t="s">
        <v>868</v>
      </c>
      <c r="K27" s="164"/>
      <c r="L27" s="165"/>
      <c r="M27" s="165"/>
      <c r="N27" s="164"/>
      <c r="O27" s="165"/>
      <c r="P27" s="165"/>
      <c r="Q27" s="164"/>
      <c r="R27" s="165"/>
      <c r="S27" s="165"/>
      <c r="T27" s="164"/>
      <c r="U27" s="165"/>
      <c r="V27" s="165"/>
      <c r="W27" s="119"/>
      <c r="X27" s="119"/>
      <c r="Y27" s="119"/>
      <c r="Z27" s="119"/>
      <c r="AA27" s="119"/>
      <c r="AB27" s="119"/>
      <c r="AC27" s="119"/>
    </row>
    <row customFormat="1" customHeight="1" ht="15" r="28" s="14" spans="1:29" x14ac:dyDescent="0.2">
      <c r="A28" s="119"/>
      <c r="B28" s="120"/>
      <c r="C28" s="126"/>
      <c r="D28" s="126"/>
      <c r="E28" s="126"/>
      <c r="F28" s="126"/>
      <c r="G28" s="126"/>
      <c r="H28" s="126"/>
      <c r="I28" s="126"/>
      <c r="J28" s="163"/>
      <c r="K28" s="164"/>
      <c r="L28" s="165"/>
      <c r="M28" s="165"/>
      <c r="N28" s="164"/>
      <c r="O28" s="165"/>
      <c r="P28" s="165"/>
      <c r="Q28" s="164"/>
      <c r="R28" s="165"/>
      <c r="S28" s="165"/>
      <c r="T28" s="164"/>
      <c r="U28" s="165"/>
      <c r="V28" s="165"/>
      <c r="W28" s="119"/>
      <c r="X28" s="119"/>
      <c r="Y28" s="119"/>
      <c r="Z28" s="119"/>
      <c r="AA28" s="119"/>
      <c r="AB28" s="119"/>
      <c r="AC28" s="119"/>
    </row>
    <row customFormat="1" customHeight="1" ht="15" r="29" s="14" spans="1:29" x14ac:dyDescent="0.2">
      <c r="A29" s="119"/>
      <c r="B29" s="120"/>
      <c r="C29" s="126"/>
      <c r="D29" s="126"/>
      <c r="E29" s="126"/>
      <c r="F29" s="126"/>
      <c r="G29" s="126"/>
      <c r="H29" s="126"/>
      <c r="I29" s="126"/>
      <c r="J29" s="163"/>
      <c r="K29" s="164" t="n">
        <v>2.0</v>
      </c>
      <c r="L29" s="291" t="s">
        <v>866</v>
      </c>
      <c r="M29" s="165"/>
      <c r="N29" s="164"/>
      <c r="O29" s="165"/>
      <c r="P29" s="165"/>
      <c r="Q29" s="164"/>
      <c r="R29" s="165"/>
      <c r="S29" s="165"/>
      <c r="T29" s="164"/>
      <c r="U29" s="165"/>
      <c r="V29" s="165"/>
      <c r="W29" s="119"/>
      <c r="X29" s="119"/>
      <c r="Y29" s="119"/>
      <c r="Z29" s="119"/>
      <c r="AA29" s="119"/>
      <c r="AB29" s="119"/>
      <c r="AC29" s="119"/>
    </row>
    <row customFormat="1" customHeight="1" ht="15" r="30" s="14" spans="1:29" x14ac:dyDescent="0.2">
      <c r="A30" s="119"/>
      <c r="B30" s="120"/>
      <c r="C30" s="126"/>
      <c r="D30" s="126"/>
      <c r="E30" s="126"/>
      <c r="F30" s="126"/>
      <c r="G30" s="126"/>
      <c r="H30" s="126"/>
      <c r="I30" s="126"/>
      <c r="J30" s="163"/>
      <c r="K30" s="164"/>
      <c r="L30" s="165"/>
      <c r="M30" s="165"/>
      <c r="N30" s="164"/>
      <c r="O30" s="165"/>
      <c r="P30" s="165"/>
      <c r="Q30" s="164"/>
      <c r="R30" s="165"/>
      <c r="S30" s="165"/>
      <c r="T30" s="164"/>
      <c r="U30" s="165"/>
      <c r="V30" s="165"/>
      <c r="W30" s="119"/>
      <c r="X30" s="119"/>
      <c r="Y30" s="119"/>
      <c r="Z30" s="119"/>
      <c r="AA30" s="119"/>
      <c r="AB30" s="119"/>
      <c r="AC30" s="119"/>
    </row>
    <row customFormat="1" customHeight="1" ht="15" r="31" s="14" spans="1:29" x14ac:dyDescent="0.2">
      <c r="A31" s="119"/>
      <c r="B31" s="120"/>
      <c r="C31" s="126"/>
      <c r="D31" s="126"/>
      <c r="E31" s="126"/>
      <c r="F31" s="126"/>
      <c r="G31" s="126"/>
      <c r="H31" s="126"/>
      <c r="I31" s="126"/>
      <c r="J31" s="163"/>
      <c r="K31" s="164"/>
      <c r="L31" s="165"/>
      <c r="M31" s="165"/>
      <c r="N31" s="164"/>
      <c r="O31" s="165"/>
      <c r="P31" s="165"/>
      <c r="Q31" s="164"/>
      <c r="R31" s="165"/>
      <c r="S31" s="165"/>
      <c r="T31" s="164"/>
      <c r="U31" s="165"/>
      <c r="V31" s="165"/>
      <c r="W31" s="119"/>
      <c r="X31" s="119"/>
      <c r="Y31" s="119"/>
      <c r="Z31" s="119"/>
      <c r="AA31" s="119"/>
      <c r="AB31" s="119"/>
      <c r="AC31" s="119"/>
    </row>
    <row customFormat="1" customHeight="1" ht="15" r="32" s="14" spans="1:29" x14ac:dyDescent="0.2">
      <c r="A32" s="119"/>
      <c r="B32" s="130"/>
      <c r="C32" s="126"/>
      <c r="D32" s="126"/>
      <c r="E32" s="126"/>
      <c r="F32" s="126"/>
      <c r="G32" s="126"/>
      <c r="H32" s="126"/>
      <c r="I32" s="126"/>
      <c r="J32" s="163"/>
      <c r="K32" s="164"/>
      <c r="L32" s="165"/>
      <c r="M32" s="165"/>
      <c r="N32" s="164"/>
      <c r="O32" s="165"/>
      <c r="P32" s="165"/>
      <c r="Q32" s="164"/>
      <c r="R32" s="165"/>
      <c r="S32" s="165"/>
      <c r="T32" s="164"/>
      <c r="U32" s="165"/>
      <c r="V32" s="165"/>
      <c r="W32" s="119"/>
      <c r="X32" s="119"/>
      <c r="Y32" s="119"/>
      <c r="Z32" s="119"/>
      <c r="AA32" s="119"/>
      <c r="AB32" s="119"/>
      <c r="AC32" s="119"/>
    </row>
    <row customFormat="1" customHeight="1" ht="15" r="33" s="14" spans="1:29" x14ac:dyDescent="0.2">
      <c r="A33" s="119"/>
      <c r="B33" s="119"/>
      <c r="C33" s="132"/>
      <c r="D33" s="132"/>
      <c r="E33" s="132"/>
      <c r="F33" s="132"/>
      <c r="G33" s="132"/>
      <c r="H33" s="132"/>
      <c r="I33" s="132"/>
      <c r="J33" s="163"/>
      <c r="K33" s="164"/>
      <c r="L33" s="165"/>
      <c r="M33" s="165"/>
      <c r="N33" s="164"/>
      <c r="O33" s="165"/>
      <c r="P33" s="165"/>
      <c r="Q33" s="164"/>
      <c r="R33" s="165"/>
      <c r="S33" s="165"/>
      <c r="T33" s="164"/>
      <c r="U33" s="165"/>
      <c r="V33" s="165"/>
      <c r="W33" s="119"/>
      <c r="X33" s="119"/>
      <c r="Y33" s="119"/>
      <c r="Z33" s="119"/>
      <c r="AA33" s="119"/>
      <c r="AB33" s="119"/>
      <c r="AC33" s="119"/>
    </row>
    <row customFormat="1" customHeight="1" ht="15" r="34" s="14" spans="1:29" x14ac:dyDescent="0.2">
      <c r="A34" s="119"/>
      <c r="B34" s="119"/>
      <c r="C34" s="132"/>
      <c r="D34" s="132"/>
      <c r="E34" s="132"/>
      <c r="F34" s="132"/>
      <c r="G34" s="132"/>
      <c r="H34" s="132"/>
      <c r="I34" s="132"/>
      <c r="J34" s="163"/>
      <c r="K34" s="164"/>
      <c r="L34" s="165"/>
      <c r="M34" s="165"/>
      <c r="N34" s="164"/>
      <c r="O34" s="165"/>
      <c r="P34" s="165"/>
      <c r="Q34" s="164"/>
      <c r="R34" s="165"/>
      <c r="S34" s="165"/>
      <c r="T34" s="164"/>
      <c r="U34" s="165"/>
      <c r="V34" s="165"/>
      <c r="W34" s="119"/>
      <c r="X34" s="119"/>
      <c r="Y34" s="119"/>
      <c r="Z34" s="119"/>
      <c r="AA34" s="119"/>
      <c r="AB34" s="119"/>
      <c r="AC34" s="119"/>
    </row>
    <row customFormat="1" customHeight="1" ht="15" r="35" s="14" spans="1:29" x14ac:dyDescent="0.2">
      <c r="A35" s="119"/>
      <c r="B35" s="119"/>
      <c r="C35" s="132"/>
      <c r="D35" s="132"/>
      <c r="E35" s="132"/>
      <c r="F35" s="132"/>
      <c r="G35" s="132"/>
      <c r="H35" s="132"/>
      <c r="I35" s="132"/>
      <c r="J35" s="163"/>
      <c r="K35" s="164"/>
      <c r="L35" s="165"/>
      <c r="M35" s="165"/>
      <c r="N35" s="164"/>
      <c r="O35" s="165"/>
      <c r="P35" s="165"/>
      <c r="Q35" s="164"/>
      <c r="R35" s="165"/>
      <c r="S35" s="165"/>
      <c r="T35" s="164"/>
      <c r="U35" s="165"/>
      <c r="V35" s="165"/>
      <c r="W35" s="119"/>
      <c r="X35" s="119"/>
      <c r="Y35" s="119"/>
      <c r="Z35" s="119"/>
      <c r="AA35" s="119"/>
      <c r="AB35" s="119"/>
      <c r="AC35" s="119"/>
    </row>
    <row customFormat="1" customHeight="1" ht="15" r="36" s="14" spans="1:29" x14ac:dyDescent="0.2">
      <c r="A36" s="119"/>
      <c r="B36" s="119"/>
      <c r="C36" s="132"/>
      <c r="D36" s="132"/>
      <c r="E36" s="132"/>
      <c r="F36" s="132"/>
      <c r="G36" s="132"/>
      <c r="H36" s="132"/>
      <c r="I36" s="132"/>
      <c r="J36" s="163"/>
      <c r="K36" s="164"/>
      <c r="L36" s="165"/>
      <c r="M36" s="165"/>
      <c r="N36" s="164"/>
      <c r="O36" s="165"/>
      <c r="P36" s="165"/>
      <c r="Q36" s="164"/>
      <c r="R36" s="165"/>
      <c r="S36" s="165"/>
      <c r="T36" s="164"/>
      <c r="U36" s="165"/>
      <c r="V36" s="165"/>
      <c r="W36" s="119"/>
      <c r="X36" s="119"/>
      <c r="Y36" s="119"/>
      <c r="Z36" s="119"/>
      <c r="AA36" s="119"/>
      <c r="AB36" s="119"/>
      <c r="AC36" s="119"/>
    </row>
    <row customFormat="1" customHeight="1" ht="15" r="37" s="14" spans="1:29" x14ac:dyDescent="0.2">
      <c r="A37" s="119"/>
      <c r="B37" s="119"/>
      <c r="C37" s="132"/>
      <c r="D37" s="132"/>
      <c r="E37" s="132"/>
      <c r="F37" s="132"/>
      <c r="G37" s="132"/>
      <c r="H37" s="132"/>
      <c r="I37" s="132"/>
      <c r="J37" s="132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</row>
    <row customFormat="1" customHeight="1" ht="15" r="38" s="14" spans="1:29" x14ac:dyDescent="0.2">
      <c r="A38" s="119"/>
      <c r="B38" s="119"/>
      <c r="C38" s="132"/>
      <c r="D38" s="132"/>
      <c r="E38" s="132"/>
      <c r="F38" s="132"/>
      <c r="G38" s="132"/>
      <c r="H38" s="132"/>
      <c r="I38" s="132"/>
      <c r="J38" s="132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</row>
    <row customFormat="1" customHeight="1" ht="15" r="39" s="14" spans="1:29" x14ac:dyDescent="0.2">
      <c r="A39" s="119"/>
      <c r="B39" s="119"/>
      <c r="C39" s="132"/>
      <c r="D39" s="132"/>
      <c r="E39" s="132"/>
      <c r="F39" s="132"/>
      <c r="G39" s="132"/>
      <c r="H39" s="132"/>
      <c r="I39" s="132"/>
      <c r="J39" s="132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</row>
    <row customFormat="1" customHeight="1" ht="15" r="40" s="14" spans="1:29" x14ac:dyDescent="0.2">
      <c r="A40" s="119"/>
      <c r="B40" s="119"/>
      <c r="C40" s="132"/>
      <c r="D40" s="132"/>
      <c r="E40" s="132"/>
      <c r="F40" s="132"/>
      <c r="G40" s="132"/>
      <c r="H40" s="132"/>
      <c r="I40" s="132"/>
      <c r="J40" s="132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</row>
    <row customFormat="1" customHeight="1" ht="15" r="41" s="14" spans="1:29" x14ac:dyDescent="0.2">
      <c r="A41" s="119"/>
      <c r="B41" s="119"/>
      <c r="C41" s="132"/>
      <c r="D41" s="132"/>
      <c r="E41" s="132"/>
      <c r="F41" s="132"/>
      <c r="G41" s="132"/>
      <c r="H41" s="132"/>
      <c r="I41" s="132"/>
      <c r="J41" s="132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</row>
    <row customFormat="1" customHeight="1" ht="15" r="42" s="14" spans="1:29" x14ac:dyDescent="0.2">
      <c r="A42" s="119"/>
      <c r="B42" s="119"/>
      <c r="C42" s="132"/>
      <c r="D42" s="132"/>
      <c r="E42" s="132"/>
      <c r="F42" s="132"/>
      <c r="G42" s="132"/>
      <c r="H42" s="132"/>
      <c r="I42" s="132"/>
      <c r="J42" s="132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</row>
    <row customFormat="1" customHeight="1" ht="15" r="43" s="14" spans="1:29" x14ac:dyDescent="0.2">
      <c r="A43" s="119"/>
      <c r="B43" s="119"/>
      <c r="C43" s="132"/>
      <c r="D43" s="132"/>
      <c r="E43" s="132"/>
      <c r="F43" s="132"/>
      <c r="G43" s="132"/>
      <c r="H43" s="132"/>
      <c r="I43" s="132"/>
      <c r="J43" s="132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</row>
    <row customFormat="1" customHeight="1" ht="15" r="44" s="14" spans="1:29" x14ac:dyDescent="0.2">
      <c r="A44" s="119"/>
      <c r="B44" s="119"/>
      <c r="C44" s="132"/>
      <c r="D44" s="132"/>
      <c r="E44" s="132"/>
      <c r="F44" s="132"/>
      <c r="G44" s="132"/>
      <c r="H44" s="132"/>
      <c r="I44" s="132"/>
      <c r="J44" s="132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</row>
    <row customFormat="1" customHeight="1" ht="15" r="45" s="14" spans="1:29" x14ac:dyDescent="0.2">
      <c r="A45" s="119"/>
      <c r="B45" s="119"/>
      <c r="C45" s="132"/>
      <c r="D45" s="132"/>
      <c r="E45" s="132"/>
      <c r="F45" s="132"/>
      <c r="G45" s="132"/>
      <c r="H45" s="132"/>
      <c r="I45" s="132"/>
      <c r="J45" s="132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</row>
    <row customFormat="1" customHeight="1" ht="15" r="46" s="14" spans="1:29" x14ac:dyDescent="0.2">
      <c r="A46" s="119"/>
      <c r="B46" s="119"/>
      <c r="C46" s="132"/>
      <c r="D46" s="132"/>
      <c r="E46" s="132"/>
      <c r="F46" s="132"/>
      <c r="G46" s="132"/>
      <c r="H46" s="132"/>
      <c r="I46" s="132"/>
      <c r="J46" s="132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</row>
    <row customFormat="1" customHeight="1" ht="15" r="47" s="14" spans="1:29" x14ac:dyDescent="0.2">
      <c r="A47" s="119"/>
      <c r="B47" s="119"/>
      <c r="C47" s="132"/>
      <c r="D47" s="132"/>
      <c r="E47" s="132"/>
      <c r="F47" s="132"/>
      <c r="G47" s="132"/>
      <c r="H47" s="132"/>
      <c r="I47" s="132"/>
      <c r="J47" s="132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</row>
    <row customFormat="1" customHeight="1" ht="15" r="48" s="14" spans="1:29" x14ac:dyDescent="0.2">
      <c r="A48" s="119"/>
      <c r="B48" s="119"/>
      <c r="C48" s="132"/>
      <c r="D48" s="132"/>
      <c r="E48" s="132"/>
      <c r="F48" s="132"/>
      <c r="G48" s="132"/>
      <c r="H48" s="132"/>
      <c r="I48" s="132"/>
      <c r="J48" s="132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</row>
    <row customFormat="1" customHeight="1" ht="15" r="49" s="14" spans="1:29" x14ac:dyDescent="0.2">
      <c r="A49" s="119"/>
      <c r="B49" s="119"/>
      <c r="C49" s="132"/>
      <c r="D49" s="132"/>
      <c r="E49" s="132"/>
      <c r="F49" s="132"/>
      <c r="G49" s="132"/>
      <c r="H49" s="132"/>
      <c r="I49" s="132"/>
      <c r="J49" s="132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</row>
    <row customFormat="1" customHeight="1" ht="15" r="50" s="14" spans="1:29" x14ac:dyDescent="0.2">
      <c r="A50" s="119"/>
      <c r="B50" s="119"/>
      <c r="C50" s="132"/>
      <c r="D50" s="132"/>
      <c r="E50" s="132"/>
      <c r="F50" s="132"/>
      <c r="G50" s="132"/>
      <c r="H50" s="132"/>
      <c r="I50" s="132"/>
      <c r="J50" s="132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</row>
    <row customFormat="1" customHeight="1" ht="15" r="51" s="14" spans="1:29" x14ac:dyDescent="0.2">
      <c r="A51" s="119"/>
      <c r="B51" s="119"/>
      <c r="C51" s="132"/>
      <c r="D51" s="132"/>
      <c r="E51" s="132"/>
      <c r="F51" s="132"/>
      <c r="G51" s="132"/>
      <c r="H51" s="132"/>
      <c r="I51" s="132"/>
      <c r="J51" s="132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</row>
    <row customFormat="1" customHeight="1" ht="15" r="52" s="14" spans="1:29" x14ac:dyDescent="0.2">
      <c r="A52" s="119"/>
      <c r="B52" s="119"/>
      <c r="C52" s="132"/>
      <c r="D52" s="132"/>
      <c r="E52" s="132"/>
      <c r="F52" s="132"/>
      <c r="G52" s="132"/>
      <c r="H52" s="132"/>
      <c r="I52" s="132"/>
      <c r="J52" s="132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</row>
    <row customFormat="1" customHeight="1" ht="15" r="53" s="14" spans="1:29" x14ac:dyDescent="0.2">
      <c r="A53" s="119"/>
      <c r="B53" s="119"/>
      <c r="C53" s="132"/>
      <c r="D53" s="132"/>
      <c r="E53" s="132"/>
      <c r="F53" s="132"/>
      <c r="G53" s="132"/>
      <c r="H53" s="132"/>
      <c r="I53" s="132"/>
      <c r="J53" s="132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</row>
    <row customFormat="1" customHeight="1" ht="15" r="54" s="14" spans="1:29" x14ac:dyDescent="0.2">
      <c r="A54" s="119"/>
      <c r="B54" s="119"/>
      <c r="C54" s="132"/>
      <c r="D54" s="132"/>
      <c r="E54" s="132"/>
      <c r="F54" s="132"/>
      <c r="G54" s="132"/>
      <c r="H54" s="132"/>
      <c r="I54" s="132"/>
      <c r="J54" s="132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</row>
    <row customFormat="1" customHeight="1" ht="15" r="55" s="14" spans="1:29" x14ac:dyDescent="0.2">
      <c r="A55" s="119"/>
      <c r="B55" s="119"/>
      <c r="C55" s="132"/>
      <c r="D55" s="132"/>
      <c r="E55" s="132"/>
      <c r="F55" s="132"/>
      <c r="G55" s="132"/>
      <c r="H55" s="132"/>
      <c r="I55" s="132"/>
      <c r="J55" s="132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</row>
    <row customFormat="1" customHeight="1" ht="15" r="56" s="14" spans="1:29" x14ac:dyDescent="0.2">
      <c r="A56" s="119"/>
      <c r="B56" s="119"/>
      <c r="C56" s="132"/>
      <c r="D56" s="132"/>
      <c r="E56" s="132"/>
      <c r="F56" s="132"/>
      <c r="G56" s="132"/>
      <c r="H56" s="132"/>
      <c r="I56" s="132"/>
      <c r="J56" s="132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</row>
    <row customFormat="1" customHeight="1" ht="15" r="57" s="14" spans="1:29" x14ac:dyDescent="0.2">
      <c r="A57" s="119"/>
      <c r="B57" s="119"/>
      <c r="C57" s="132"/>
      <c r="D57" s="132"/>
      <c r="E57" s="132"/>
      <c r="F57" s="132"/>
      <c r="G57" s="132"/>
      <c r="H57" s="132"/>
      <c r="I57" s="132"/>
      <c r="J57" s="132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</row>
    <row customFormat="1" customHeight="1" ht="15" r="58" s="14" spans="1:29" x14ac:dyDescent="0.2">
      <c r="A58" s="119"/>
      <c r="B58" s="119"/>
      <c r="C58" s="132"/>
      <c r="D58" s="132"/>
      <c r="E58" s="132"/>
      <c r="F58" s="132"/>
      <c r="G58" s="132"/>
      <c r="H58" s="132"/>
      <c r="I58" s="132"/>
      <c r="J58" s="132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</row>
    <row customFormat="1" customHeight="1" ht="15" r="59" s="14" spans="1:29" x14ac:dyDescent="0.2">
      <c r="A59" s="119"/>
      <c r="B59" s="119"/>
      <c r="C59" s="132"/>
      <c r="D59" s="132"/>
      <c r="E59" s="132"/>
      <c r="F59" s="132"/>
      <c r="G59" s="132"/>
      <c r="H59" s="132"/>
      <c r="I59" s="132"/>
      <c r="J59" s="132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</row>
    <row customFormat="1" customHeight="1" ht="15" r="60" s="14" spans="1:29" x14ac:dyDescent="0.2">
      <c r="A60" s="119"/>
      <c r="B60" s="119"/>
      <c r="C60" s="132"/>
      <c r="D60" s="132"/>
      <c r="E60" s="132"/>
      <c r="F60" s="132"/>
      <c r="G60" s="132"/>
      <c r="H60" s="132"/>
      <c r="I60" s="132"/>
      <c r="J60" s="132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</row>
    <row customFormat="1" customHeight="1" ht="15" r="61" s="14" spans="1:29" x14ac:dyDescent="0.2">
      <c r="A61" s="119"/>
      <c r="B61" s="119"/>
      <c r="C61" s="132"/>
      <c r="D61" s="132"/>
      <c r="E61" s="132"/>
      <c r="F61" s="132"/>
      <c r="G61" s="132"/>
      <c r="H61" s="132"/>
      <c r="I61" s="132"/>
      <c r="J61" s="132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</row>
    <row customFormat="1" customHeight="1" ht="15" r="62" s="14" spans="1:29" x14ac:dyDescent="0.2">
      <c r="A62" s="119"/>
      <c r="B62" s="119"/>
      <c r="C62" s="132"/>
      <c r="D62" s="132"/>
      <c r="E62" s="132"/>
      <c r="F62" s="132"/>
      <c r="G62" s="132"/>
      <c r="H62" s="132"/>
      <c r="I62" s="132"/>
      <c r="J62" s="132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</row>
    <row customFormat="1" customHeight="1" ht="15" r="63" s="14" spans="1:29" x14ac:dyDescent="0.2">
      <c r="A63" s="119"/>
      <c r="B63" s="119"/>
      <c r="C63" s="132"/>
      <c r="D63" s="132"/>
      <c r="E63" s="132"/>
      <c r="F63" s="132"/>
      <c r="G63" s="132"/>
      <c r="H63" s="132"/>
      <c r="I63" s="132"/>
      <c r="J63" s="132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</row>
    <row customFormat="1" customHeight="1" ht="15" r="64" s="14" spans="1:29" x14ac:dyDescent="0.2">
      <c r="A64" s="119"/>
      <c r="B64" s="119"/>
      <c r="C64" s="132"/>
      <c r="D64" s="132"/>
      <c r="E64" s="132"/>
      <c r="F64" s="132"/>
      <c r="G64" s="132"/>
      <c r="H64" s="132"/>
      <c r="I64" s="132"/>
      <c r="J64" s="132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</row>
    <row customFormat="1" customHeight="1" ht="15" r="65" s="14" spans="1:29" x14ac:dyDescent="0.2">
      <c r="A65" s="119"/>
      <c r="B65" s="119"/>
      <c r="C65" s="132"/>
      <c r="D65" s="132"/>
      <c r="E65" s="132"/>
      <c r="F65" s="132"/>
      <c r="G65" s="132"/>
      <c r="H65" s="132"/>
      <c r="I65" s="132"/>
      <c r="J65" s="132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</row>
    <row customFormat="1" customHeight="1" ht="15" r="66" s="14" spans="1:29" x14ac:dyDescent="0.2">
      <c r="A66" s="119"/>
      <c r="B66" s="119"/>
      <c r="C66" s="132"/>
      <c r="D66" s="132"/>
      <c r="E66" s="132"/>
      <c r="F66" s="132"/>
      <c r="G66" s="132"/>
      <c r="H66" s="132"/>
      <c r="I66" s="132"/>
      <c r="J66" s="132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</row>
    <row customFormat="1" customHeight="1" ht="15" r="67" s="14" spans="1:29" x14ac:dyDescent="0.2">
      <c r="A67" s="119"/>
      <c r="B67" s="119"/>
      <c r="C67" s="132"/>
      <c r="D67" s="132"/>
      <c r="E67" s="132"/>
      <c r="F67" s="132"/>
      <c r="G67" s="132"/>
      <c r="H67" s="132"/>
      <c r="I67" s="132"/>
      <c r="J67" s="132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</row>
    <row customFormat="1" customHeight="1" ht="15" r="68" s="14" spans="1:29" x14ac:dyDescent="0.2">
      <c r="A68" s="119"/>
      <c r="B68" s="119"/>
      <c r="C68" s="132"/>
      <c r="D68" s="132"/>
      <c r="E68" s="132"/>
      <c r="F68" s="132"/>
      <c r="G68" s="132"/>
      <c r="H68" s="132"/>
      <c r="I68" s="132"/>
      <c r="J68" s="132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</row>
    <row customFormat="1" customHeight="1" ht="15" r="69" s="15" spans="1:29" x14ac:dyDescent="0.2">
      <c r="A69" s="120"/>
      <c r="B69" s="120"/>
      <c r="C69" s="133"/>
      <c r="D69" s="133"/>
      <c r="E69" s="133"/>
      <c r="F69" s="133"/>
      <c r="G69" s="133"/>
      <c r="H69" s="133"/>
      <c r="I69" s="133"/>
      <c r="J69" s="133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</row>
    <row customFormat="1" customHeight="1" ht="15" r="70" s="15" spans="1:29" x14ac:dyDescent="0.2">
      <c r="C70" s="27"/>
      <c r="D70" s="27"/>
      <c r="E70" s="27"/>
      <c r="F70" s="27"/>
      <c r="G70" s="27"/>
      <c r="H70" s="27"/>
      <c r="I70" s="27"/>
      <c r="J70" s="27"/>
    </row>
    <row customFormat="1" customHeight="1" ht="15" r="71" s="14" spans="1:29" x14ac:dyDescent="0.2">
      <c r="C71" s="16"/>
      <c r="D71" s="16"/>
      <c r="E71" s="16"/>
      <c r="F71" s="16"/>
      <c r="G71" s="16"/>
      <c r="H71" s="16"/>
      <c r="I71" s="16"/>
      <c r="J71" s="16"/>
    </row>
    <row customFormat="1" customHeight="1" ht="15" r="72" s="14" spans="1:29" x14ac:dyDescent="0.2">
      <c r="C72" s="16"/>
      <c r="D72" s="16"/>
      <c r="E72" s="16"/>
      <c r="F72" s="16"/>
      <c r="G72" s="16"/>
      <c r="H72" s="16"/>
      <c r="I72" s="16"/>
      <c r="J72" s="16"/>
    </row>
    <row customFormat="1" customHeight="1" ht="15" r="73" s="14" spans="1:29" x14ac:dyDescent="0.2">
      <c r="C73" s="16"/>
      <c r="D73" s="16"/>
      <c r="E73" s="16"/>
      <c r="F73" s="16"/>
      <c r="G73" s="16"/>
      <c r="H73" s="16"/>
      <c r="I73" s="16"/>
      <c r="J73" s="16"/>
    </row>
    <row customFormat="1" customHeight="1" ht="15" r="74" s="14" spans="1:29" x14ac:dyDescent="0.2">
      <c r="C74" s="16"/>
      <c r="D74" s="16"/>
      <c r="E74" s="16"/>
      <c r="F74" s="16"/>
      <c r="G74" s="16"/>
      <c r="H74" s="16"/>
      <c r="I74" s="16"/>
      <c r="J74" s="16"/>
    </row>
    <row customFormat="1" customHeight="1" ht="15" r="75" s="14" spans="1:29" x14ac:dyDescent="0.2">
      <c r="C75" s="16"/>
      <c r="D75" s="16"/>
      <c r="E75" s="16"/>
      <c r="F75" s="16"/>
      <c r="G75" s="16"/>
      <c r="H75" s="16"/>
      <c r="I75" s="16"/>
      <c r="J75" s="16"/>
    </row>
    <row customFormat="1" customHeight="1" ht="15" r="76" s="14" spans="1:29" x14ac:dyDescent="0.2">
      <c r="C76" s="16"/>
      <c r="D76" s="16"/>
      <c r="E76" s="16"/>
      <c r="F76" s="16"/>
      <c r="G76" s="16"/>
      <c r="H76" s="16"/>
      <c r="I76" s="16"/>
      <c r="J76" s="16"/>
    </row>
    <row customFormat="1" customHeight="1" ht="15" r="77" s="14" spans="2:10" x14ac:dyDescent="0.2">
      <c r="C77" s="16"/>
      <c r="D77" s="16"/>
      <c r="E77" s="16"/>
      <c r="F77" s="16"/>
      <c r="G77" s="16"/>
      <c r="H77" s="16"/>
      <c r="I77" s="16"/>
      <c r="J77" s="16"/>
    </row>
    <row customFormat="1" customHeight="1" ht="15" r="78" s="14" spans="2:10" x14ac:dyDescent="0.2">
      <c r="C78" s="16"/>
      <c r="D78" s="16"/>
      <c r="E78" s="16"/>
      <c r="F78" s="16"/>
      <c r="G78" s="16"/>
      <c r="H78" s="16"/>
      <c r="I78" s="16"/>
      <c r="J78" s="16"/>
    </row>
    <row customFormat="1" customHeight="1" ht="15" r="79" s="14" spans="2:10" x14ac:dyDescent="0.2">
      <c r="C79" s="16"/>
      <c r="D79" s="16"/>
      <c r="E79" s="16"/>
      <c r="F79" s="16"/>
      <c r="G79" s="16"/>
      <c r="H79" s="16"/>
      <c r="I79" s="16"/>
      <c r="J79" s="16"/>
    </row>
    <row customFormat="1" customHeight="1" ht="15" r="80" s="14" spans="2:10" x14ac:dyDescent="0.2">
      <c r="C80" s="16"/>
      <c r="D80" s="16"/>
      <c r="E80" s="16"/>
      <c r="F80" s="16"/>
      <c r="G80" s="16"/>
      <c r="H80" s="16"/>
      <c r="I80" s="16"/>
      <c r="J80" s="16"/>
    </row>
    <row customFormat="1" customHeight="1" ht="15" r="81" s="14" spans="2:10" x14ac:dyDescent="0.2">
      <c r="C81" s="16"/>
      <c r="D81" s="16"/>
      <c r="E81" s="16"/>
      <c r="F81" s="16"/>
      <c r="G81" s="16"/>
      <c r="H81" s="16"/>
      <c r="I81" s="16"/>
      <c r="J81" s="16"/>
    </row>
    <row customFormat="1" customHeight="1" ht="15" r="82" s="14" spans="2:10" x14ac:dyDescent="0.2">
      <c r="C82" s="16"/>
      <c r="D82" s="16"/>
      <c r="E82" s="16"/>
      <c r="F82" s="16"/>
      <c r="G82" s="16"/>
      <c r="H82" s="16"/>
      <c r="I82" s="16"/>
      <c r="J82" s="16"/>
    </row>
    <row customHeight="1" ht="15" r="83" spans="2:10" x14ac:dyDescent="0.2">
      <c r="B83" s="17"/>
      <c r="C83" s="18"/>
      <c r="D83" s="18"/>
      <c r="E83" s="18"/>
      <c r="F83" s="18"/>
      <c r="G83" s="18"/>
      <c r="H83" s="18"/>
      <c r="I83" s="18"/>
      <c r="J83" s="18"/>
    </row>
    <row customHeight="1" ht="15" r="84" spans="2:10" x14ac:dyDescent="0.2">
      <c r="B84" s="17"/>
      <c r="C84" s="18"/>
      <c r="D84" s="18"/>
      <c r="E84" s="18"/>
      <c r="F84" s="18"/>
      <c r="G84" s="18"/>
      <c r="H84" s="18"/>
      <c r="I84" s="18"/>
      <c r="J84" s="18"/>
    </row>
    <row customHeight="1" ht="15" r="85" spans="2:10" x14ac:dyDescent="0.2">
      <c r="B85" s="17"/>
      <c r="C85" s="18"/>
      <c r="D85" s="18"/>
      <c r="E85" s="18"/>
      <c r="F85" s="18"/>
      <c r="G85" s="18"/>
      <c r="H85" s="18"/>
      <c r="I85" s="18"/>
      <c r="J85" s="18"/>
    </row>
    <row customHeight="1" ht="15" r="86" spans="2:10" x14ac:dyDescent="0.2">
      <c r="B86" s="17"/>
      <c r="C86" s="18"/>
      <c r="D86" s="18"/>
      <c r="E86" s="18"/>
      <c r="F86" s="18"/>
      <c r="G86" s="18"/>
      <c r="H86" s="18"/>
      <c r="I86" s="18"/>
      <c r="J86" s="18"/>
    </row>
    <row customHeight="1" ht="15" r="87" spans="2:10" x14ac:dyDescent="0.2">
      <c r="B87" s="17"/>
      <c r="C87" s="18"/>
      <c r="D87" s="18"/>
      <c r="E87" s="18"/>
      <c r="F87" s="18"/>
      <c r="G87" s="18"/>
      <c r="H87" s="18"/>
      <c r="I87" s="18"/>
      <c r="J87" s="18"/>
    </row>
    <row customHeight="1" ht="15" r="88" spans="2:10" x14ac:dyDescent="0.2">
      <c r="B88" s="17"/>
      <c r="C88" s="18"/>
      <c r="D88" s="18"/>
      <c r="E88" s="18"/>
      <c r="F88" s="18"/>
      <c r="G88" s="18"/>
      <c r="H88" s="18"/>
      <c r="I88" s="18"/>
      <c r="J88" s="18"/>
    </row>
    <row customHeight="1" ht="15" r="89" spans="2:10" x14ac:dyDescent="0.2">
      <c r="B89" s="17"/>
      <c r="C89" s="18"/>
      <c r="D89" s="18"/>
      <c r="E89" s="18"/>
      <c r="F89" s="18"/>
      <c r="G89" s="18"/>
      <c r="H89" s="18"/>
      <c r="I89" s="18"/>
      <c r="J89" s="18"/>
    </row>
    <row customHeight="1" ht="15" r="90" spans="2:10" x14ac:dyDescent="0.2">
      <c r="B90" s="17"/>
      <c r="C90" s="18"/>
      <c r="D90" s="18"/>
      <c r="E90" s="18"/>
      <c r="F90" s="18"/>
      <c r="G90" s="18"/>
      <c r="H90" s="18"/>
      <c r="I90" s="18"/>
      <c r="J90" s="18"/>
    </row>
    <row customHeight="1" ht="15" r="91" spans="2:10" x14ac:dyDescent="0.2">
      <c r="B91" s="17"/>
      <c r="C91" s="18"/>
      <c r="D91" s="18"/>
      <c r="E91" s="18"/>
      <c r="F91" s="18"/>
      <c r="G91" s="18"/>
      <c r="H91" s="18"/>
      <c r="I91" s="18"/>
      <c r="J91" s="18"/>
    </row>
    <row customHeight="1" ht="15" r="92" spans="2:10" x14ac:dyDescent="0.2">
      <c r="B92" s="17"/>
      <c r="C92" s="18"/>
      <c r="D92" s="18"/>
      <c r="E92" s="18"/>
      <c r="F92" s="18"/>
      <c r="G92" s="18"/>
      <c r="H92" s="18"/>
      <c r="I92" s="18"/>
      <c r="J92" s="18"/>
    </row>
    <row customHeight="1" ht="15" r="93" spans="2:10" x14ac:dyDescent="0.2">
      <c r="B93" s="17"/>
      <c r="C93" s="18"/>
      <c r="D93" s="18"/>
      <c r="E93" s="18"/>
      <c r="F93" s="18"/>
      <c r="G93" s="18"/>
      <c r="H93" s="18"/>
      <c r="I93" s="18"/>
      <c r="J93" s="18"/>
    </row>
    <row customHeight="1" ht="15" r="94" spans="2:10" x14ac:dyDescent="0.2">
      <c r="B94" s="17"/>
      <c r="C94" s="18"/>
      <c r="D94" s="18"/>
      <c r="E94" s="18"/>
      <c r="F94" s="18"/>
      <c r="G94" s="18"/>
      <c r="H94" s="18"/>
      <c r="I94" s="18"/>
      <c r="J94" s="18"/>
    </row>
  </sheetData>
  <mergeCells count="82">
    <mergeCell ref="T35:T36"/>
    <mergeCell ref="U35:V36"/>
    <mergeCell ref="K35:K36"/>
    <mergeCell ref="L35:M36"/>
    <mergeCell ref="N35:N36"/>
    <mergeCell ref="O35:P36"/>
    <mergeCell ref="Q35:Q36"/>
    <mergeCell ref="R35:S36"/>
    <mergeCell ref="R33:S34"/>
    <mergeCell ref="T33:T34"/>
    <mergeCell ref="U33:V34"/>
    <mergeCell ref="K31:K32"/>
    <mergeCell ref="L31:M32"/>
    <mergeCell ref="N31:N32"/>
    <mergeCell ref="O31:P32"/>
    <mergeCell ref="Q31:Q32"/>
    <mergeCell ref="R31:S32"/>
    <mergeCell ref="K33:K34"/>
    <mergeCell ref="L33:M34"/>
    <mergeCell ref="N33:N34"/>
    <mergeCell ref="O33:P34"/>
    <mergeCell ref="Q33:Q34"/>
    <mergeCell ref="Q29:Q30"/>
    <mergeCell ref="R29:S30"/>
    <mergeCell ref="T29:T30"/>
    <mergeCell ref="U29:V30"/>
    <mergeCell ref="T31:T32"/>
    <mergeCell ref="U31:V32"/>
    <mergeCell ref="T24:T25"/>
    <mergeCell ref="U24:V25"/>
    <mergeCell ref="J27:J36"/>
    <mergeCell ref="K27:K28"/>
    <mergeCell ref="L27:M28"/>
    <mergeCell ref="N27:N28"/>
    <mergeCell ref="O27:P28"/>
    <mergeCell ref="Q27:Q28"/>
    <mergeCell ref="R27:S28"/>
    <mergeCell ref="T27:T28"/>
    <mergeCell ref="J16:J25"/>
    <mergeCell ref="U27:V28"/>
    <mergeCell ref="K29:K30"/>
    <mergeCell ref="L29:M30"/>
    <mergeCell ref="N29:N30"/>
    <mergeCell ref="O29:P30"/>
    <mergeCell ref="R24:S25"/>
    <mergeCell ref="K22:K23"/>
    <mergeCell ref="L22:M23"/>
    <mergeCell ref="N22:N23"/>
    <mergeCell ref="O22:P23"/>
    <mergeCell ref="K24:K25"/>
    <mergeCell ref="L24:M25"/>
    <mergeCell ref="N24:N25"/>
    <mergeCell ref="O24:P25"/>
    <mergeCell ref="Q24:Q25"/>
    <mergeCell ref="R20:S21"/>
    <mergeCell ref="T20:T21"/>
    <mergeCell ref="U20:V21"/>
    <mergeCell ref="Q22:Q23"/>
    <mergeCell ref="R22:S23"/>
    <mergeCell ref="T22:T23"/>
    <mergeCell ref="U22:V23"/>
    <mergeCell ref="K20:K21"/>
    <mergeCell ref="L20:M21"/>
    <mergeCell ref="N20:N21"/>
    <mergeCell ref="O20:P21"/>
    <mergeCell ref="Q20:Q21"/>
    <mergeCell ref="R16:S17"/>
    <mergeCell ref="T16:T17"/>
    <mergeCell ref="U16:V17"/>
    <mergeCell ref="K18:K19"/>
    <mergeCell ref="L18:M19"/>
    <mergeCell ref="N18:N19"/>
    <mergeCell ref="O18:P19"/>
    <mergeCell ref="Q18:Q19"/>
    <mergeCell ref="R18:S19"/>
    <mergeCell ref="T18:T19"/>
    <mergeCell ref="K16:K17"/>
    <mergeCell ref="L16:M17"/>
    <mergeCell ref="N16:N17"/>
    <mergeCell ref="O16:P17"/>
    <mergeCell ref="Q16:Q17"/>
    <mergeCell ref="U18:V19"/>
  </mergeCells>
  <phoneticPr fontId="3"/>
  <hyperlinks>
    <hyperlink location="'世帯'!A1" ref="L16"/>
    <hyperlink location="'男女　３５～４９才'!A1" ref="L18"/>
    <hyperlink location="'男女　３５～４９才TF'!A1" ref="L29"/>
  </hyperlinks>
  <pageMargins bottom="1" footer="0.51200000000000001" header="0.51200000000000001" left="0.75" right="0.75" top="1"/>
  <pageSetup horizontalDpi="300" orientation="landscape" paperSize="9" r:id="rId1" scale="78" verticalDpi="300"/>
  <headerFooter alignWithMargins="0"/>
  <drawing r:id="rId2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6"/>
  <dimension ref="A1:AU200"/>
  <sheetViews>
    <sheetView workbookViewId="0" zoomScaleNormal="100">
      <pane activePane="bottomLeft" state="frozen" topLeftCell="A6" ySplit="5"/>
      <selection pane="bottomLeft"/>
    </sheetView>
  </sheetViews>
  <sheetFormatPr defaultColWidth="9" defaultRowHeight="11" x14ac:dyDescent="0.2"/>
  <cols>
    <col min="1" max="1" customWidth="true" style="1" width="6.6328125" collapsed="false"/>
    <col min="2" max="8" customWidth="true" style="1" width="5.6328125" collapsed="false"/>
    <col min="9" max="10" customWidth="true" style="1" width="6.08984375" collapsed="false"/>
    <col min="11" max="11" customWidth="true" style="1" width="6.36328125" collapsed="false"/>
    <col min="12" max="12" customWidth="true" style="1" width="6.08984375" collapsed="false"/>
    <col min="13" max="13" customWidth="true" style="1" width="1.7265625" collapsed="false"/>
    <col min="14" max="14" customWidth="true" style="1" width="6.6328125" collapsed="false"/>
    <col min="15" max="21" customWidth="true" style="1" width="5.6328125" collapsed="false"/>
    <col min="22" max="23" customWidth="true" style="1" width="6.08984375" collapsed="false"/>
    <col min="24" max="24" customWidth="true" style="1" width="6.36328125" collapsed="false"/>
    <col min="25" max="25" customWidth="true" style="1" width="6.08984375" collapsed="false"/>
    <col min="26" max="26" customWidth="true" style="1" width="1.90625" collapsed="false"/>
    <col min="27" max="27" customWidth="true" style="1" width="6.6328125" collapsed="false"/>
    <col min="28" max="34" customWidth="true" style="1" width="5.6328125" collapsed="false"/>
    <col min="35" max="36" customWidth="true" style="1" width="6.08984375" collapsed="false"/>
    <col min="37" max="37" customWidth="true" style="1" width="6.36328125" collapsed="false"/>
    <col min="38" max="38" customWidth="true" style="1" width="6.08984375" collapsed="false"/>
    <col min="39" max="47" customWidth="true" style="1" width="5.6328125" collapsed="false"/>
    <col min="48" max="16384" style="1" width="9.0" collapsed="false"/>
  </cols>
  <sheetData>
    <row customHeight="1" ht="11.25" r="1" spans="1:46" x14ac:dyDescent="0.2">
      <c r="A1" s="134"/>
      <c r="B1" s="135"/>
      <c r="C1" s="136"/>
      <c r="D1" s="136"/>
      <c r="E1" s="136"/>
      <c r="F1" s="136"/>
      <c r="G1" s="136"/>
      <c r="H1" s="136"/>
      <c r="I1" s="137" t="s">
        <v>0</v>
      </c>
      <c r="J1" s="135"/>
      <c r="K1" s="138" t="s">
        <v>869</v>
      </c>
      <c r="L1" s="138"/>
      <c r="M1" s="139"/>
      <c r="N1" s="139"/>
      <c r="O1" s="139"/>
      <c r="P1" s="139"/>
      <c r="Q1" s="139"/>
      <c r="R1" s="139"/>
      <c r="S1" s="139"/>
      <c r="T1" s="139"/>
      <c r="U1" s="140"/>
      <c r="V1" s="141" t="n">
        <v>10.0</v>
      </c>
      <c r="W1" s="142" t="s">
        <v>1</v>
      </c>
      <c r="X1" s="139"/>
      <c r="Y1" s="139"/>
      <c r="Z1" s="136"/>
      <c r="AA1" s="143"/>
      <c r="AB1" s="143"/>
      <c r="AC1" s="143"/>
      <c r="AD1" s="143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</row>
    <row customHeight="1" ht="11.25" r="2" spans="1:46" x14ac:dyDescent="0.2">
      <c r="A2" s="134"/>
      <c r="B2" s="135"/>
      <c r="C2" s="136"/>
      <c r="D2" s="136"/>
      <c r="E2" s="136"/>
      <c r="F2" s="136"/>
      <c r="G2" s="136"/>
      <c r="H2" s="136"/>
      <c r="I2" s="137" t="s">
        <v>2</v>
      </c>
      <c r="J2" s="135"/>
      <c r="K2" s="138" t="s">
        <v>870</v>
      </c>
      <c r="L2" s="138"/>
      <c r="M2" s="139"/>
      <c r="N2" s="139"/>
      <c r="O2" s="139"/>
      <c r="P2" s="139"/>
      <c r="Q2" s="139"/>
      <c r="R2" s="139"/>
      <c r="S2" s="139"/>
      <c r="T2" s="139"/>
      <c r="U2" s="144"/>
      <c r="V2" s="141" t="n">
        <v>5.0</v>
      </c>
      <c r="W2" s="142" t="s">
        <v>1</v>
      </c>
      <c r="X2" s="139"/>
      <c r="Y2" s="139"/>
      <c r="Z2" s="136"/>
      <c r="AA2" s="143"/>
      <c r="AB2" s="143"/>
      <c r="AC2" s="143"/>
      <c r="AD2" s="143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</row>
    <row customHeight="1" ht="11.25" r="3" spans="1:46" x14ac:dyDescent="0.2">
      <c r="A3" s="134"/>
      <c r="B3" s="135"/>
      <c r="C3" s="136"/>
      <c r="D3" s="136"/>
      <c r="E3" s="136"/>
      <c r="F3" s="145" t="s">
        <v>885</v>
      </c>
      <c r="G3" s="136"/>
      <c r="H3" s="136"/>
      <c r="I3" s="137" t="s">
        <v>3</v>
      </c>
      <c r="J3" s="135"/>
      <c r="K3" s="138" t="s">
        <v>871</v>
      </c>
      <c r="L3" s="138"/>
      <c r="M3" s="139"/>
      <c r="N3" s="139"/>
      <c r="O3" s="139"/>
      <c r="P3" s="139"/>
      <c r="Q3" s="139"/>
      <c r="R3" s="139"/>
      <c r="S3" s="139"/>
      <c r="T3" s="139"/>
      <c r="U3" s="146"/>
      <c r="V3" s="141" t="n">
        <v>3.0</v>
      </c>
      <c r="W3" s="142" t="s">
        <v>1</v>
      </c>
      <c r="X3" s="139"/>
      <c r="Y3" s="139"/>
      <c r="Z3" s="136"/>
      <c r="AA3" s="143"/>
      <c r="AB3" s="143"/>
      <c r="AC3" s="143"/>
      <c r="AD3" s="143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</row>
    <row customHeight="1" ht="11.25" r="4" spans="1:46" x14ac:dyDescent="0.2">
      <c r="A4" s="134"/>
      <c r="B4" s="135"/>
      <c r="C4" s="136"/>
      <c r="D4" s="136"/>
      <c r="E4" s="136"/>
      <c r="F4" s="136"/>
      <c r="G4" s="136"/>
      <c r="H4" s="136"/>
      <c r="I4" s="137" t="s">
        <v>50</v>
      </c>
      <c r="J4" s="135"/>
      <c r="K4" s="138" t="s">
        <v>888</v>
      </c>
      <c r="L4" s="138"/>
      <c r="M4" s="139"/>
      <c r="N4" s="139"/>
      <c r="O4" s="139"/>
      <c r="P4" s="139"/>
      <c r="Q4" s="139"/>
      <c r="R4" s="139"/>
      <c r="S4" s="139"/>
      <c r="T4" s="139"/>
      <c r="U4" s="136"/>
      <c r="V4" s="156" t="s">
        <v>886</v>
      </c>
      <c r="W4" s="136"/>
      <c r="X4" s="139"/>
      <c r="Y4" s="139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</row>
    <row customHeight="1" ht="11.25" r="5" spans="1:46" x14ac:dyDescent="0.2">
      <c r="A5" s="136" t="s">
        <v>874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57" t="s">
        <v>876</v>
      </c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</row>
    <row customFormat="1" r="6" s="5" spans="1:46" x14ac:dyDescent="0.2">
      <c r="A6" s="40" t="s">
        <v>878</v>
      </c>
      <c r="B6" s="41" t="s">
        <v>4</v>
      </c>
      <c r="C6" s="41" t="s">
        <v>5</v>
      </c>
      <c r="D6" s="41" t="s">
        <v>6</v>
      </c>
      <c r="E6" s="41" t="s">
        <v>7</v>
      </c>
      <c r="F6" s="41" t="s">
        <v>8</v>
      </c>
      <c r="G6" s="41" t="s">
        <v>9</v>
      </c>
      <c r="H6" s="41" t="s">
        <v>10</v>
      </c>
      <c r="I6" s="42" t="s">
        <v>11</v>
      </c>
      <c r="J6" s="43" t="s">
        <v>12</v>
      </c>
      <c r="K6" s="2"/>
      <c r="L6" s="2"/>
      <c r="N6" s="40" t="s">
        <v>879</v>
      </c>
      <c r="O6" s="41" t="s">
        <v>4</v>
      </c>
      <c r="P6" s="41" t="s">
        <v>5</v>
      </c>
      <c r="Q6" s="41" t="s">
        <v>6</v>
      </c>
      <c r="R6" s="41" t="s">
        <v>7</v>
      </c>
      <c r="S6" s="41" t="s">
        <v>8</v>
      </c>
      <c r="T6" s="41" t="s">
        <v>9</v>
      </c>
      <c r="U6" s="41" t="s">
        <v>10</v>
      </c>
      <c r="V6" s="42" t="s">
        <v>11</v>
      </c>
      <c r="W6" s="43" t="s">
        <v>12</v>
      </c>
      <c r="X6" s="2"/>
      <c r="Y6" s="2"/>
      <c r="AA6" s="40" t="s">
        <v>100</v>
      </c>
      <c r="AB6" s="41" t="s">
        <v>4</v>
      </c>
      <c r="AC6" s="41" t="s">
        <v>5</v>
      </c>
      <c r="AD6" s="41" t="s">
        <v>6</v>
      </c>
      <c r="AE6" s="41" t="s">
        <v>7</v>
      </c>
      <c r="AF6" s="41" t="s">
        <v>8</v>
      </c>
      <c r="AG6" s="41" t="s">
        <v>9</v>
      </c>
      <c r="AH6" s="41" t="s">
        <v>10</v>
      </c>
      <c r="AI6" s="42" t="s">
        <v>11</v>
      </c>
      <c r="AJ6" s="43" t="s">
        <v>12</v>
      </c>
      <c r="AK6" s="2"/>
      <c r="AL6" s="2"/>
    </row>
    <row customFormat="1" r="7" s="5" spans="1:46" x14ac:dyDescent="0.2">
      <c r="A7" s="44" t="s">
        <v>16</v>
      </c>
      <c r="B7" s="31" t="n">
        <v>2.3</v>
      </c>
      <c r="C7" s="31" t="n">
        <v>2.2</v>
      </c>
      <c r="D7" s="31" t="n">
        <v>2.3</v>
      </c>
      <c r="E7" s="31" t="n">
        <v>2.3</v>
      </c>
      <c r="F7" s="31" t="n">
        <v>2.2</v>
      </c>
      <c r="G7" s="31" t="n">
        <v>1.2</v>
      </c>
      <c r="H7" s="31" t="n">
        <v>0.7</v>
      </c>
      <c r="I7" s="32" t="n">
        <v>2.3</v>
      </c>
      <c r="J7" s="45" t="n">
        <v>1.9</v>
      </c>
      <c r="K7" s="6"/>
      <c r="L7" s="6"/>
      <c r="N7" s="44" t="s">
        <v>16</v>
      </c>
      <c r="O7" s="31" t="n">
        <v>2.4</v>
      </c>
      <c r="P7" s="31" t="n">
        <v>2.3</v>
      </c>
      <c r="Q7" s="31" t="n">
        <v>2.4</v>
      </c>
      <c r="R7" s="31" t="n">
        <v>2.3</v>
      </c>
      <c r="S7" s="31" t="n">
        <v>2.2</v>
      </c>
      <c r="T7" s="31" t="n">
        <v>1.4</v>
      </c>
      <c r="U7" s="31" t="n">
        <v>0.8</v>
      </c>
      <c r="V7" s="32" t="n">
        <v>2.3</v>
      </c>
      <c r="W7" s="45" t="n">
        <v>2.0</v>
      </c>
      <c r="X7" s="6"/>
      <c r="Y7" s="6"/>
      <c r="AA7" s="44" t="s">
        <v>16</v>
      </c>
      <c r="AB7" s="31" t="n">
        <v>2.3</v>
      </c>
      <c r="AC7" s="31" t="n">
        <v>2.4</v>
      </c>
      <c r="AD7" s="31" t="n">
        <v>2.2</v>
      </c>
      <c r="AE7" s="31" t="n">
        <v>2.3</v>
      </c>
      <c r="AF7" s="31" t="n">
        <v>2.2</v>
      </c>
      <c r="AG7" s="31" t="n">
        <v>1.5</v>
      </c>
      <c r="AH7" s="31" t="n">
        <v>1.1</v>
      </c>
      <c r="AI7" s="32" t="n">
        <v>2.3</v>
      </c>
      <c r="AJ7" s="45" t="n">
        <v>2.0</v>
      </c>
      <c r="AK7" s="6"/>
      <c r="AL7" s="6"/>
    </row>
    <row customFormat="1" r="8" s="5" spans="1:46" x14ac:dyDescent="0.2">
      <c r="A8" s="46" t="s">
        <v>17</v>
      </c>
      <c r="B8" s="31" t="n">
        <v>5.3</v>
      </c>
      <c r="C8" s="31" t="n">
        <v>5.2</v>
      </c>
      <c r="D8" s="31" t="n">
        <v>5.2</v>
      </c>
      <c r="E8" s="31" t="n">
        <v>5.2</v>
      </c>
      <c r="F8" s="31" t="n">
        <v>5.0</v>
      </c>
      <c r="G8" s="31" t="n">
        <v>4.2</v>
      </c>
      <c r="H8" s="31" t="n">
        <v>2.9</v>
      </c>
      <c r="I8" s="32" t="n">
        <v>5.2</v>
      </c>
      <c r="J8" s="45" t="n">
        <v>4.7</v>
      </c>
      <c r="K8" s="6"/>
      <c r="L8" s="6"/>
      <c r="N8" s="46" t="s">
        <v>17</v>
      </c>
      <c r="O8" s="31" t="n">
        <v>6.3</v>
      </c>
      <c r="P8" s="31" t="n">
        <v>6.2</v>
      </c>
      <c r="Q8" s="31" t="n">
        <v>6.3</v>
      </c>
      <c r="R8" s="31" t="n">
        <v>6.3</v>
      </c>
      <c r="S8" s="31" t="n">
        <v>6.1</v>
      </c>
      <c r="T8" s="31" t="n">
        <v>5.1</v>
      </c>
      <c r="U8" s="31" t="n">
        <v>5.4</v>
      </c>
      <c r="V8" s="32" t="n">
        <v>6.2</v>
      </c>
      <c r="W8" s="45" t="n">
        <v>6.0</v>
      </c>
      <c r="X8" s="6"/>
      <c r="Y8" s="6"/>
      <c r="AA8" s="46" t="s">
        <v>17</v>
      </c>
      <c r="AB8" s="31" t="n">
        <v>3.7</v>
      </c>
      <c r="AC8" s="31" t="n">
        <v>3.6</v>
      </c>
      <c r="AD8" s="31" t="n">
        <v>3.5</v>
      </c>
      <c r="AE8" s="31" t="n">
        <v>3.7</v>
      </c>
      <c r="AF8" s="31" t="n">
        <v>3.3</v>
      </c>
      <c r="AG8" s="31" t="n">
        <v>1.7</v>
      </c>
      <c r="AH8" s="31" t="n">
        <v>3.1</v>
      </c>
      <c r="AI8" s="32" t="n">
        <v>3.6</v>
      </c>
      <c r="AJ8" s="45" t="n">
        <v>3.3</v>
      </c>
      <c r="AK8" s="6"/>
      <c r="AL8" s="6"/>
    </row>
    <row customFormat="1" r="9" s="5" spans="1:46" x14ac:dyDescent="0.2">
      <c r="A9" s="46" t="s">
        <v>18</v>
      </c>
      <c r="B9" s="31" t="n">
        <v>7.6</v>
      </c>
      <c r="C9" s="31" t="n">
        <v>7.6</v>
      </c>
      <c r="D9" s="31" t="n">
        <v>7.5</v>
      </c>
      <c r="E9" s="31" t="n">
        <v>7.4</v>
      </c>
      <c r="F9" s="31" t="n">
        <v>7.1</v>
      </c>
      <c r="G9" s="31" t="n">
        <v>6.7</v>
      </c>
      <c r="H9" s="31" t="n">
        <v>6.5</v>
      </c>
      <c r="I9" s="32" t="n">
        <v>7.5</v>
      </c>
      <c r="J9" s="45" t="n">
        <v>7.2</v>
      </c>
      <c r="K9" s="6"/>
      <c r="L9" s="6"/>
      <c r="N9" s="46" t="s">
        <v>18</v>
      </c>
      <c r="O9" s="31" t="n">
        <v>8.8</v>
      </c>
      <c r="P9" s="31" t="n">
        <v>9.0</v>
      </c>
      <c r="Q9" s="31" t="n">
        <v>9.1</v>
      </c>
      <c r="R9" s="31" t="n">
        <v>9.2</v>
      </c>
      <c r="S9" s="31" t="n">
        <v>9.1</v>
      </c>
      <c r="T9" s="31" t="n">
        <v>8.6</v>
      </c>
      <c r="U9" s="31" t="n">
        <v>7.5</v>
      </c>
      <c r="V9" s="32" t="n">
        <v>9.0</v>
      </c>
      <c r="W9" s="45" t="n">
        <v>8.7</v>
      </c>
      <c r="X9" s="6"/>
      <c r="Y9" s="6"/>
      <c r="AA9" s="46" t="s">
        <v>18</v>
      </c>
      <c r="AB9" s="31" t="n">
        <v>4.6</v>
      </c>
      <c r="AC9" s="31" t="n">
        <v>4.3</v>
      </c>
      <c r="AD9" s="31" t="n">
        <v>4.5</v>
      </c>
      <c r="AE9" s="31" t="n">
        <v>4.5</v>
      </c>
      <c r="AF9" s="31" t="n">
        <v>4.1</v>
      </c>
      <c r="AG9" s="31" t="n">
        <v>2.6</v>
      </c>
      <c r="AH9" s="31" t="n">
        <v>5.8</v>
      </c>
      <c r="AI9" s="32" t="n">
        <v>4.4</v>
      </c>
      <c r="AJ9" s="45" t="n">
        <v>4.4</v>
      </c>
      <c r="AK9" s="6"/>
      <c r="AL9" s="6"/>
    </row>
    <row customFormat="1" r="10" s="5" spans="1:46" x14ac:dyDescent="0.2">
      <c r="A10" s="46" t="s">
        <v>19</v>
      </c>
      <c r="B10" s="31" t="n">
        <v>5.6</v>
      </c>
      <c r="C10" s="31" t="n">
        <v>5.5</v>
      </c>
      <c r="D10" s="31" t="n">
        <v>5.8</v>
      </c>
      <c r="E10" s="31" t="n">
        <v>6.0</v>
      </c>
      <c r="F10" s="31" t="n">
        <v>5.9</v>
      </c>
      <c r="G10" s="31" t="n">
        <v>8.2</v>
      </c>
      <c r="H10" s="31" t="n">
        <v>10.9</v>
      </c>
      <c r="I10" s="32" t="n">
        <v>5.7</v>
      </c>
      <c r="J10" s="45" t="n">
        <v>6.9</v>
      </c>
      <c r="K10" s="6"/>
      <c r="L10" s="6"/>
      <c r="N10" s="46" t="s">
        <v>19</v>
      </c>
      <c r="O10" s="31" t="n">
        <v>11.1</v>
      </c>
      <c r="P10" s="31" t="n">
        <v>10.8</v>
      </c>
      <c r="Q10" s="31" t="n">
        <v>11.1</v>
      </c>
      <c r="R10" s="31" t="n">
        <v>11.3</v>
      </c>
      <c r="S10" s="31" t="n">
        <v>11.3</v>
      </c>
      <c r="T10" s="31" t="n">
        <v>7.6</v>
      </c>
      <c r="U10" s="31" t="n">
        <v>4.7</v>
      </c>
      <c r="V10" s="32" t="n">
        <v>11.1</v>
      </c>
      <c r="W10" s="45" t="n">
        <v>9.6</v>
      </c>
      <c r="X10" s="6"/>
      <c r="Y10" s="6"/>
      <c r="AA10" s="46" t="s">
        <v>19</v>
      </c>
      <c r="AB10" s="31" t="n">
        <v>2.8</v>
      </c>
      <c r="AC10" s="31" t="n">
        <v>2.6</v>
      </c>
      <c r="AD10" s="31" t="n">
        <v>2.7</v>
      </c>
      <c r="AE10" s="31" t="n">
        <v>2.8</v>
      </c>
      <c r="AF10" s="31" t="n">
        <v>2.7</v>
      </c>
      <c r="AG10" s="31" t="n">
        <v>5.3</v>
      </c>
      <c r="AH10" s="31" t="n">
        <v>10.9</v>
      </c>
      <c r="AI10" s="32" t="n">
        <v>2.7</v>
      </c>
      <c r="AJ10" s="45" t="n">
        <v>4.4</v>
      </c>
      <c r="AK10" s="6"/>
      <c r="AL10" s="6"/>
    </row>
    <row customFormat="1" r="11" s="5" spans="1:46" x14ac:dyDescent="0.2">
      <c r="A11" s="46" t="s">
        <v>20</v>
      </c>
      <c r="B11" s="31" t="n">
        <v>4.6</v>
      </c>
      <c r="C11" s="31" t="n">
        <v>4.4</v>
      </c>
      <c r="D11" s="31" t="n">
        <v>4.2</v>
      </c>
      <c r="E11" s="31" t="n">
        <v>4.7</v>
      </c>
      <c r="F11" s="31" t="n">
        <v>4.6</v>
      </c>
      <c r="G11" s="31" t="n">
        <v>7.6</v>
      </c>
      <c r="H11" s="31" t="n">
        <v>10.5</v>
      </c>
      <c r="I11" s="32" t="n">
        <v>4.5</v>
      </c>
      <c r="J11" s="45" t="n">
        <v>5.9</v>
      </c>
      <c r="K11" s="6"/>
      <c r="L11" s="6"/>
      <c r="N11" s="46" t="s">
        <v>20</v>
      </c>
      <c r="O11" s="31" t="n">
        <v>9.3</v>
      </c>
      <c r="P11" s="31" t="n">
        <v>9.4</v>
      </c>
      <c r="Q11" s="31" t="n">
        <v>9.1</v>
      </c>
      <c r="R11" s="31" t="n">
        <v>9.5</v>
      </c>
      <c r="S11" s="31" t="n">
        <v>9.2</v>
      </c>
      <c r="T11" s="31" t="n">
        <v>5.2</v>
      </c>
      <c r="U11" s="31" t="n">
        <v>2.0</v>
      </c>
      <c r="V11" s="32" t="n">
        <v>9.3</v>
      </c>
      <c r="W11" s="45" t="n">
        <v>7.6</v>
      </c>
      <c r="X11" s="6"/>
      <c r="Y11" s="6"/>
      <c r="AA11" s="46" t="s">
        <v>20</v>
      </c>
      <c r="AB11" s="31" t="n">
        <v>2.3</v>
      </c>
      <c r="AC11" s="31" t="n">
        <v>2.3</v>
      </c>
      <c r="AD11" s="31" t="n">
        <v>2.2</v>
      </c>
      <c r="AE11" s="31" t="n">
        <v>2.2</v>
      </c>
      <c r="AF11" s="31" t="n">
        <v>2.3</v>
      </c>
      <c r="AG11" s="31" t="n">
        <v>4.9</v>
      </c>
      <c r="AH11" s="31" t="n">
        <v>13.1</v>
      </c>
      <c r="AI11" s="32" t="n">
        <v>2.3</v>
      </c>
      <c r="AJ11" s="45" t="n">
        <v>4.4</v>
      </c>
      <c r="AK11" s="6"/>
      <c r="AL11" s="6"/>
    </row>
    <row customFormat="1" r="12" s="5" spans="1:46" x14ac:dyDescent="0.2">
      <c r="A12" s="46" t="s">
        <v>21</v>
      </c>
      <c r="B12" s="31" t="n">
        <v>3.7</v>
      </c>
      <c r="C12" s="31" t="n">
        <v>3.8</v>
      </c>
      <c r="D12" s="31" t="n">
        <v>3.4</v>
      </c>
      <c r="E12" s="31" t="n">
        <v>3.7</v>
      </c>
      <c r="F12" s="31" t="n">
        <v>3.3</v>
      </c>
      <c r="G12" s="31" t="n">
        <v>6.8</v>
      </c>
      <c r="H12" s="31" t="n">
        <v>7.6</v>
      </c>
      <c r="I12" s="32" t="n">
        <v>3.6</v>
      </c>
      <c r="J12" s="45" t="n">
        <v>4.6</v>
      </c>
      <c r="K12" s="6"/>
      <c r="L12" s="6"/>
      <c r="N12" s="46" t="s">
        <v>21</v>
      </c>
      <c r="O12" s="31" t="n">
        <v>5.4</v>
      </c>
      <c r="P12" s="31" t="n">
        <v>5.6</v>
      </c>
      <c r="Q12" s="31" t="n">
        <v>4.8</v>
      </c>
      <c r="R12" s="31" t="n">
        <v>5.0</v>
      </c>
      <c r="S12" s="31" t="n">
        <v>5.3</v>
      </c>
      <c r="T12" s="31" t="n">
        <v>1.8</v>
      </c>
      <c r="U12" s="31" t="n">
        <v>1.2</v>
      </c>
      <c r="V12" s="32" t="n">
        <v>5.2</v>
      </c>
      <c r="W12" s="45" t="n">
        <v>4.1</v>
      </c>
      <c r="X12" s="6"/>
      <c r="Y12" s="6"/>
      <c r="AA12" s="46" t="s">
        <v>21</v>
      </c>
      <c r="AB12" s="31" t="n">
        <v>1.6</v>
      </c>
      <c r="AC12" s="31" t="n">
        <v>1.6</v>
      </c>
      <c r="AD12" s="31" t="n">
        <v>1.6</v>
      </c>
      <c r="AE12" s="31" t="n">
        <v>1.4</v>
      </c>
      <c r="AF12" s="31" t="n">
        <v>1.5</v>
      </c>
      <c r="AG12" s="31" t="n">
        <v>4.3</v>
      </c>
      <c r="AH12" s="31" t="n">
        <v>9.2</v>
      </c>
      <c r="AI12" s="32" t="n">
        <v>1.5</v>
      </c>
      <c r="AJ12" s="45" t="n">
        <v>3.1</v>
      </c>
      <c r="AK12" s="6"/>
      <c r="AL12" s="6"/>
    </row>
    <row customFormat="1" r="13" s="5" spans="1:46" x14ac:dyDescent="0.2">
      <c r="A13" s="46" t="s">
        <v>22</v>
      </c>
      <c r="B13" s="31" t="n">
        <v>2.8</v>
      </c>
      <c r="C13" s="31" t="n">
        <v>3.0</v>
      </c>
      <c r="D13" s="31" t="n">
        <v>2.8</v>
      </c>
      <c r="E13" s="31" t="n">
        <v>3.0</v>
      </c>
      <c r="F13" s="31" t="n">
        <v>2.1</v>
      </c>
      <c r="G13" s="31" t="n">
        <v>5.4</v>
      </c>
      <c r="H13" s="31" t="n">
        <v>6.7</v>
      </c>
      <c r="I13" s="32" t="n">
        <v>2.8</v>
      </c>
      <c r="J13" s="45" t="n">
        <v>3.7</v>
      </c>
      <c r="K13" s="6"/>
      <c r="L13" s="6"/>
      <c r="N13" s="46" t="s">
        <v>22</v>
      </c>
      <c r="O13" s="31" t="n">
        <v>5.9</v>
      </c>
      <c r="P13" s="31" t="n">
        <v>6.0</v>
      </c>
      <c r="Q13" s="31" t="n">
        <v>5.7</v>
      </c>
      <c r="R13" s="31" t="n">
        <v>5.6</v>
      </c>
      <c r="S13" s="31" t="n">
        <v>6.3</v>
      </c>
      <c r="T13" s="31" t="n">
        <v>2.4</v>
      </c>
      <c r="U13" s="31" t="n">
        <v>2.3</v>
      </c>
      <c r="V13" s="32" t="n">
        <v>5.9</v>
      </c>
      <c r="W13" s="45" t="n">
        <v>4.9</v>
      </c>
      <c r="X13" s="6"/>
      <c r="Y13" s="6"/>
      <c r="AA13" s="46" t="s">
        <v>22</v>
      </c>
      <c r="AB13" s="31" t="n">
        <v>2.3</v>
      </c>
      <c r="AC13" s="31" t="n">
        <v>2.5</v>
      </c>
      <c r="AD13" s="31" t="n">
        <v>2.5</v>
      </c>
      <c r="AE13" s="31" t="n">
        <v>2.3</v>
      </c>
      <c r="AF13" s="31" t="n">
        <v>2.5</v>
      </c>
      <c r="AG13" s="31" t="n">
        <v>3.8</v>
      </c>
      <c r="AH13" s="31" t="n">
        <v>6.4</v>
      </c>
      <c r="AI13" s="32" t="n">
        <v>2.4</v>
      </c>
      <c r="AJ13" s="45" t="n">
        <v>3.2</v>
      </c>
      <c r="AK13" s="6"/>
      <c r="AL13" s="6"/>
    </row>
    <row customFormat="1" r="14" s="5" spans="1:46" x14ac:dyDescent="0.2">
      <c r="A14" s="46" t="s">
        <v>23</v>
      </c>
      <c r="B14" s="31" t="n">
        <v>3.5</v>
      </c>
      <c r="C14" s="31" t="n">
        <v>3.9</v>
      </c>
      <c r="D14" s="31" t="n">
        <v>3.6</v>
      </c>
      <c r="E14" s="31" t="n">
        <v>3.7</v>
      </c>
      <c r="F14" s="31" t="n">
        <v>3.4</v>
      </c>
      <c r="G14" s="31" t="n">
        <v>4.6</v>
      </c>
      <c r="H14" s="31" t="n">
        <v>5.7</v>
      </c>
      <c r="I14" s="32" t="n">
        <v>3.6</v>
      </c>
      <c r="J14" s="45" t="n">
        <v>4.1</v>
      </c>
      <c r="K14" s="6"/>
      <c r="L14" s="6"/>
      <c r="N14" s="46" t="s">
        <v>23</v>
      </c>
      <c r="O14" s="31" t="n">
        <v>6.2</v>
      </c>
      <c r="P14" s="31" t="n">
        <v>5.8</v>
      </c>
      <c r="Q14" s="31" t="n">
        <v>5.8</v>
      </c>
      <c r="R14" s="31" t="n">
        <v>5.6</v>
      </c>
      <c r="S14" s="31" t="n">
        <v>5.8</v>
      </c>
      <c r="T14" s="31" t="n">
        <v>4.1</v>
      </c>
      <c r="U14" s="31" t="n">
        <v>5.6</v>
      </c>
      <c r="V14" s="32" t="n">
        <v>5.9</v>
      </c>
      <c r="W14" s="45" t="n">
        <v>5.6</v>
      </c>
      <c r="X14" s="6"/>
      <c r="Y14" s="6"/>
      <c r="AA14" s="46" t="s">
        <v>23</v>
      </c>
      <c r="AB14" s="31" t="n">
        <v>3.8</v>
      </c>
      <c r="AC14" s="31" t="n">
        <v>3.8</v>
      </c>
      <c r="AD14" s="31" t="n">
        <v>3.9</v>
      </c>
      <c r="AE14" s="31" t="n">
        <v>3.6</v>
      </c>
      <c r="AF14" s="31" t="n">
        <v>3.7</v>
      </c>
      <c r="AG14" s="31" t="n">
        <v>4.0</v>
      </c>
      <c r="AH14" s="31" t="n">
        <v>4.3</v>
      </c>
      <c r="AI14" s="32" t="n">
        <v>3.7</v>
      </c>
      <c r="AJ14" s="45" t="n">
        <v>3.9</v>
      </c>
      <c r="AK14" s="6"/>
      <c r="AL14" s="6"/>
    </row>
    <row customFormat="1" r="15" s="5" spans="1:46" x14ac:dyDescent="0.2">
      <c r="A15" s="46" t="s">
        <v>24</v>
      </c>
      <c r="B15" s="31" t="n">
        <v>3.3</v>
      </c>
      <c r="C15" s="31" t="n">
        <v>3.7</v>
      </c>
      <c r="D15" s="31" t="n">
        <v>3.5</v>
      </c>
      <c r="E15" s="31" t="n">
        <v>3.4</v>
      </c>
      <c r="F15" s="31" t="n">
        <v>3.4</v>
      </c>
      <c r="G15" s="31" t="n">
        <v>3.7</v>
      </c>
      <c r="H15" s="31" t="n">
        <v>5.7</v>
      </c>
      <c r="I15" s="32" t="n">
        <v>3.5</v>
      </c>
      <c r="J15" s="45" t="n">
        <v>3.9</v>
      </c>
      <c r="K15" s="6"/>
      <c r="L15" s="6"/>
      <c r="N15" s="46" t="s">
        <v>24</v>
      </c>
      <c r="O15" s="31" t="n">
        <v>4.2</v>
      </c>
      <c r="P15" s="31" t="n">
        <v>4.1</v>
      </c>
      <c r="Q15" s="31" t="n">
        <v>3.8</v>
      </c>
      <c r="R15" s="31" t="n">
        <v>3.9</v>
      </c>
      <c r="S15" s="31" t="n">
        <v>3.8</v>
      </c>
      <c r="T15" s="31" t="n">
        <v>3.3</v>
      </c>
      <c r="U15" s="31" t="n">
        <v>2.3</v>
      </c>
      <c r="V15" s="32" t="n">
        <v>4.0</v>
      </c>
      <c r="W15" s="45" t="n">
        <v>3.6</v>
      </c>
      <c r="X15" s="6"/>
      <c r="Y15" s="6"/>
      <c r="AA15" s="46" t="s">
        <v>24</v>
      </c>
      <c r="AB15" s="31" t="n">
        <v>4.9</v>
      </c>
      <c r="AC15" s="31" t="n">
        <v>4.5</v>
      </c>
      <c r="AD15" s="31" t="n">
        <v>4.9</v>
      </c>
      <c r="AE15" s="31" t="n">
        <v>5.0</v>
      </c>
      <c r="AF15" s="31" t="n">
        <v>4.8</v>
      </c>
      <c r="AG15" s="31" t="n">
        <v>3.7</v>
      </c>
      <c r="AH15" s="31" t="n">
        <v>2.6</v>
      </c>
      <c r="AI15" s="32" t="n">
        <v>4.8</v>
      </c>
      <c r="AJ15" s="45" t="n">
        <v>4.3</v>
      </c>
      <c r="AK15" s="6"/>
      <c r="AL15" s="6"/>
    </row>
    <row customFormat="1" r="16" s="5" spans="1:46" x14ac:dyDescent="0.2">
      <c r="A16" s="46" t="s">
        <v>25</v>
      </c>
      <c r="B16" s="31" t="n">
        <v>3.8</v>
      </c>
      <c r="C16" s="31" t="n">
        <v>4.6</v>
      </c>
      <c r="D16" s="31" t="n">
        <v>4.5</v>
      </c>
      <c r="E16" s="31" t="n">
        <v>4.2</v>
      </c>
      <c r="F16" s="31" t="n">
        <v>4.0</v>
      </c>
      <c r="G16" s="31" t="n">
        <v>3.2</v>
      </c>
      <c r="H16" s="31" t="n">
        <v>3.3</v>
      </c>
      <c r="I16" s="32" t="n">
        <v>4.2</v>
      </c>
      <c r="J16" s="45" t="n">
        <v>3.9</v>
      </c>
      <c r="K16" s="6"/>
      <c r="L16" s="6"/>
      <c r="N16" s="46" t="s">
        <v>25</v>
      </c>
      <c r="O16" s="31" t="n">
        <v>3.4</v>
      </c>
      <c r="P16" s="31" t="n">
        <v>2.9</v>
      </c>
      <c r="Q16" s="31" t="n">
        <v>3.3</v>
      </c>
      <c r="R16" s="31" t="n">
        <v>3.1</v>
      </c>
      <c r="S16" s="31" t="n">
        <v>2.1</v>
      </c>
      <c r="T16" s="31" t="n">
        <v>2.9</v>
      </c>
      <c r="U16" s="31" t="n">
        <v>2.8</v>
      </c>
      <c r="V16" s="32" t="n">
        <v>3.0</v>
      </c>
      <c r="W16" s="45" t="n">
        <v>2.9</v>
      </c>
      <c r="X16" s="6"/>
      <c r="Y16" s="6"/>
      <c r="AA16" s="46" t="s">
        <v>25</v>
      </c>
      <c r="AB16" s="31" t="n">
        <v>4.3</v>
      </c>
      <c r="AC16" s="31" t="n">
        <v>4.2</v>
      </c>
      <c r="AD16" s="31" t="n">
        <v>4.3</v>
      </c>
      <c r="AE16" s="31" t="n">
        <v>4.4</v>
      </c>
      <c r="AF16" s="31" t="n">
        <v>4.4</v>
      </c>
      <c r="AG16" s="31" t="n">
        <v>2.8</v>
      </c>
      <c r="AH16" s="31" t="n">
        <v>2.2</v>
      </c>
      <c r="AI16" s="32" t="n">
        <v>4.3</v>
      </c>
      <c r="AJ16" s="45" t="n">
        <v>3.8</v>
      </c>
      <c r="AK16" s="6"/>
      <c r="AL16" s="6"/>
    </row>
    <row customFormat="1" r="17" s="5" spans="1:38" x14ac:dyDescent="0.2">
      <c r="A17" s="46" t="s">
        <v>26</v>
      </c>
      <c r="B17" s="31" t="n">
        <v>3.8</v>
      </c>
      <c r="C17" s="31" t="n">
        <v>4.4</v>
      </c>
      <c r="D17" s="31" t="n">
        <v>4.5</v>
      </c>
      <c r="E17" s="31" t="n">
        <v>4.1</v>
      </c>
      <c r="F17" s="31" t="n">
        <v>4.0</v>
      </c>
      <c r="G17" s="31" t="n">
        <v>2.8</v>
      </c>
      <c r="H17" s="31" t="n">
        <v>3.3</v>
      </c>
      <c r="I17" s="32" t="n">
        <v>4.1</v>
      </c>
      <c r="J17" s="45" t="n">
        <v>3.8</v>
      </c>
      <c r="K17" s="6"/>
      <c r="L17" s="6"/>
      <c r="N17" s="46" t="s">
        <v>26</v>
      </c>
      <c r="O17" s="31" t="n">
        <v>4.2</v>
      </c>
      <c r="P17" s="31" t="n">
        <v>4.1</v>
      </c>
      <c r="Q17" s="31" t="n">
        <v>4.1</v>
      </c>
      <c r="R17" s="31" t="n">
        <v>3.9</v>
      </c>
      <c r="S17" s="31" t="n">
        <v>3.3</v>
      </c>
      <c r="T17" s="31" t="n">
        <v>2.1</v>
      </c>
      <c r="U17" s="31" t="n">
        <v>3.8</v>
      </c>
      <c r="V17" s="32" t="n">
        <v>3.9</v>
      </c>
      <c r="W17" s="45" t="n">
        <v>3.7</v>
      </c>
      <c r="X17" s="6"/>
      <c r="Y17" s="6"/>
      <c r="AA17" s="46" t="s">
        <v>26</v>
      </c>
      <c r="AB17" s="31" t="n">
        <v>4.0</v>
      </c>
      <c r="AC17" s="31" t="n">
        <v>4.1</v>
      </c>
      <c r="AD17" s="31" t="n">
        <v>4.2</v>
      </c>
      <c r="AE17" s="31" t="n">
        <v>3.8</v>
      </c>
      <c r="AF17" s="31" t="n">
        <v>3.8</v>
      </c>
      <c r="AG17" s="31" t="n">
        <v>2.9</v>
      </c>
      <c r="AH17" s="31" t="n">
        <v>2.4</v>
      </c>
      <c r="AI17" s="32" t="n">
        <v>4.0</v>
      </c>
      <c r="AJ17" s="45" t="n">
        <v>3.6</v>
      </c>
      <c r="AK17" s="6"/>
      <c r="AL17" s="6"/>
    </row>
    <row customFormat="1" r="18" s="5" spans="1:38" x14ac:dyDescent="0.2">
      <c r="A18" s="46" t="s">
        <v>27</v>
      </c>
      <c r="B18" s="31" t="n">
        <v>4.5</v>
      </c>
      <c r="C18" s="31" t="n">
        <v>4.6</v>
      </c>
      <c r="D18" s="31" t="n">
        <v>4.6</v>
      </c>
      <c r="E18" s="31" t="n">
        <v>4.4</v>
      </c>
      <c r="F18" s="31" t="n">
        <v>4.2</v>
      </c>
      <c r="G18" s="31" t="n">
        <v>3.6</v>
      </c>
      <c r="H18" s="31" t="n">
        <v>4.2</v>
      </c>
      <c r="I18" s="32" t="n">
        <v>4.5</v>
      </c>
      <c r="J18" s="45" t="n">
        <v>4.3</v>
      </c>
      <c r="K18" s="6"/>
      <c r="L18" s="6"/>
      <c r="N18" s="46" t="s">
        <v>27</v>
      </c>
      <c r="O18" s="31" t="n">
        <v>5.7</v>
      </c>
      <c r="P18" s="31" t="n">
        <v>6.2</v>
      </c>
      <c r="Q18" s="31" t="n">
        <v>5.8</v>
      </c>
      <c r="R18" s="31" t="n">
        <v>5.7</v>
      </c>
      <c r="S18" s="31" t="n">
        <v>5.3</v>
      </c>
      <c r="T18" s="31" t="n">
        <v>2.0</v>
      </c>
      <c r="U18" s="31" t="n">
        <v>5.6</v>
      </c>
      <c r="V18" s="32" t="n">
        <v>5.8</v>
      </c>
      <c r="W18" s="45" t="n">
        <v>5.3</v>
      </c>
      <c r="X18" s="6"/>
      <c r="Y18" s="6"/>
      <c r="AA18" s="46" t="s">
        <v>27</v>
      </c>
      <c r="AB18" s="31" t="n">
        <v>4.0</v>
      </c>
      <c r="AC18" s="31" t="n">
        <v>4.0</v>
      </c>
      <c r="AD18" s="31" t="n">
        <v>3.9</v>
      </c>
      <c r="AE18" s="31" t="n">
        <v>3.8</v>
      </c>
      <c r="AF18" s="31" t="n">
        <v>3.9</v>
      </c>
      <c r="AG18" s="31" t="n">
        <v>3.1</v>
      </c>
      <c r="AH18" s="31" t="n">
        <v>2.1</v>
      </c>
      <c r="AI18" s="32" t="n">
        <v>3.9</v>
      </c>
      <c r="AJ18" s="45" t="n">
        <v>3.5</v>
      </c>
      <c r="AK18" s="6"/>
      <c r="AL18" s="6"/>
    </row>
    <row customFormat="1" r="19" s="5" spans="1:38" x14ac:dyDescent="0.2">
      <c r="A19" s="46" t="s">
        <v>28</v>
      </c>
      <c r="B19" s="31" t="n">
        <v>5.7</v>
      </c>
      <c r="C19" s="31" t="n">
        <v>5.9</v>
      </c>
      <c r="D19" s="31" t="n">
        <v>5.7</v>
      </c>
      <c r="E19" s="31" t="n">
        <v>5.3</v>
      </c>
      <c r="F19" s="31" t="n">
        <v>5.5</v>
      </c>
      <c r="G19" s="31" t="n">
        <v>4.7</v>
      </c>
      <c r="H19" s="31" t="n">
        <v>7.7</v>
      </c>
      <c r="I19" s="32" t="n">
        <v>5.7</v>
      </c>
      <c r="J19" s="45" t="n">
        <v>5.9</v>
      </c>
      <c r="K19" s="6"/>
      <c r="L19" s="6"/>
      <c r="N19" s="46" t="s">
        <v>28</v>
      </c>
      <c r="O19" s="31" t="n">
        <v>5.6</v>
      </c>
      <c r="P19" s="31" t="n">
        <v>5.7</v>
      </c>
      <c r="Q19" s="31" t="n">
        <v>5.3</v>
      </c>
      <c r="R19" s="31" t="n">
        <v>5.0</v>
      </c>
      <c r="S19" s="31" t="n">
        <v>5.3</v>
      </c>
      <c r="T19" s="31" t="n">
        <v>4.6</v>
      </c>
      <c r="U19" s="31" t="n">
        <v>6.6</v>
      </c>
      <c r="V19" s="32" t="n">
        <v>5.4</v>
      </c>
      <c r="W19" s="45" t="n">
        <v>5.5</v>
      </c>
      <c r="X19" s="6"/>
      <c r="Y19" s="6"/>
      <c r="AA19" s="46" t="s">
        <v>28</v>
      </c>
      <c r="AB19" s="31" t="n">
        <v>4.6</v>
      </c>
      <c r="AC19" s="31" t="n">
        <v>4.6</v>
      </c>
      <c r="AD19" s="31" t="n">
        <v>4.4</v>
      </c>
      <c r="AE19" s="31" t="n">
        <v>4.3</v>
      </c>
      <c r="AF19" s="31" t="n">
        <v>4.3</v>
      </c>
      <c r="AG19" s="31" t="n">
        <v>4.1</v>
      </c>
      <c r="AH19" s="31" t="n">
        <v>1.7</v>
      </c>
      <c r="AI19" s="32" t="n">
        <v>4.5</v>
      </c>
      <c r="AJ19" s="45" t="n">
        <v>4.0</v>
      </c>
      <c r="AK19" s="6"/>
      <c r="AL19" s="6"/>
    </row>
    <row customFormat="1" r="20" s="5" spans="1:38" x14ac:dyDescent="0.2">
      <c r="A20" s="46" t="s">
        <v>29</v>
      </c>
      <c r="B20" s="31" t="n">
        <v>8.2</v>
      </c>
      <c r="C20" s="31" t="n">
        <v>8.3</v>
      </c>
      <c r="D20" s="31" t="n">
        <v>8.0</v>
      </c>
      <c r="E20" s="31" t="n">
        <v>8.1</v>
      </c>
      <c r="F20" s="31" t="n">
        <v>8.3</v>
      </c>
      <c r="G20" s="31" t="n">
        <v>7.2</v>
      </c>
      <c r="H20" s="31" t="n">
        <v>10.9</v>
      </c>
      <c r="I20" s="32" t="n">
        <v>8.2</v>
      </c>
      <c r="J20" s="45" t="n">
        <v>8.5</v>
      </c>
      <c r="K20" s="51" t="s">
        <v>15</v>
      </c>
      <c r="L20" s="52" t="s">
        <v>877</v>
      </c>
      <c r="N20" s="46" t="s">
        <v>29</v>
      </c>
      <c r="O20" s="31" t="n">
        <v>7.0</v>
      </c>
      <c r="P20" s="31" t="n">
        <v>7.1</v>
      </c>
      <c r="Q20" s="31" t="n">
        <v>6.7</v>
      </c>
      <c r="R20" s="31" t="n">
        <v>6.1</v>
      </c>
      <c r="S20" s="31" t="n">
        <v>7.9</v>
      </c>
      <c r="T20" s="31" t="n">
        <v>8.1</v>
      </c>
      <c r="U20" s="31" t="n">
        <v>7.9</v>
      </c>
      <c r="V20" s="32" t="n">
        <v>7.0</v>
      </c>
      <c r="W20" s="45" t="n">
        <v>7.3</v>
      </c>
      <c r="X20" s="51" t="s">
        <v>15</v>
      </c>
      <c r="Y20" s="52" t="s">
        <v>877</v>
      </c>
      <c r="AA20" s="46" t="s">
        <v>29</v>
      </c>
      <c r="AB20" s="31" t="n">
        <v>6.5</v>
      </c>
      <c r="AC20" s="31" t="n">
        <v>5.7</v>
      </c>
      <c r="AD20" s="31" t="n">
        <v>6.1</v>
      </c>
      <c r="AE20" s="31" t="n">
        <v>6.0</v>
      </c>
      <c r="AF20" s="31" t="n">
        <v>5.7</v>
      </c>
      <c r="AG20" s="31" t="n">
        <v>6.8</v>
      </c>
      <c r="AH20" s="31" t="n">
        <v>4.7</v>
      </c>
      <c r="AI20" s="32" t="n">
        <v>6.0</v>
      </c>
      <c r="AJ20" s="45" t="n">
        <v>5.9</v>
      </c>
      <c r="AK20" s="51" t="s">
        <v>15</v>
      </c>
      <c r="AL20" s="52" t="s">
        <v>877</v>
      </c>
    </row>
    <row customFormat="1" r="21" s="5" spans="1:38" x14ac:dyDescent="0.2">
      <c r="A21" s="46" t="s">
        <v>31</v>
      </c>
      <c r="B21" s="31" t="n">
        <v>8.2</v>
      </c>
      <c r="C21" s="31" t="n">
        <v>8.7</v>
      </c>
      <c r="D21" s="31" t="n">
        <v>6.7</v>
      </c>
      <c r="E21" s="31" t="n">
        <v>8.4</v>
      </c>
      <c r="F21" s="31" t="n">
        <v>7.4</v>
      </c>
      <c r="G21" s="31" t="n">
        <v>7.8</v>
      </c>
      <c r="H21" s="31" t="n">
        <v>8.5</v>
      </c>
      <c r="I21" s="32" t="n">
        <v>7.9</v>
      </c>
      <c r="J21" s="45" t="n">
        <v>8.0</v>
      </c>
      <c r="K21" s="53"/>
      <c r="L21" s="45"/>
      <c r="N21" s="46" t="s">
        <v>31</v>
      </c>
      <c r="O21" s="31" t="n">
        <v>8.1</v>
      </c>
      <c r="P21" s="31" t="n">
        <v>9.7</v>
      </c>
      <c r="Q21" s="31" t="n">
        <v>7.7</v>
      </c>
      <c r="R21" s="31" t="n">
        <v>8.0</v>
      </c>
      <c r="S21" s="31" t="n">
        <v>11.5</v>
      </c>
      <c r="T21" s="31" t="n">
        <v>9.3</v>
      </c>
      <c r="U21" s="31" t="n">
        <v>9.0</v>
      </c>
      <c r="V21" s="32" t="n">
        <v>9.0</v>
      </c>
      <c r="W21" s="45" t="n">
        <v>9.0</v>
      </c>
      <c r="X21" s="53"/>
      <c r="Y21" s="45"/>
      <c r="AA21" s="46" t="s">
        <v>31</v>
      </c>
      <c r="AB21" s="31" t="n">
        <v>6.8</v>
      </c>
      <c r="AC21" s="31" t="n">
        <v>4.8</v>
      </c>
      <c r="AD21" s="31" t="n">
        <v>7.1</v>
      </c>
      <c r="AE21" s="31" t="n">
        <v>7.2</v>
      </c>
      <c r="AF21" s="31" t="n">
        <v>4.5</v>
      </c>
      <c r="AG21" s="31" t="n">
        <v>4.5</v>
      </c>
      <c r="AH21" s="31" t="n">
        <v>7.4</v>
      </c>
      <c r="AI21" s="32" t="n">
        <v>6.1</v>
      </c>
      <c r="AJ21" s="45" t="n">
        <v>6.1</v>
      </c>
      <c r="AK21" s="53"/>
      <c r="AL21" s="45"/>
    </row>
    <row customFormat="1" r="22" s="5" spans="1:38" x14ac:dyDescent="0.2">
      <c r="A22" s="46" t="s">
        <v>32</v>
      </c>
      <c r="B22" s="31" t="n">
        <v>8.4</v>
      </c>
      <c r="C22" s="31" t="n">
        <v>7.9</v>
      </c>
      <c r="D22" s="31" t="n">
        <v>6.5</v>
      </c>
      <c r="E22" s="31" t="n">
        <v>9.6</v>
      </c>
      <c r="F22" s="31" t="n">
        <v>7.8</v>
      </c>
      <c r="G22" s="31" t="n">
        <v>7.1</v>
      </c>
      <c r="H22" s="31" t="n">
        <v>9.2</v>
      </c>
      <c r="I22" s="32" t="n">
        <v>8.0</v>
      </c>
      <c r="J22" s="45" t="n">
        <v>8.1</v>
      </c>
      <c r="K22" s="53"/>
      <c r="L22" s="45"/>
      <c r="N22" s="46" t="s">
        <v>32</v>
      </c>
      <c r="O22" s="31" t="n">
        <v>9.8</v>
      </c>
      <c r="P22" s="31" t="n">
        <v>10.7</v>
      </c>
      <c r="Q22" s="31" t="n">
        <v>9.5</v>
      </c>
      <c r="R22" s="31" t="n">
        <v>10.1</v>
      </c>
      <c r="S22" s="31" t="n">
        <v>10.0</v>
      </c>
      <c r="T22" s="31" t="n">
        <v>10.4</v>
      </c>
      <c r="U22" s="31" t="n">
        <v>10.9</v>
      </c>
      <c r="V22" s="32" t="n">
        <v>10.1</v>
      </c>
      <c r="W22" s="45" t="n">
        <v>10.2</v>
      </c>
      <c r="X22" s="53"/>
      <c r="Y22" s="45"/>
      <c r="AA22" s="46" t="s">
        <v>32</v>
      </c>
      <c r="AB22" s="31" t="n">
        <v>7.4</v>
      </c>
      <c r="AC22" s="31" t="n">
        <v>6.0</v>
      </c>
      <c r="AD22" s="31" t="n">
        <v>7.6</v>
      </c>
      <c r="AE22" s="31" t="n">
        <v>6.6</v>
      </c>
      <c r="AF22" s="31" t="n">
        <v>5.2</v>
      </c>
      <c r="AG22" s="31" t="n">
        <v>4.9</v>
      </c>
      <c r="AH22" s="31" t="n">
        <v>7.5</v>
      </c>
      <c r="AI22" s="32" t="n">
        <v>6.6</v>
      </c>
      <c r="AJ22" s="45" t="n">
        <v>6.5</v>
      </c>
      <c r="AK22" s="53"/>
      <c r="AL22" s="45"/>
    </row>
    <row customFormat="1" r="23" s="5" spans="1:38" x14ac:dyDescent="0.2">
      <c r="A23" s="46" t="s">
        <v>33</v>
      </c>
      <c r="B23" s="31" t="n">
        <v>8.0</v>
      </c>
      <c r="C23" s="31" t="n">
        <v>7.0</v>
      </c>
      <c r="D23" s="31" t="n">
        <v>7.4</v>
      </c>
      <c r="E23" s="31" t="n">
        <v>7.9</v>
      </c>
      <c r="F23" s="31" t="n">
        <v>7.1</v>
      </c>
      <c r="G23" s="31" t="n">
        <v>5.5</v>
      </c>
      <c r="H23" s="31" t="n">
        <v>6.9</v>
      </c>
      <c r="I23" s="32" t="n">
        <v>7.5</v>
      </c>
      <c r="J23" s="45" t="n">
        <v>7.1</v>
      </c>
      <c r="K23" s="53"/>
      <c r="L23" s="45"/>
      <c r="N23" s="46" t="s">
        <v>33</v>
      </c>
      <c r="O23" s="31" t="n">
        <v>9.2</v>
      </c>
      <c r="P23" s="31" t="n">
        <v>8.6</v>
      </c>
      <c r="Q23" s="31" t="n">
        <v>10.1</v>
      </c>
      <c r="R23" s="31" t="n">
        <v>10.0</v>
      </c>
      <c r="S23" s="31" t="n">
        <v>8.6</v>
      </c>
      <c r="T23" s="31" t="n">
        <v>9.9</v>
      </c>
      <c r="U23" s="31" t="n">
        <v>10.0</v>
      </c>
      <c r="V23" s="32" t="n">
        <v>9.2</v>
      </c>
      <c r="W23" s="45" t="n">
        <v>9.5</v>
      </c>
      <c r="X23" s="53"/>
      <c r="Y23" s="45"/>
      <c r="AA23" s="46" t="s">
        <v>33</v>
      </c>
      <c r="AB23" s="31" t="n">
        <v>6.5</v>
      </c>
      <c r="AC23" s="31" t="n">
        <v>7.6</v>
      </c>
      <c r="AD23" s="31" t="n">
        <v>5.8</v>
      </c>
      <c r="AE23" s="31" t="n">
        <v>4.9</v>
      </c>
      <c r="AF23" s="31" t="n">
        <v>4.8</v>
      </c>
      <c r="AG23" s="31" t="n">
        <v>5.3</v>
      </c>
      <c r="AH23" s="31" t="n">
        <v>10.6</v>
      </c>
      <c r="AI23" s="32" t="n">
        <v>6.0</v>
      </c>
      <c r="AJ23" s="45" t="n">
        <v>6.7</v>
      </c>
      <c r="AK23" s="53"/>
      <c r="AL23" s="45"/>
    </row>
    <row customFormat="1" r="24" s="5" spans="1:38" x14ac:dyDescent="0.2">
      <c r="A24" s="46" t="s">
        <v>34</v>
      </c>
      <c r="B24" s="31" t="n">
        <v>8.4</v>
      </c>
      <c r="C24" s="31" t="n">
        <v>5.3</v>
      </c>
      <c r="D24" s="31" t="n">
        <v>3.0</v>
      </c>
      <c r="E24" s="31" t="n">
        <v>5.5</v>
      </c>
      <c r="F24" s="31" t="n">
        <v>7.4</v>
      </c>
      <c r="G24" s="31" t="n">
        <v>4.0</v>
      </c>
      <c r="H24" s="31" t="n">
        <v>4.5</v>
      </c>
      <c r="I24" s="32" t="n">
        <v>6.0</v>
      </c>
      <c r="J24" s="45" t="n">
        <v>5.5</v>
      </c>
      <c r="K24" s="53"/>
      <c r="L24" s="45"/>
      <c r="N24" s="46" t="s">
        <v>34</v>
      </c>
      <c r="O24" s="31" t="n">
        <v>11.5</v>
      </c>
      <c r="P24" s="31" t="n">
        <v>11.9</v>
      </c>
      <c r="Q24" s="31" t="n">
        <v>12.7</v>
      </c>
      <c r="R24" s="31" t="n">
        <v>12.4</v>
      </c>
      <c r="S24" s="31" t="n">
        <v>12.2</v>
      </c>
      <c r="T24" s="31" t="n">
        <v>7.5</v>
      </c>
      <c r="U24" s="31" t="n">
        <v>5.1</v>
      </c>
      <c r="V24" s="32" t="n">
        <v>12.1</v>
      </c>
      <c r="W24" s="45" t="n">
        <v>10.4</v>
      </c>
      <c r="X24" s="53"/>
      <c r="Y24" s="45"/>
      <c r="AA24" s="46" t="s">
        <v>34</v>
      </c>
      <c r="AB24" s="31" t="n">
        <v>4.2</v>
      </c>
      <c r="AC24" s="31" t="n">
        <v>4.6</v>
      </c>
      <c r="AD24" s="31" t="n">
        <v>5.1</v>
      </c>
      <c r="AE24" s="31" t="n">
        <v>4.2</v>
      </c>
      <c r="AF24" s="31" t="n">
        <v>3.3</v>
      </c>
      <c r="AG24" s="31" t="n">
        <v>8.7</v>
      </c>
      <c r="AH24" s="31" t="n">
        <v>7.0</v>
      </c>
      <c r="AI24" s="32" t="n">
        <v>4.3</v>
      </c>
      <c r="AJ24" s="45" t="n">
        <v>5.3</v>
      </c>
      <c r="AK24" s="53"/>
      <c r="AL24" s="45"/>
    </row>
    <row customFormat="1" r="25" s="5" spans="1:38" x14ac:dyDescent="0.2">
      <c r="A25" s="46" t="s">
        <v>35</v>
      </c>
      <c r="B25" s="31" t="n">
        <v>7.2</v>
      </c>
      <c r="C25" s="31" t="n">
        <v>6.3</v>
      </c>
      <c r="D25" s="31" t="n">
        <v>5.1</v>
      </c>
      <c r="E25" s="31" t="n">
        <v>5.9</v>
      </c>
      <c r="F25" s="31" t="n">
        <v>4.3</v>
      </c>
      <c r="G25" s="31" t="n">
        <v>3.3</v>
      </c>
      <c r="H25" s="31" t="n">
        <v>3.0</v>
      </c>
      <c r="I25" s="32" t="n">
        <v>5.9</v>
      </c>
      <c r="J25" s="45" t="n">
        <v>5.1</v>
      </c>
      <c r="K25" s="53"/>
      <c r="L25" s="45"/>
      <c r="N25" s="46" t="s">
        <v>35</v>
      </c>
      <c r="O25" s="31" t="n">
        <v>4.9</v>
      </c>
      <c r="P25" s="31" t="n">
        <v>5.4</v>
      </c>
      <c r="Q25" s="31" t="n">
        <v>5.0</v>
      </c>
      <c r="R25" s="31" t="n">
        <v>6.4</v>
      </c>
      <c r="S25" s="31" t="n">
        <v>6.0</v>
      </c>
      <c r="T25" s="31" t="n">
        <v>2.4</v>
      </c>
      <c r="U25" s="31" t="n">
        <v>3.3</v>
      </c>
      <c r="V25" s="32" t="n">
        <v>5.5</v>
      </c>
      <c r="W25" s="45" t="n">
        <v>4.7</v>
      </c>
      <c r="X25" s="53"/>
      <c r="Y25" s="45"/>
      <c r="AA25" s="46" t="s">
        <v>35</v>
      </c>
      <c r="AB25" s="31" t="n">
        <v>3.3</v>
      </c>
      <c r="AC25" s="31" t="n">
        <v>3.3</v>
      </c>
      <c r="AD25" s="31" t="n">
        <v>3.4</v>
      </c>
      <c r="AE25" s="31" t="n">
        <v>3.6</v>
      </c>
      <c r="AF25" s="31" t="n">
        <v>4.0</v>
      </c>
      <c r="AG25" s="31" t="n">
        <v>8.7</v>
      </c>
      <c r="AH25" s="31" t="n">
        <v>4.0</v>
      </c>
      <c r="AI25" s="32" t="n">
        <v>3.5</v>
      </c>
      <c r="AJ25" s="45" t="n">
        <v>4.3</v>
      </c>
      <c r="AK25" s="53"/>
      <c r="AL25" s="45"/>
    </row>
    <row customFormat="1" r="26" s="5" spans="1:38" x14ac:dyDescent="0.2">
      <c r="A26" s="46" t="s">
        <v>36</v>
      </c>
      <c r="B26" s="31" t="n">
        <v>3.3</v>
      </c>
      <c r="C26" s="31" t="n">
        <v>3.2</v>
      </c>
      <c r="D26" s="31" t="n">
        <v>2.8</v>
      </c>
      <c r="E26" s="31" t="n">
        <v>2.9</v>
      </c>
      <c r="F26" s="31" t="n">
        <v>3.2</v>
      </c>
      <c r="G26" s="31" t="n">
        <v>3.6</v>
      </c>
      <c r="H26" s="31" t="n">
        <v>2.8</v>
      </c>
      <c r="I26" s="32" t="n">
        <v>3.1</v>
      </c>
      <c r="J26" s="45" t="n">
        <v>3.1</v>
      </c>
      <c r="K26" s="53"/>
      <c r="L26" s="45"/>
      <c r="N26" s="46" t="s">
        <v>36</v>
      </c>
      <c r="O26" s="31" t="n">
        <v>2.4</v>
      </c>
      <c r="P26" s="31" t="n">
        <v>2.7</v>
      </c>
      <c r="Q26" s="31" t="n">
        <v>1.5</v>
      </c>
      <c r="R26" s="31" t="n">
        <v>3.3</v>
      </c>
      <c r="S26" s="31" t="n">
        <v>2.8</v>
      </c>
      <c r="T26" s="31" t="n">
        <v>1.1</v>
      </c>
      <c r="U26" s="31" t="n">
        <v>1.7</v>
      </c>
      <c r="V26" s="32" t="n">
        <v>2.5</v>
      </c>
      <c r="W26" s="45" t="n">
        <v>2.2</v>
      </c>
      <c r="X26" s="53"/>
      <c r="Y26" s="45"/>
      <c r="AA26" s="46" t="s">
        <v>36</v>
      </c>
      <c r="AB26" s="31" t="n">
        <v>1.6</v>
      </c>
      <c r="AC26" s="31" t="n">
        <v>1.4</v>
      </c>
      <c r="AD26" s="31" t="n">
        <v>1.9</v>
      </c>
      <c r="AE26" s="31" t="n">
        <v>1.5</v>
      </c>
      <c r="AF26" s="31" t="n">
        <v>2.5</v>
      </c>
      <c r="AG26" s="31" t="n">
        <v>3.5</v>
      </c>
      <c r="AH26" s="31" t="n">
        <v>1.3</v>
      </c>
      <c r="AI26" s="32" t="n">
        <v>1.7</v>
      </c>
      <c r="AJ26" s="45" t="n">
        <v>1.9</v>
      </c>
      <c r="AK26" s="53"/>
      <c r="AL26" s="45"/>
    </row>
    <row customFormat="1" r="27" s="5" spans="1:38" x14ac:dyDescent="0.2">
      <c r="A27" s="46" t="s">
        <v>37</v>
      </c>
      <c r="B27" s="31" t="n">
        <v>1.5</v>
      </c>
      <c r="C27" s="31" t="n">
        <v>1.1</v>
      </c>
      <c r="D27" s="31" t="n">
        <v>1.2</v>
      </c>
      <c r="E27" s="31" t="n">
        <v>1.2</v>
      </c>
      <c r="F27" s="31" t="n">
        <v>1.6</v>
      </c>
      <c r="G27" s="31" t="n">
        <v>1.2</v>
      </c>
      <c r="H27" s="31" t="n">
        <v>1.5</v>
      </c>
      <c r="I27" s="32" t="n">
        <v>1.3</v>
      </c>
      <c r="J27" s="45" t="n">
        <v>1.3</v>
      </c>
      <c r="K27" s="53"/>
      <c r="L27" s="45"/>
      <c r="N27" s="46" t="s">
        <v>37</v>
      </c>
      <c r="O27" s="31" t="n">
        <v>1.1</v>
      </c>
      <c r="P27" s="31" t="n">
        <v>1.2</v>
      </c>
      <c r="Q27" s="31" t="n">
        <v>0.9</v>
      </c>
      <c r="R27" s="31" t="n">
        <v>1.7</v>
      </c>
      <c r="S27" s="31" t="n">
        <v>1.4</v>
      </c>
      <c r="T27" s="31" t="n">
        <v>0.7</v>
      </c>
      <c r="U27" s="31" t="n">
        <v>0.8</v>
      </c>
      <c r="V27" s="32" t="n">
        <v>1.3</v>
      </c>
      <c r="W27" s="45" t="n">
        <v>1.1</v>
      </c>
      <c r="X27" s="53"/>
      <c r="Y27" s="45"/>
      <c r="AA27" s="46" t="s">
        <v>37</v>
      </c>
      <c r="AB27" s="31" t="n">
        <v>0.8</v>
      </c>
      <c r="AC27" s="31" t="n">
        <v>0.8</v>
      </c>
      <c r="AD27" s="31" t="n">
        <v>1.1</v>
      </c>
      <c r="AE27" s="31" t="n">
        <v>0.7</v>
      </c>
      <c r="AF27" s="31" t="n">
        <v>1.3</v>
      </c>
      <c r="AG27" s="31" t="n">
        <v>1.9</v>
      </c>
      <c r="AH27" s="31" t="n">
        <v>0.9</v>
      </c>
      <c r="AI27" s="32" t="n">
        <v>0.9</v>
      </c>
      <c r="AJ27" s="45" t="n">
        <v>1.0</v>
      </c>
      <c r="AK27" s="53"/>
      <c r="AL27" s="45"/>
    </row>
    <row customFormat="1" r="28" s="5" spans="1:38" x14ac:dyDescent="0.2">
      <c r="A28" s="46" t="s">
        <v>38</v>
      </c>
      <c r="B28" s="31" t="n">
        <v>0.9</v>
      </c>
      <c r="C28" s="31" t="n">
        <v>0.7</v>
      </c>
      <c r="D28" s="31" t="n">
        <v>0.9</v>
      </c>
      <c r="E28" s="31" t="n">
        <v>0.8</v>
      </c>
      <c r="F28" s="31" t="n">
        <v>0.8</v>
      </c>
      <c r="G28" s="31" t="n">
        <v>0.8</v>
      </c>
      <c r="H28" s="31" t="n">
        <v>0.9</v>
      </c>
      <c r="I28" s="32" t="n">
        <v>0.8</v>
      </c>
      <c r="J28" s="45" t="n">
        <v>0.8</v>
      </c>
      <c r="K28" s="53"/>
      <c r="L28" s="45"/>
      <c r="N28" s="46" t="s">
        <v>38</v>
      </c>
      <c r="O28" s="31" t="n">
        <v>0.7</v>
      </c>
      <c r="P28" s="31" t="n">
        <v>0.8</v>
      </c>
      <c r="Q28" s="31" t="n">
        <v>0.6</v>
      </c>
      <c r="R28" s="31" t="n">
        <v>1.0</v>
      </c>
      <c r="S28" s="31" t="n">
        <v>0.7</v>
      </c>
      <c r="T28" s="31" t="n">
        <v>0.4</v>
      </c>
      <c r="U28" s="31" t="n">
        <v>0.6</v>
      </c>
      <c r="V28" s="32" t="n">
        <v>0.8</v>
      </c>
      <c r="W28" s="45" t="n">
        <v>0.7</v>
      </c>
      <c r="X28" s="53"/>
      <c r="Y28" s="45"/>
      <c r="AA28" s="46" t="s">
        <v>38</v>
      </c>
      <c r="AB28" s="31" t="n">
        <v>0.6</v>
      </c>
      <c r="AC28" s="31" t="n">
        <v>0.5</v>
      </c>
      <c r="AD28" s="31" t="n">
        <v>0.8</v>
      </c>
      <c r="AE28" s="31" t="n">
        <v>0.5</v>
      </c>
      <c r="AF28" s="31" t="n">
        <v>0.7</v>
      </c>
      <c r="AG28" s="31" t="n">
        <v>1.1</v>
      </c>
      <c r="AH28" s="31" t="n">
        <v>0.8</v>
      </c>
      <c r="AI28" s="32" t="n">
        <v>0.6</v>
      </c>
      <c r="AJ28" s="45" t="n">
        <v>0.7</v>
      </c>
      <c r="AK28" s="53"/>
      <c r="AL28" s="45"/>
    </row>
    <row customFormat="1" r="29" s="5" spans="1:38" x14ac:dyDescent="0.2">
      <c r="A29" s="46" t="s">
        <v>39</v>
      </c>
      <c r="B29" s="31" t="n">
        <v>0.6</v>
      </c>
      <c r="C29" s="31" t="n">
        <v>0.6</v>
      </c>
      <c r="D29" s="31" t="n">
        <v>0.6</v>
      </c>
      <c r="E29" s="31" t="n">
        <v>0.5</v>
      </c>
      <c r="F29" s="31" t="n">
        <v>0.5</v>
      </c>
      <c r="G29" s="31" t="n">
        <v>0.5</v>
      </c>
      <c r="H29" s="31" t="n">
        <v>0.6</v>
      </c>
      <c r="I29" s="32" t="n">
        <v>0.6</v>
      </c>
      <c r="J29" s="45" t="n">
        <v>0.6</v>
      </c>
      <c r="K29" s="53"/>
      <c r="L29" s="45"/>
      <c r="N29" s="46" t="s">
        <v>39</v>
      </c>
      <c r="O29" s="31" t="n">
        <v>0.6</v>
      </c>
      <c r="P29" s="31" t="n">
        <v>0.5</v>
      </c>
      <c r="Q29" s="31" t="n">
        <v>0.5</v>
      </c>
      <c r="R29" s="31" t="n">
        <v>0.6</v>
      </c>
      <c r="S29" s="31" t="n">
        <v>0.6</v>
      </c>
      <c r="T29" s="31" t="n">
        <v>0.4</v>
      </c>
      <c r="U29" s="31" t="n">
        <v>0.5</v>
      </c>
      <c r="V29" s="32" t="n">
        <v>0.6</v>
      </c>
      <c r="W29" s="45" t="n">
        <v>0.5</v>
      </c>
      <c r="X29" s="53"/>
      <c r="Y29" s="45"/>
      <c r="AA29" s="46" t="s">
        <v>39</v>
      </c>
      <c r="AB29" s="31" t="n">
        <v>0.7</v>
      </c>
      <c r="AC29" s="31" t="n">
        <v>0.6</v>
      </c>
      <c r="AD29" s="31" t="n">
        <v>0.7</v>
      </c>
      <c r="AE29" s="31" t="n">
        <v>0.7</v>
      </c>
      <c r="AF29" s="31" t="n">
        <v>0.6</v>
      </c>
      <c r="AG29" s="31" t="n">
        <v>0.8</v>
      </c>
      <c r="AH29" s="31" t="n">
        <v>0.7</v>
      </c>
      <c r="AI29" s="32" t="n">
        <v>0.6</v>
      </c>
      <c r="AJ29" s="45" t="n">
        <v>0.7</v>
      </c>
      <c r="AK29" s="53"/>
      <c r="AL29" s="45"/>
    </row>
    <row customFormat="1" r="30" s="5" spans="1:38" x14ac:dyDescent="0.2">
      <c r="A30" s="47" t="s">
        <v>40</v>
      </c>
      <c r="B30" s="48" t="n">
        <v>0.8</v>
      </c>
      <c r="C30" s="48" t="n">
        <v>0.7</v>
      </c>
      <c r="D30" s="48" t="n">
        <v>0.9</v>
      </c>
      <c r="E30" s="48" t="n">
        <v>0.8</v>
      </c>
      <c r="F30" s="48" t="n">
        <v>0.5</v>
      </c>
      <c r="G30" s="48" t="n">
        <v>0.5</v>
      </c>
      <c r="H30" s="48" t="n">
        <v>0.9</v>
      </c>
      <c r="I30" s="49" t="n">
        <v>0.8</v>
      </c>
      <c r="J30" s="50" t="n">
        <v>0.8</v>
      </c>
      <c r="K30" s="54"/>
      <c r="L30" s="50"/>
      <c r="N30" s="47" t="s">
        <v>40</v>
      </c>
      <c r="O30" s="48" t="n">
        <v>1.0</v>
      </c>
      <c r="P30" s="48" t="n">
        <v>1.1</v>
      </c>
      <c r="Q30" s="48" t="n">
        <v>1.0</v>
      </c>
      <c r="R30" s="48" t="n">
        <v>1.0</v>
      </c>
      <c r="S30" s="48" t="n">
        <v>0.7</v>
      </c>
      <c r="T30" s="48" t="n">
        <v>0.4</v>
      </c>
      <c r="U30" s="48" t="n">
        <v>1.0</v>
      </c>
      <c r="V30" s="49" t="n">
        <v>1.0</v>
      </c>
      <c r="W30" s="50" t="n">
        <v>0.9</v>
      </c>
      <c r="X30" s="54"/>
      <c r="Y30" s="50"/>
      <c r="AA30" s="47" t="s">
        <v>40</v>
      </c>
      <c r="AB30" s="48" t="n">
        <v>1.6</v>
      </c>
      <c r="AC30" s="48" t="n">
        <v>1.6</v>
      </c>
      <c r="AD30" s="48" t="n">
        <v>1.6</v>
      </c>
      <c r="AE30" s="48" t="n">
        <v>1.6</v>
      </c>
      <c r="AF30" s="48" t="n">
        <v>1.3</v>
      </c>
      <c r="AG30" s="48" t="n">
        <v>1.1</v>
      </c>
      <c r="AH30" s="48" t="n">
        <v>1.6</v>
      </c>
      <c r="AI30" s="49" t="n">
        <v>1.5</v>
      </c>
      <c r="AJ30" s="50" t="n">
        <v>1.5</v>
      </c>
      <c r="AK30" s="54"/>
      <c r="AL30" s="50"/>
    </row>
    <row customFormat="1" r="31" s="5" spans="1:38" x14ac:dyDescent="0.2"/>
    <row customFormat="1" r="32" s="5" spans="1:38" x14ac:dyDescent="0.2">
      <c r="A32" s="40" t="s">
        <v>880</v>
      </c>
      <c r="B32" s="41" t="s">
        <v>4</v>
      </c>
      <c r="C32" s="41" t="s">
        <v>5</v>
      </c>
      <c r="D32" s="41" t="s">
        <v>6</v>
      </c>
      <c r="E32" s="41" t="s">
        <v>7</v>
      </c>
      <c r="F32" s="41" t="s">
        <v>8</v>
      </c>
      <c r="G32" s="41" t="s">
        <v>9</v>
      </c>
      <c r="H32" s="41" t="s">
        <v>10</v>
      </c>
      <c r="I32" s="42" t="s">
        <v>11</v>
      </c>
      <c r="J32" s="43" t="s">
        <v>12</v>
      </c>
      <c r="K32" s="2"/>
      <c r="L32" s="2"/>
      <c r="N32" s="40" t="s">
        <v>881</v>
      </c>
      <c r="O32" s="41" t="s">
        <v>4</v>
      </c>
      <c r="P32" s="41" t="s">
        <v>5</v>
      </c>
      <c r="Q32" s="41" t="s">
        <v>6</v>
      </c>
      <c r="R32" s="41" t="s">
        <v>7</v>
      </c>
      <c r="S32" s="41" t="s">
        <v>8</v>
      </c>
      <c r="T32" s="41" t="s">
        <v>9</v>
      </c>
      <c r="U32" s="41" t="s">
        <v>10</v>
      </c>
      <c r="V32" s="42" t="s">
        <v>11</v>
      </c>
      <c r="W32" s="43" t="s">
        <v>12</v>
      </c>
      <c r="X32" s="2"/>
      <c r="Y32" s="2"/>
      <c r="AA32" s="40" t="s">
        <v>882</v>
      </c>
      <c r="AB32" s="41" t="s">
        <v>4</v>
      </c>
      <c r="AC32" s="41" t="s">
        <v>5</v>
      </c>
      <c r="AD32" s="41" t="s">
        <v>6</v>
      </c>
      <c r="AE32" s="41" t="s">
        <v>7</v>
      </c>
      <c r="AF32" s="41" t="s">
        <v>8</v>
      </c>
      <c r="AG32" s="41" t="s">
        <v>9</v>
      </c>
      <c r="AH32" s="41" t="s">
        <v>10</v>
      </c>
      <c r="AI32" s="42" t="s">
        <v>11</v>
      </c>
      <c r="AJ32" s="43" t="s">
        <v>12</v>
      </c>
      <c r="AK32" s="2"/>
      <c r="AL32" s="2"/>
    </row>
    <row customFormat="1" r="33" s="5" spans="1:38" x14ac:dyDescent="0.2">
      <c r="A33" s="44" t="s">
        <v>16</v>
      </c>
      <c r="B33" s="31" t="n">
        <v>0.2</v>
      </c>
      <c r="C33" s="31" t="n">
        <v>0.2</v>
      </c>
      <c r="D33" s="31" t="n">
        <v>0.2</v>
      </c>
      <c r="E33" s="31" t="n">
        <v>0.2</v>
      </c>
      <c r="F33" s="31" t="n">
        <v>0.1</v>
      </c>
      <c r="G33" s="31" t="n">
        <v>0.2</v>
      </c>
      <c r="H33" s="31" t="n">
        <v>0.5</v>
      </c>
      <c r="I33" s="32" t="n">
        <v>0.2</v>
      </c>
      <c r="J33" s="45" t="n">
        <v>0.2</v>
      </c>
      <c r="K33" s="6"/>
      <c r="L33" s="6"/>
      <c r="N33" s="44" t="s">
        <v>16</v>
      </c>
      <c r="O33" s="31" t="n">
        <v>2.3</v>
      </c>
      <c r="P33" s="31" t="n">
        <v>2.4</v>
      </c>
      <c r="Q33" s="31" t="n">
        <v>2.2</v>
      </c>
      <c r="R33" s="31" t="n">
        <v>2.1</v>
      </c>
      <c r="S33" s="31" t="n">
        <v>1.9</v>
      </c>
      <c r="T33" s="31" t="n">
        <v>0.9</v>
      </c>
      <c r="U33" s="31" t="n">
        <v>0.8</v>
      </c>
      <c r="V33" s="32" t="n">
        <v>2.2</v>
      </c>
      <c r="W33" s="45" t="n">
        <v>1.8</v>
      </c>
      <c r="X33" s="6"/>
      <c r="Y33" s="6"/>
      <c r="AA33" s="44" t="s">
        <v>16</v>
      </c>
      <c r="AB33" s="31" t="n">
        <v>12.1</v>
      </c>
      <c r="AC33" s="31" t="n">
        <v>12.2</v>
      </c>
      <c r="AD33" s="31" t="n">
        <v>12.1</v>
      </c>
      <c r="AE33" s="31" t="n">
        <v>12.0</v>
      </c>
      <c r="AF33" s="31" t="n">
        <v>11.4</v>
      </c>
      <c r="AG33" s="31" t="n">
        <v>8.7</v>
      </c>
      <c r="AH33" s="31" t="n">
        <v>7.5</v>
      </c>
      <c r="AI33" s="32" t="n">
        <v>12.0</v>
      </c>
      <c r="AJ33" s="45" t="n">
        <v>10.8</v>
      </c>
      <c r="AK33" s="6"/>
      <c r="AL33" s="6"/>
    </row>
    <row customFormat="1" r="34" s="5" spans="1:38" x14ac:dyDescent="0.2">
      <c r="A34" s="46" t="s">
        <v>17</v>
      </c>
      <c r="B34" s="31" t="n">
        <v>0.7</v>
      </c>
      <c r="C34" s="31" t="n">
        <v>0.7</v>
      </c>
      <c r="D34" s="31" t="n">
        <v>0.7</v>
      </c>
      <c r="E34" s="31" t="n">
        <v>0.7</v>
      </c>
      <c r="F34" s="31" t="n">
        <v>0.5</v>
      </c>
      <c r="G34" s="31" t="n">
        <v>0.3</v>
      </c>
      <c r="H34" s="31" t="n">
        <v>0.3</v>
      </c>
      <c r="I34" s="32" t="n">
        <v>0.7</v>
      </c>
      <c r="J34" s="45" t="n">
        <v>0.6</v>
      </c>
      <c r="K34" s="6"/>
      <c r="L34" s="6"/>
      <c r="N34" s="46" t="s">
        <v>17</v>
      </c>
      <c r="O34" s="31" t="n">
        <v>5.8</v>
      </c>
      <c r="P34" s="31" t="n">
        <v>6.0</v>
      </c>
      <c r="Q34" s="31" t="n">
        <v>5.7</v>
      </c>
      <c r="R34" s="31" t="n">
        <v>5.9</v>
      </c>
      <c r="S34" s="31" t="n">
        <v>5.3</v>
      </c>
      <c r="T34" s="31" t="n">
        <v>2.9</v>
      </c>
      <c r="U34" s="31" t="n">
        <v>1.2</v>
      </c>
      <c r="V34" s="32" t="n">
        <v>5.8</v>
      </c>
      <c r="W34" s="45" t="n">
        <v>4.7</v>
      </c>
      <c r="X34" s="6"/>
      <c r="Y34" s="6"/>
      <c r="AA34" s="46" t="s">
        <v>17</v>
      </c>
      <c r="AB34" s="31" t="n">
        <v>27.9</v>
      </c>
      <c r="AC34" s="31" t="n">
        <v>28.2</v>
      </c>
      <c r="AD34" s="31" t="n">
        <v>27.4</v>
      </c>
      <c r="AE34" s="31" t="n">
        <v>27.9</v>
      </c>
      <c r="AF34" s="31" t="n">
        <v>25.8</v>
      </c>
      <c r="AG34" s="31" t="n">
        <v>20.0</v>
      </c>
      <c r="AH34" s="31" t="n">
        <v>17.7</v>
      </c>
      <c r="AI34" s="32" t="n">
        <v>27.5</v>
      </c>
      <c r="AJ34" s="45" t="n">
        <v>24.9</v>
      </c>
      <c r="AK34" s="6"/>
      <c r="AL34" s="6"/>
    </row>
    <row customFormat="1" r="35" s="5" spans="1:38" x14ac:dyDescent="0.2">
      <c r="A35" s="46" t="s">
        <v>18</v>
      </c>
      <c r="B35" s="31" t="n">
        <v>0.3</v>
      </c>
      <c r="C35" s="31" t="n">
        <v>0.3</v>
      </c>
      <c r="D35" s="31" t="n">
        <v>0.4</v>
      </c>
      <c r="E35" s="31" t="n">
        <v>0.4</v>
      </c>
      <c r="F35" s="31" t="n">
        <v>0.3</v>
      </c>
      <c r="G35" s="31" t="n">
        <v>0.2</v>
      </c>
      <c r="H35" s="31" t="n">
        <v>0.5</v>
      </c>
      <c r="I35" s="32" t="n">
        <v>0.3</v>
      </c>
      <c r="J35" s="45" t="n">
        <v>0.4</v>
      </c>
      <c r="K35" s="6"/>
      <c r="L35" s="6"/>
      <c r="N35" s="46" t="s">
        <v>18</v>
      </c>
      <c r="O35" s="31" t="n">
        <v>7.6</v>
      </c>
      <c r="P35" s="31" t="n">
        <v>7.7</v>
      </c>
      <c r="Q35" s="31" t="n">
        <v>7.7</v>
      </c>
      <c r="R35" s="31" t="n">
        <v>7.6</v>
      </c>
      <c r="S35" s="31" t="n">
        <v>7.4</v>
      </c>
      <c r="T35" s="31" t="n">
        <v>4.6</v>
      </c>
      <c r="U35" s="31" t="n">
        <v>2.7</v>
      </c>
      <c r="V35" s="32" t="n">
        <v>7.6</v>
      </c>
      <c r="W35" s="45" t="n">
        <v>6.4</v>
      </c>
      <c r="X35" s="6"/>
      <c r="Y35" s="6"/>
      <c r="AA35" s="46" t="s">
        <v>18</v>
      </c>
      <c r="AB35" s="31" t="n">
        <v>41.6</v>
      </c>
      <c r="AC35" s="31" t="n">
        <v>42.1</v>
      </c>
      <c r="AD35" s="31" t="n">
        <v>42.1</v>
      </c>
      <c r="AE35" s="31" t="n">
        <v>41.8</v>
      </c>
      <c r="AF35" s="31" t="n">
        <v>39.9</v>
      </c>
      <c r="AG35" s="31" t="n">
        <v>33.0</v>
      </c>
      <c r="AH35" s="31" t="n">
        <v>31.0</v>
      </c>
      <c r="AI35" s="32" t="n">
        <v>41.5</v>
      </c>
      <c r="AJ35" s="45" t="n">
        <v>38.7</v>
      </c>
      <c r="AK35" s="6"/>
      <c r="AL35" s="6"/>
    </row>
    <row customFormat="1" r="36" s="5" spans="1:38" x14ac:dyDescent="0.2">
      <c r="A36" s="46" t="s">
        <v>19</v>
      </c>
      <c r="B36" s="31" t="n">
        <v>1.2</v>
      </c>
      <c r="C36" s="31" t="n">
        <v>1.3</v>
      </c>
      <c r="D36" s="31" t="n">
        <v>1.2</v>
      </c>
      <c r="E36" s="31" t="n">
        <v>1.4</v>
      </c>
      <c r="F36" s="31" t="n">
        <v>1.4</v>
      </c>
      <c r="G36" s="31" t="n">
        <v>0.3</v>
      </c>
      <c r="H36" s="31" t="n">
        <v>0.9</v>
      </c>
      <c r="I36" s="32" t="n">
        <v>1.3</v>
      </c>
      <c r="J36" s="45" t="n">
        <v>1.1</v>
      </c>
      <c r="K36" s="6"/>
      <c r="L36" s="6"/>
      <c r="N36" s="46" t="s">
        <v>19</v>
      </c>
      <c r="O36" s="31" t="n">
        <v>4.4</v>
      </c>
      <c r="P36" s="31" t="n">
        <v>4.3</v>
      </c>
      <c r="Q36" s="31" t="n">
        <v>4.4</v>
      </c>
      <c r="R36" s="31" t="n">
        <v>4.5</v>
      </c>
      <c r="S36" s="31" t="n">
        <v>4.5</v>
      </c>
      <c r="T36" s="31" t="n">
        <v>4.1</v>
      </c>
      <c r="U36" s="31" t="n">
        <v>2.8</v>
      </c>
      <c r="V36" s="32" t="n">
        <v>4.4</v>
      </c>
      <c r="W36" s="45" t="n">
        <v>4.1</v>
      </c>
      <c r="X36" s="6"/>
      <c r="Y36" s="6"/>
      <c r="AA36" s="46" t="s">
        <v>19</v>
      </c>
      <c r="AB36" s="31" t="n">
        <v>37.1</v>
      </c>
      <c r="AC36" s="31" t="n">
        <v>37.2</v>
      </c>
      <c r="AD36" s="31" t="n">
        <v>37.8</v>
      </c>
      <c r="AE36" s="31" t="n">
        <v>37.1</v>
      </c>
      <c r="AF36" s="31" t="n">
        <v>37.7</v>
      </c>
      <c r="AG36" s="31" t="n">
        <v>36.1</v>
      </c>
      <c r="AH36" s="31" t="n">
        <v>37.5</v>
      </c>
      <c r="AI36" s="32" t="n">
        <v>37.4</v>
      </c>
      <c r="AJ36" s="45" t="n">
        <v>37.2</v>
      </c>
      <c r="AK36" s="6"/>
      <c r="AL36" s="6"/>
    </row>
    <row customFormat="1" r="37" s="5" spans="1:38" x14ac:dyDescent="0.2">
      <c r="A37" s="46" t="s">
        <v>20</v>
      </c>
      <c r="B37" s="31" t="n">
        <v>0.5</v>
      </c>
      <c r="C37" s="31" t="n">
        <v>0.5</v>
      </c>
      <c r="D37" s="31" t="n">
        <v>0.5</v>
      </c>
      <c r="E37" s="31" t="n">
        <v>0.6</v>
      </c>
      <c r="F37" s="31" t="n">
        <v>0.6</v>
      </c>
      <c r="G37" s="31" t="n">
        <v>0.4</v>
      </c>
      <c r="H37" s="31" t="n">
        <v>0.4</v>
      </c>
      <c r="I37" s="32" t="n">
        <v>0.5</v>
      </c>
      <c r="J37" s="45" t="n">
        <v>0.5</v>
      </c>
      <c r="K37" s="6"/>
      <c r="L37" s="6"/>
      <c r="N37" s="46" t="s">
        <v>20</v>
      </c>
      <c r="O37" s="31" t="n">
        <v>2.8</v>
      </c>
      <c r="P37" s="31" t="n">
        <v>2.8</v>
      </c>
      <c r="Q37" s="31" t="n">
        <v>2.6</v>
      </c>
      <c r="R37" s="31" t="n">
        <v>2.8</v>
      </c>
      <c r="S37" s="31" t="n">
        <v>2.8</v>
      </c>
      <c r="T37" s="31" t="n">
        <v>3.4</v>
      </c>
      <c r="U37" s="31" t="n">
        <v>1.1</v>
      </c>
      <c r="V37" s="32" t="n">
        <v>2.7</v>
      </c>
      <c r="W37" s="45" t="n">
        <v>2.6</v>
      </c>
      <c r="X37" s="6"/>
      <c r="Y37" s="6"/>
      <c r="AA37" s="46" t="s">
        <v>20</v>
      </c>
      <c r="AB37" s="31" t="n">
        <v>25.3</v>
      </c>
      <c r="AC37" s="31" t="n">
        <v>26.3</v>
      </c>
      <c r="AD37" s="31" t="n">
        <v>25.5</v>
      </c>
      <c r="AE37" s="31" t="n">
        <v>25.6</v>
      </c>
      <c r="AF37" s="31" t="n">
        <v>27.4</v>
      </c>
      <c r="AG37" s="31" t="n">
        <v>30.0</v>
      </c>
      <c r="AH37" s="31" t="n">
        <v>33.0</v>
      </c>
      <c r="AI37" s="32" t="n">
        <v>26.0</v>
      </c>
      <c r="AJ37" s="45" t="n">
        <v>27.7</v>
      </c>
      <c r="AK37" s="6"/>
      <c r="AL37" s="6"/>
    </row>
    <row customFormat="1" r="38" s="5" spans="1:38" x14ac:dyDescent="0.2">
      <c r="A38" s="46" t="s">
        <v>21</v>
      </c>
      <c r="B38" s="31" t="n">
        <v>0.2</v>
      </c>
      <c r="C38" s="31" t="n">
        <v>0.3</v>
      </c>
      <c r="D38" s="31" t="n">
        <v>0.3</v>
      </c>
      <c r="E38" s="31" t="n">
        <v>0.3</v>
      </c>
      <c r="F38" s="31" t="n">
        <v>0.3</v>
      </c>
      <c r="G38" s="31" t="n">
        <v>0.4</v>
      </c>
      <c r="H38" s="31" t="n">
        <v>0.4</v>
      </c>
      <c r="I38" s="32" t="n">
        <v>0.3</v>
      </c>
      <c r="J38" s="45" t="n">
        <v>0.3</v>
      </c>
      <c r="K38" s="6"/>
      <c r="L38" s="6"/>
      <c r="N38" s="46" t="s">
        <v>21</v>
      </c>
      <c r="O38" s="31" t="n">
        <v>2.2</v>
      </c>
      <c r="P38" s="31" t="n">
        <v>2.2</v>
      </c>
      <c r="Q38" s="31" t="n">
        <v>2.3</v>
      </c>
      <c r="R38" s="31" t="n">
        <v>2.3</v>
      </c>
      <c r="S38" s="31" t="n">
        <v>2.6</v>
      </c>
      <c r="T38" s="31" t="n">
        <v>2.2</v>
      </c>
      <c r="U38" s="31" t="n">
        <v>2.8</v>
      </c>
      <c r="V38" s="32" t="n">
        <v>2.3</v>
      </c>
      <c r="W38" s="45" t="n">
        <v>2.4</v>
      </c>
      <c r="X38" s="6"/>
      <c r="Y38" s="6"/>
      <c r="AA38" s="46" t="s">
        <v>21</v>
      </c>
      <c r="AB38" s="31" t="n">
        <v>18.1</v>
      </c>
      <c r="AC38" s="31" t="n">
        <v>19.1</v>
      </c>
      <c r="AD38" s="31" t="n">
        <v>18.0</v>
      </c>
      <c r="AE38" s="31" t="n">
        <v>18.0</v>
      </c>
      <c r="AF38" s="31" t="n">
        <v>19.9</v>
      </c>
      <c r="AG38" s="31" t="n">
        <v>23.6</v>
      </c>
      <c r="AH38" s="31" t="n">
        <v>27.2</v>
      </c>
      <c r="AI38" s="32" t="n">
        <v>18.6</v>
      </c>
      <c r="AJ38" s="45" t="n">
        <v>20.7</v>
      </c>
      <c r="AK38" s="6"/>
      <c r="AL38" s="6"/>
    </row>
    <row customFormat="1" r="39" s="5" spans="1:38" x14ac:dyDescent="0.2">
      <c r="A39" s="46" t="s">
        <v>22</v>
      </c>
      <c r="B39" s="31" t="n">
        <v>0.2</v>
      </c>
      <c r="C39" s="31" t="n">
        <v>0.2</v>
      </c>
      <c r="D39" s="31" t="n">
        <v>0.2</v>
      </c>
      <c r="E39" s="31" t="n">
        <v>0.2</v>
      </c>
      <c r="F39" s="31" t="n">
        <v>0.1</v>
      </c>
      <c r="G39" s="31" t="n">
        <v>0.8</v>
      </c>
      <c r="H39" s="31" t="n">
        <v>1.0</v>
      </c>
      <c r="I39" s="32" t="n">
        <v>0.2</v>
      </c>
      <c r="J39" s="45" t="n">
        <v>0.4</v>
      </c>
      <c r="K39" s="6"/>
      <c r="L39" s="6"/>
      <c r="N39" s="46" t="s">
        <v>22</v>
      </c>
      <c r="O39" s="31" t="n">
        <v>1.8</v>
      </c>
      <c r="P39" s="31" t="n">
        <v>1.7</v>
      </c>
      <c r="Q39" s="31" t="n">
        <v>1.6</v>
      </c>
      <c r="R39" s="31" t="n">
        <v>1.6</v>
      </c>
      <c r="S39" s="31" t="n">
        <v>1.9</v>
      </c>
      <c r="T39" s="31" t="n">
        <v>1.9</v>
      </c>
      <c r="U39" s="31" t="n">
        <v>2.5</v>
      </c>
      <c r="V39" s="32" t="n">
        <v>1.7</v>
      </c>
      <c r="W39" s="45" t="n">
        <v>1.9</v>
      </c>
      <c r="X39" s="6"/>
      <c r="Y39" s="6"/>
      <c r="AA39" s="46" t="s">
        <v>22</v>
      </c>
      <c r="AB39" s="31" t="n">
        <v>17.6</v>
      </c>
      <c r="AC39" s="31" t="n">
        <v>19.4</v>
      </c>
      <c r="AD39" s="31" t="n">
        <v>17.6</v>
      </c>
      <c r="AE39" s="31" t="n">
        <v>17.9</v>
      </c>
      <c r="AF39" s="31" t="n">
        <v>19.7</v>
      </c>
      <c r="AG39" s="31" t="n">
        <v>22.0</v>
      </c>
      <c r="AH39" s="31" t="n">
        <v>25.8</v>
      </c>
      <c r="AI39" s="32" t="n">
        <v>18.4</v>
      </c>
      <c r="AJ39" s="45" t="n">
        <v>20.1</v>
      </c>
      <c r="AK39" s="6"/>
      <c r="AL39" s="6"/>
    </row>
    <row customFormat="1" r="40" s="5" spans="1:38" x14ac:dyDescent="0.2">
      <c r="A40" s="46" t="s">
        <v>23</v>
      </c>
      <c r="B40" s="31" t="n">
        <v>1.5</v>
      </c>
      <c r="C40" s="31" t="n">
        <v>1.6</v>
      </c>
      <c r="D40" s="31" t="n">
        <v>1.5</v>
      </c>
      <c r="E40" s="31" t="n">
        <v>1.6</v>
      </c>
      <c r="F40" s="31" t="n">
        <v>1.3</v>
      </c>
      <c r="G40" s="31" t="n">
        <v>0.9</v>
      </c>
      <c r="H40" s="31" t="n">
        <v>1.4</v>
      </c>
      <c r="I40" s="32" t="n">
        <v>1.5</v>
      </c>
      <c r="J40" s="45" t="n">
        <v>1.4</v>
      </c>
      <c r="K40" s="6"/>
      <c r="L40" s="6"/>
      <c r="N40" s="46" t="s">
        <v>23</v>
      </c>
      <c r="O40" s="31" t="n">
        <v>2.5</v>
      </c>
      <c r="P40" s="31" t="n">
        <v>2.3</v>
      </c>
      <c r="Q40" s="31" t="n">
        <v>2.1</v>
      </c>
      <c r="R40" s="31" t="n">
        <v>2.1</v>
      </c>
      <c r="S40" s="31" t="n">
        <v>2.4</v>
      </c>
      <c r="T40" s="31" t="n">
        <v>3.3</v>
      </c>
      <c r="U40" s="31" t="n">
        <v>3.0</v>
      </c>
      <c r="V40" s="32" t="n">
        <v>2.3</v>
      </c>
      <c r="W40" s="45" t="n">
        <v>2.5</v>
      </c>
      <c r="X40" s="6"/>
      <c r="Y40" s="6"/>
      <c r="AA40" s="46" t="s">
        <v>23</v>
      </c>
      <c r="AB40" s="31" t="n">
        <v>24.7</v>
      </c>
      <c r="AC40" s="31" t="n">
        <v>26.0</v>
      </c>
      <c r="AD40" s="31" t="n">
        <v>24.6</v>
      </c>
      <c r="AE40" s="31" t="n">
        <v>24.4</v>
      </c>
      <c r="AF40" s="31" t="n">
        <v>25.8</v>
      </c>
      <c r="AG40" s="31" t="n">
        <v>27.6</v>
      </c>
      <c r="AH40" s="31" t="n">
        <v>30.4</v>
      </c>
      <c r="AI40" s="32" t="n">
        <v>25.1</v>
      </c>
      <c r="AJ40" s="45" t="n">
        <v>26.3</v>
      </c>
      <c r="AK40" s="6"/>
      <c r="AL40" s="6"/>
    </row>
    <row customFormat="1" r="41" s="5" spans="1:38" x14ac:dyDescent="0.2">
      <c r="A41" s="46" t="s">
        <v>24</v>
      </c>
      <c r="B41" s="31" t="n">
        <v>2.0</v>
      </c>
      <c r="C41" s="31" t="n">
        <v>2.1</v>
      </c>
      <c r="D41" s="31" t="n">
        <v>2.1</v>
      </c>
      <c r="E41" s="31" t="n">
        <v>2.1</v>
      </c>
      <c r="F41" s="31" t="n">
        <v>1.7</v>
      </c>
      <c r="G41" s="31" t="n">
        <v>1.3</v>
      </c>
      <c r="H41" s="31" t="n">
        <v>5.8</v>
      </c>
      <c r="I41" s="32" t="n">
        <v>2.0</v>
      </c>
      <c r="J41" s="45" t="n">
        <v>2.5</v>
      </c>
      <c r="K41" s="6"/>
      <c r="L41" s="6"/>
      <c r="N41" s="46" t="s">
        <v>24</v>
      </c>
      <c r="O41" s="31" t="n">
        <v>2.4</v>
      </c>
      <c r="P41" s="31" t="n">
        <v>2.3</v>
      </c>
      <c r="Q41" s="31" t="n">
        <v>2.1</v>
      </c>
      <c r="R41" s="31" t="n">
        <v>2.2</v>
      </c>
      <c r="S41" s="31" t="n">
        <v>2.4</v>
      </c>
      <c r="T41" s="31" t="n">
        <v>2.9</v>
      </c>
      <c r="U41" s="31" t="n">
        <v>3.7</v>
      </c>
      <c r="V41" s="32" t="n">
        <v>2.3</v>
      </c>
      <c r="W41" s="45" t="n">
        <v>2.6</v>
      </c>
      <c r="X41" s="6"/>
      <c r="Y41" s="6"/>
      <c r="AA41" s="46" t="s">
        <v>24</v>
      </c>
      <c r="AB41" s="31" t="n">
        <v>22.4</v>
      </c>
      <c r="AC41" s="31" t="n">
        <v>24.2</v>
      </c>
      <c r="AD41" s="31" t="n">
        <v>22.4</v>
      </c>
      <c r="AE41" s="31" t="n">
        <v>22.2</v>
      </c>
      <c r="AF41" s="31" t="n">
        <v>23.2</v>
      </c>
      <c r="AG41" s="31" t="n">
        <v>25.0</v>
      </c>
      <c r="AH41" s="31" t="n">
        <v>27.9</v>
      </c>
      <c r="AI41" s="32" t="n">
        <v>22.9</v>
      </c>
      <c r="AJ41" s="45" t="n">
        <v>24.0</v>
      </c>
      <c r="AK41" s="6"/>
      <c r="AL41" s="6"/>
    </row>
    <row customFormat="1" r="42" s="5" spans="1:38" x14ac:dyDescent="0.2">
      <c r="A42" s="46" t="s">
        <v>25</v>
      </c>
      <c r="B42" s="31" t="n">
        <v>2.1</v>
      </c>
      <c r="C42" s="31" t="n">
        <v>2.2</v>
      </c>
      <c r="D42" s="31" t="n">
        <v>1.9</v>
      </c>
      <c r="E42" s="31" t="n">
        <v>2.0</v>
      </c>
      <c r="F42" s="31" t="n">
        <v>1.8</v>
      </c>
      <c r="G42" s="31" t="n">
        <v>0.8</v>
      </c>
      <c r="H42" s="31" t="n">
        <v>4.1</v>
      </c>
      <c r="I42" s="32" t="n">
        <v>2.0</v>
      </c>
      <c r="J42" s="45" t="n">
        <v>2.2</v>
      </c>
      <c r="K42" s="6"/>
      <c r="L42" s="6"/>
      <c r="N42" s="46" t="s">
        <v>25</v>
      </c>
      <c r="O42" s="31" t="n">
        <v>1.4</v>
      </c>
      <c r="P42" s="31" t="n">
        <v>1.3</v>
      </c>
      <c r="Q42" s="31" t="n">
        <v>1.3</v>
      </c>
      <c r="R42" s="31" t="n">
        <v>1.2</v>
      </c>
      <c r="S42" s="31" t="n">
        <v>1.4</v>
      </c>
      <c r="T42" s="31" t="n">
        <v>1.5</v>
      </c>
      <c r="U42" s="31" t="n">
        <v>4.3</v>
      </c>
      <c r="V42" s="32" t="n">
        <v>1.3</v>
      </c>
      <c r="W42" s="45" t="n">
        <v>1.8</v>
      </c>
      <c r="X42" s="6"/>
      <c r="Y42" s="6"/>
      <c r="AA42" s="46" t="s">
        <v>25</v>
      </c>
      <c r="AB42" s="31" t="n">
        <v>19.2</v>
      </c>
      <c r="AC42" s="31" t="n">
        <v>21.0</v>
      </c>
      <c r="AD42" s="31" t="n">
        <v>19.9</v>
      </c>
      <c r="AE42" s="31" t="n">
        <v>19.5</v>
      </c>
      <c r="AF42" s="31" t="n">
        <v>19.7</v>
      </c>
      <c r="AG42" s="31" t="n">
        <v>21.0</v>
      </c>
      <c r="AH42" s="31" t="n">
        <v>24.7</v>
      </c>
      <c r="AI42" s="32" t="n">
        <v>19.9</v>
      </c>
      <c r="AJ42" s="45" t="n">
        <v>20.8</v>
      </c>
      <c r="AK42" s="6"/>
      <c r="AL42" s="6"/>
    </row>
    <row customFormat="1" r="43" s="5" spans="1:38" x14ac:dyDescent="0.2">
      <c r="A43" s="46" t="s">
        <v>26</v>
      </c>
      <c r="B43" s="31" t="n">
        <v>1.8</v>
      </c>
      <c r="C43" s="31" t="n">
        <v>2.0</v>
      </c>
      <c r="D43" s="31" t="n">
        <v>1.9</v>
      </c>
      <c r="E43" s="31" t="n">
        <v>1.8</v>
      </c>
      <c r="F43" s="31" t="n">
        <v>1.6</v>
      </c>
      <c r="G43" s="31" t="n">
        <v>1.5</v>
      </c>
      <c r="H43" s="31" t="n">
        <v>3.8</v>
      </c>
      <c r="I43" s="32" t="n">
        <v>1.8</v>
      </c>
      <c r="J43" s="45" t="n">
        <v>2.1</v>
      </c>
      <c r="K43" s="6"/>
      <c r="L43" s="6"/>
      <c r="N43" s="46" t="s">
        <v>26</v>
      </c>
      <c r="O43" s="31" t="n">
        <v>1.2</v>
      </c>
      <c r="P43" s="31" t="n">
        <v>1.2</v>
      </c>
      <c r="Q43" s="31" t="n">
        <v>1.3</v>
      </c>
      <c r="R43" s="31" t="n">
        <v>1.0</v>
      </c>
      <c r="S43" s="31" t="n">
        <v>1.1</v>
      </c>
      <c r="T43" s="31" t="n">
        <v>2.2</v>
      </c>
      <c r="U43" s="31" t="n">
        <v>3.5</v>
      </c>
      <c r="V43" s="32" t="n">
        <v>1.1</v>
      </c>
      <c r="W43" s="45" t="n">
        <v>1.7</v>
      </c>
      <c r="X43" s="6"/>
      <c r="Y43" s="6"/>
      <c r="AA43" s="46" t="s">
        <v>26</v>
      </c>
      <c r="AB43" s="31" t="n">
        <v>19.5</v>
      </c>
      <c r="AC43" s="31" t="n">
        <v>21.0</v>
      </c>
      <c r="AD43" s="31" t="n">
        <v>20.9</v>
      </c>
      <c r="AE43" s="31" t="n">
        <v>20.0</v>
      </c>
      <c r="AF43" s="31" t="n">
        <v>20.5</v>
      </c>
      <c r="AG43" s="31" t="n">
        <v>20.4</v>
      </c>
      <c r="AH43" s="31" t="n">
        <v>24.8</v>
      </c>
      <c r="AI43" s="32" t="n">
        <v>20.4</v>
      </c>
      <c r="AJ43" s="45" t="n">
        <v>21.1</v>
      </c>
      <c r="AK43" s="6"/>
      <c r="AL43" s="6"/>
    </row>
    <row customFormat="1" r="44" s="5" spans="1:38" x14ac:dyDescent="0.2">
      <c r="A44" s="46" t="s">
        <v>27</v>
      </c>
      <c r="B44" s="31" t="n">
        <v>0.8</v>
      </c>
      <c r="C44" s="31" t="n">
        <v>0.8</v>
      </c>
      <c r="D44" s="31" t="n">
        <v>0.9</v>
      </c>
      <c r="E44" s="31" t="n">
        <v>0.9</v>
      </c>
      <c r="F44" s="31" t="n">
        <v>0.9</v>
      </c>
      <c r="G44" s="31" t="n">
        <v>1.1</v>
      </c>
      <c r="H44" s="31" t="n">
        <v>1.3</v>
      </c>
      <c r="I44" s="32" t="n">
        <v>0.9</v>
      </c>
      <c r="J44" s="45" t="n">
        <v>1.0</v>
      </c>
      <c r="K44" s="6"/>
      <c r="L44" s="6"/>
      <c r="N44" s="46" t="s">
        <v>27</v>
      </c>
      <c r="O44" s="31" t="n">
        <v>1.8</v>
      </c>
      <c r="P44" s="31" t="n">
        <v>1.8</v>
      </c>
      <c r="Q44" s="31" t="n">
        <v>1.8</v>
      </c>
      <c r="R44" s="31" t="n">
        <v>1.6</v>
      </c>
      <c r="S44" s="31" t="n">
        <v>1.6</v>
      </c>
      <c r="T44" s="31" t="n">
        <v>2.3</v>
      </c>
      <c r="U44" s="31" t="n">
        <v>2.3</v>
      </c>
      <c r="V44" s="32" t="n">
        <v>1.8</v>
      </c>
      <c r="W44" s="45" t="n">
        <v>1.9</v>
      </c>
      <c r="X44" s="6"/>
      <c r="Y44" s="6"/>
      <c r="AA44" s="46" t="s">
        <v>27</v>
      </c>
      <c r="AB44" s="31" t="n">
        <v>21.8</v>
      </c>
      <c r="AC44" s="31" t="n">
        <v>23.7</v>
      </c>
      <c r="AD44" s="31" t="n">
        <v>23.4</v>
      </c>
      <c r="AE44" s="31" t="n">
        <v>22.6</v>
      </c>
      <c r="AF44" s="31" t="n">
        <v>23.3</v>
      </c>
      <c r="AG44" s="31" t="n">
        <v>22.9</v>
      </c>
      <c r="AH44" s="31" t="n">
        <v>26.4</v>
      </c>
      <c r="AI44" s="32" t="n">
        <v>22.9</v>
      </c>
      <c r="AJ44" s="45" t="n">
        <v>23.5</v>
      </c>
      <c r="AK44" s="6"/>
      <c r="AL44" s="6"/>
    </row>
    <row customFormat="1" r="45" s="5" spans="1:38" x14ac:dyDescent="0.2">
      <c r="A45" s="46" t="s">
        <v>28</v>
      </c>
      <c r="B45" s="31" t="n">
        <v>0.9</v>
      </c>
      <c r="C45" s="31" t="n">
        <v>0.9</v>
      </c>
      <c r="D45" s="31" t="n">
        <v>1.1</v>
      </c>
      <c r="E45" s="31" t="n">
        <v>1.0</v>
      </c>
      <c r="F45" s="31" t="n">
        <v>0.4</v>
      </c>
      <c r="G45" s="31" t="n">
        <v>1.2</v>
      </c>
      <c r="H45" s="31" t="n">
        <v>0.8</v>
      </c>
      <c r="I45" s="32" t="n">
        <v>0.8</v>
      </c>
      <c r="J45" s="45" t="n">
        <v>0.9</v>
      </c>
      <c r="K45" s="6"/>
      <c r="L45" s="6"/>
      <c r="N45" s="46" t="s">
        <v>28</v>
      </c>
      <c r="O45" s="31" t="n">
        <v>2.4</v>
      </c>
      <c r="P45" s="31" t="n">
        <v>2.6</v>
      </c>
      <c r="Q45" s="31" t="n">
        <v>2.5</v>
      </c>
      <c r="R45" s="31" t="n">
        <v>2.4</v>
      </c>
      <c r="S45" s="31" t="n">
        <v>2.5</v>
      </c>
      <c r="T45" s="31" t="n">
        <v>3.4</v>
      </c>
      <c r="U45" s="31" t="n">
        <v>2.9</v>
      </c>
      <c r="V45" s="32" t="n">
        <v>2.5</v>
      </c>
      <c r="W45" s="45" t="n">
        <v>2.7</v>
      </c>
      <c r="X45" s="6"/>
      <c r="Y45" s="6"/>
      <c r="AA45" s="46" t="s">
        <v>28</v>
      </c>
      <c r="AB45" s="31" t="n">
        <v>28.6</v>
      </c>
      <c r="AC45" s="31" t="n">
        <v>29.8</v>
      </c>
      <c r="AD45" s="31" t="n">
        <v>30.1</v>
      </c>
      <c r="AE45" s="31" t="n">
        <v>29.4</v>
      </c>
      <c r="AF45" s="31" t="n">
        <v>29.7</v>
      </c>
      <c r="AG45" s="31" t="n">
        <v>30.1</v>
      </c>
      <c r="AH45" s="31" t="n">
        <v>33.2</v>
      </c>
      <c r="AI45" s="32" t="n">
        <v>29.5</v>
      </c>
      <c r="AJ45" s="45" t="n">
        <v>30.2</v>
      </c>
      <c r="AK45" s="6"/>
      <c r="AL45" s="6"/>
    </row>
    <row customFormat="1" r="46" s="5" spans="1:38" x14ac:dyDescent="0.2">
      <c r="A46" s="46" t="s">
        <v>29</v>
      </c>
      <c r="B46" s="31" t="n">
        <v>3.9</v>
      </c>
      <c r="C46" s="31" t="n">
        <v>3.7</v>
      </c>
      <c r="D46" s="31" t="n">
        <v>3.6</v>
      </c>
      <c r="E46" s="31" t="n">
        <v>3.5</v>
      </c>
      <c r="F46" s="31" t="n">
        <v>0.9</v>
      </c>
      <c r="G46" s="31" t="n">
        <v>2.6</v>
      </c>
      <c r="H46" s="31" t="n">
        <v>1.1</v>
      </c>
      <c r="I46" s="32" t="n">
        <v>3.2</v>
      </c>
      <c r="J46" s="45" t="n">
        <v>2.8</v>
      </c>
      <c r="K46" s="51" t="s">
        <v>15</v>
      </c>
      <c r="L46" s="52" t="s">
        <v>877</v>
      </c>
      <c r="N46" s="46" t="s">
        <v>29</v>
      </c>
      <c r="O46" s="31" t="n">
        <v>3.6</v>
      </c>
      <c r="P46" s="31" t="n">
        <v>3.8</v>
      </c>
      <c r="Q46" s="31" t="n">
        <v>4.1</v>
      </c>
      <c r="R46" s="31" t="n">
        <v>4.0</v>
      </c>
      <c r="S46" s="31" t="n">
        <v>4.7</v>
      </c>
      <c r="T46" s="31" t="n">
        <v>3.3</v>
      </c>
      <c r="U46" s="31" t="n">
        <v>6.0</v>
      </c>
      <c r="V46" s="32" t="n">
        <v>4.0</v>
      </c>
      <c r="W46" s="45" t="n">
        <v>4.2</v>
      </c>
      <c r="X46" s="51" t="s">
        <v>15</v>
      </c>
      <c r="Y46" s="52" t="s">
        <v>877</v>
      </c>
      <c r="AA46" s="46" t="s">
        <v>29</v>
      </c>
      <c r="AB46" s="31" t="n">
        <v>39.2</v>
      </c>
      <c r="AC46" s="31" t="n">
        <v>39.8</v>
      </c>
      <c r="AD46" s="31" t="n">
        <v>39.6</v>
      </c>
      <c r="AE46" s="31" t="n">
        <v>38.6</v>
      </c>
      <c r="AF46" s="31" t="n">
        <v>38.4</v>
      </c>
      <c r="AG46" s="31" t="n">
        <v>38.5</v>
      </c>
      <c r="AH46" s="31" t="n">
        <v>42.9</v>
      </c>
      <c r="AI46" s="32" t="n">
        <v>39.2</v>
      </c>
      <c r="AJ46" s="45" t="n">
        <v>39.7</v>
      </c>
      <c r="AK46" s="51" t="s">
        <v>15</v>
      </c>
      <c r="AL46" s="52" t="s">
        <v>877</v>
      </c>
    </row>
    <row customFormat="1" r="47" s="5" spans="1:38" x14ac:dyDescent="0.2">
      <c r="A47" s="46" t="s">
        <v>31</v>
      </c>
      <c r="B47" s="31" t="n">
        <v>5.9</v>
      </c>
      <c r="C47" s="31" t="n">
        <v>5.4</v>
      </c>
      <c r="D47" s="31" t="n">
        <v>4.4</v>
      </c>
      <c r="E47" s="31" t="n">
        <v>4.1</v>
      </c>
      <c r="F47" s="31" t="n">
        <v>2.2</v>
      </c>
      <c r="G47" s="31" t="n">
        <v>4.7</v>
      </c>
      <c r="H47" s="31" t="n">
        <v>4.0</v>
      </c>
      <c r="I47" s="32" t="n">
        <v>4.5</v>
      </c>
      <c r="J47" s="45" t="n">
        <v>4.5</v>
      </c>
      <c r="K47" s="53"/>
      <c r="L47" s="45"/>
      <c r="N47" s="46" t="s">
        <v>31</v>
      </c>
      <c r="O47" s="31" t="n">
        <v>5.2</v>
      </c>
      <c r="P47" s="31" t="n">
        <v>3.9</v>
      </c>
      <c r="Q47" s="31" t="n">
        <v>5.9</v>
      </c>
      <c r="R47" s="31" t="n">
        <v>4.6</v>
      </c>
      <c r="S47" s="31" t="n">
        <v>5.0</v>
      </c>
      <c r="T47" s="31" t="n">
        <v>3.9</v>
      </c>
      <c r="U47" s="31" t="n">
        <v>4.4</v>
      </c>
      <c r="V47" s="32" t="n">
        <v>4.9</v>
      </c>
      <c r="W47" s="45" t="n">
        <v>4.7</v>
      </c>
      <c r="X47" s="53"/>
      <c r="Y47" s="45"/>
      <c r="AA47" s="46" t="s">
        <v>31</v>
      </c>
      <c r="AB47" s="31" t="n">
        <v>48.1</v>
      </c>
      <c r="AC47" s="31" t="n">
        <v>46.7</v>
      </c>
      <c r="AD47" s="31" t="n">
        <v>46.6</v>
      </c>
      <c r="AE47" s="31" t="n">
        <v>46.0</v>
      </c>
      <c r="AF47" s="31" t="n">
        <v>44.3</v>
      </c>
      <c r="AG47" s="31" t="n">
        <v>44.6</v>
      </c>
      <c r="AH47" s="31" t="n">
        <v>48.2</v>
      </c>
      <c r="AI47" s="32" t="n">
        <v>46.4</v>
      </c>
      <c r="AJ47" s="45" t="n">
        <v>46.5</v>
      </c>
      <c r="AK47" s="53"/>
      <c r="AL47" s="45"/>
    </row>
    <row customFormat="1" r="48" s="5" spans="1:38" x14ac:dyDescent="0.2">
      <c r="A48" s="46" t="s">
        <v>32</v>
      </c>
      <c r="B48" s="31" t="n">
        <v>5.2</v>
      </c>
      <c r="C48" s="31" t="n">
        <v>6.4</v>
      </c>
      <c r="D48" s="31" t="n">
        <v>4.6</v>
      </c>
      <c r="E48" s="31" t="n">
        <v>4.9</v>
      </c>
      <c r="F48" s="31" t="n">
        <v>4.6</v>
      </c>
      <c r="G48" s="31" t="n">
        <v>5.2</v>
      </c>
      <c r="H48" s="31" t="n">
        <v>3.9</v>
      </c>
      <c r="I48" s="32" t="n">
        <v>5.2</v>
      </c>
      <c r="J48" s="45" t="n">
        <v>5.0</v>
      </c>
      <c r="K48" s="53"/>
      <c r="L48" s="45"/>
      <c r="N48" s="46" t="s">
        <v>32</v>
      </c>
      <c r="O48" s="31" t="n">
        <v>5.9</v>
      </c>
      <c r="P48" s="31" t="n">
        <v>4.4</v>
      </c>
      <c r="Q48" s="31" t="n">
        <v>6.6</v>
      </c>
      <c r="R48" s="31" t="n">
        <v>5.2</v>
      </c>
      <c r="S48" s="31" t="n">
        <v>4.3</v>
      </c>
      <c r="T48" s="31" t="n">
        <v>4.9</v>
      </c>
      <c r="U48" s="31" t="n">
        <v>4.1</v>
      </c>
      <c r="V48" s="32" t="n">
        <v>5.3</v>
      </c>
      <c r="W48" s="45" t="n">
        <v>5.0</v>
      </c>
      <c r="X48" s="53"/>
      <c r="Y48" s="45"/>
      <c r="AA48" s="46" t="s">
        <v>32</v>
      </c>
      <c r="AB48" s="31" t="n">
        <v>48.2</v>
      </c>
      <c r="AC48" s="31" t="n">
        <v>46.4</v>
      </c>
      <c r="AD48" s="31" t="n">
        <v>46.2</v>
      </c>
      <c r="AE48" s="31" t="n">
        <v>46.7</v>
      </c>
      <c r="AF48" s="31" t="n">
        <v>43.9</v>
      </c>
      <c r="AG48" s="31" t="n">
        <v>44.1</v>
      </c>
      <c r="AH48" s="31" t="n">
        <v>49.5</v>
      </c>
      <c r="AI48" s="32" t="n">
        <v>46.4</v>
      </c>
      <c r="AJ48" s="45" t="n">
        <v>46.6</v>
      </c>
      <c r="AK48" s="53"/>
      <c r="AL48" s="45"/>
    </row>
    <row customFormat="1" r="49" s="5" spans="1:38" x14ac:dyDescent="0.2">
      <c r="A49" s="46" t="s">
        <v>33</v>
      </c>
      <c r="B49" s="31" t="n">
        <v>4.3</v>
      </c>
      <c r="C49" s="31" t="n">
        <v>6.2</v>
      </c>
      <c r="D49" s="31" t="n">
        <v>2.9</v>
      </c>
      <c r="E49" s="31" t="n">
        <v>4.9</v>
      </c>
      <c r="F49" s="31" t="n">
        <v>5.0</v>
      </c>
      <c r="G49" s="31" t="n">
        <v>5.8</v>
      </c>
      <c r="H49" s="31" t="n">
        <v>4.8</v>
      </c>
      <c r="I49" s="32" t="n">
        <v>4.7</v>
      </c>
      <c r="J49" s="45" t="n">
        <v>4.9</v>
      </c>
      <c r="K49" s="53"/>
      <c r="L49" s="45"/>
      <c r="N49" s="46" t="s">
        <v>33</v>
      </c>
      <c r="O49" s="31" t="n">
        <v>5.4</v>
      </c>
      <c r="P49" s="31" t="n">
        <v>3.4</v>
      </c>
      <c r="Q49" s="31" t="n">
        <v>5.9</v>
      </c>
      <c r="R49" s="31" t="n">
        <v>4.0</v>
      </c>
      <c r="S49" s="31" t="n">
        <v>3.9</v>
      </c>
      <c r="T49" s="31" t="n">
        <v>4.9</v>
      </c>
      <c r="U49" s="31" t="n">
        <v>4.0</v>
      </c>
      <c r="V49" s="32" t="n">
        <v>4.5</v>
      </c>
      <c r="W49" s="45" t="n">
        <v>4.5</v>
      </c>
      <c r="X49" s="53"/>
      <c r="Y49" s="45"/>
      <c r="AA49" s="46" t="s">
        <v>33</v>
      </c>
      <c r="AB49" s="31" t="n">
        <v>45.4</v>
      </c>
      <c r="AC49" s="31" t="n">
        <v>44.2</v>
      </c>
      <c r="AD49" s="31" t="n">
        <v>44.1</v>
      </c>
      <c r="AE49" s="31" t="n">
        <v>43.7</v>
      </c>
      <c r="AF49" s="31" t="n">
        <v>42.2</v>
      </c>
      <c r="AG49" s="31" t="n">
        <v>41.2</v>
      </c>
      <c r="AH49" s="31" t="n">
        <v>43.5</v>
      </c>
      <c r="AI49" s="32" t="n">
        <v>44.0</v>
      </c>
      <c r="AJ49" s="45" t="n">
        <v>43.5</v>
      </c>
      <c r="AK49" s="53"/>
      <c r="AL49" s="45"/>
    </row>
    <row customFormat="1" r="50" s="5" spans="1:38" x14ac:dyDescent="0.2">
      <c r="A50" s="46" t="s">
        <v>34</v>
      </c>
      <c r="B50" s="31" t="n">
        <v>2.3</v>
      </c>
      <c r="C50" s="31" t="n">
        <v>3.0</v>
      </c>
      <c r="D50" s="31" t="n">
        <v>2.7</v>
      </c>
      <c r="E50" s="31" t="n">
        <v>2.3</v>
      </c>
      <c r="F50" s="31" t="n">
        <v>2.4</v>
      </c>
      <c r="G50" s="31" t="n">
        <v>2.7</v>
      </c>
      <c r="H50" s="31" t="n">
        <v>2.3</v>
      </c>
      <c r="I50" s="32" t="n">
        <v>2.5</v>
      </c>
      <c r="J50" s="45" t="n">
        <v>2.5</v>
      </c>
      <c r="K50" s="53"/>
      <c r="L50" s="45"/>
      <c r="N50" s="46" t="s">
        <v>34</v>
      </c>
      <c r="O50" s="31" t="n">
        <v>3.4</v>
      </c>
      <c r="P50" s="31" t="n">
        <v>3.2</v>
      </c>
      <c r="Q50" s="31" t="n">
        <v>3.4</v>
      </c>
      <c r="R50" s="31" t="n">
        <v>3.7</v>
      </c>
      <c r="S50" s="31" t="n">
        <v>3.9</v>
      </c>
      <c r="T50" s="31" t="n">
        <v>5.3</v>
      </c>
      <c r="U50" s="31" t="n">
        <v>7.2</v>
      </c>
      <c r="V50" s="32" t="n">
        <v>3.5</v>
      </c>
      <c r="W50" s="45" t="n">
        <v>4.3</v>
      </c>
      <c r="X50" s="53"/>
      <c r="Y50" s="45"/>
      <c r="AA50" s="46" t="s">
        <v>34</v>
      </c>
      <c r="AB50" s="31" t="n">
        <v>36.2</v>
      </c>
      <c r="AC50" s="31" t="n">
        <v>35.6</v>
      </c>
      <c r="AD50" s="31" t="n">
        <v>34.7</v>
      </c>
      <c r="AE50" s="31" t="n">
        <v>34.6</v>
      </c>
      <c r="AF50" s="31" t="n">
        <v>36.2</v>
      </c>
      <c r="AG50" s="31" t="n">
        <v>34.9</v>
      </c>
      <c r="AH50" s="31" t="n">
        <v>33.3</v>
      </c>
      <c r="AI50" s="32" t="n">
        <v>35.5</v>
      </c>
      <c r="AJ50" s="45" t="n">
        <v>35.1</v>
      </c>
      <c r="AK50" s="53"/>
      <c r="AL50" s="45"/>
    </row>
    <row customFormat="1" r="51" s="5" spans="1:38" x14ac:dyDescent="0.2">
      <c r="A51" s="46" t="s">
        <v>35</v>
      </c>
      <c r="B51" s="31" t="n">
        <v>0.9</v>
      </c>
      <c r="C51" s="31" t="n">
        <v>1.7</v>
      </c>
      <c r="D51" s="31" t="n">
        <v>1.8</v>
      </c>
      <c r="E51" s="31" t="n">
        <v>1.3</v>
      </c>
      <c r="F51" s="31" t="n">
        <v>2.7</v>
      </c>
      <c r="G51" s="31" t="n">
        <v>1.1</v>
      </c>
      <c r="H51" s="31" t="n">
        <v>1.8</v>
      </c>
      <c r="I51" s="32" t="n">
        <v>1.7</v>
      </c>
      <c r="J51" s="45" t="n">
        <v>1.6</v>
      </c>
      <c r="K51" s="53"/>
      <c r="L51" s="45"/>
      <c r="N51" s="46" t="s">
        <v>35</v>
      </c>
      <c r="O51" s="31" t="n">
        <v>1.8</v>
      </c>
      <c r="P51" s="31" t="n">
        <v>1.5</v>
      </c>
      <c r="Q51" s="31" t="n">
        <v>1.9</v>
      </c>
      <c r="R51" s="31" t="n">
        <v>2.4</v>
      </c>
      <c r="S51" s="31" t="n">
        <v>2.2</v>
      </c>
      <c r="T51" s="31" t="n">
        <v>3.2</v>
      </c>
      <c r="U51" s="31" t="n">
        <v>3.7</v>
      </c>
      <c r="V51" s="32" t="n">
        <v>1.9</v>
      </c>
      <c r="W51" s="45" t="n">
        <v>2.4</v>
      </c>
      <c r="X51" s="53"/>
      <c r="Y51" s="45"/>
      <c r="AA51" s="46" t="s">
        <v>35</v>
      </c>
      <c r="AB51" s="31" t="n">
        <v>22.6</v>
      </c>
      <c r="AC51" s="31" t="n">
        <v>22.5</v>
      </c>
      <c r="AD51" s="31" t="n">
        <v>21.9</v>
      </c>
      <c r="AE51" s="31" t="n">
        <v>23.1</v>
      </c>
      <c r="AF51" s="31" t="n">
        <v>24.1</v>
      </c>
      <c r="AG51" s="31" t="n">
        <v>23.4</v>
      </c>
      <c r="AH51" s="31" t="n">
        <v>20.9</v>
      </c>
      <c r="AI51" s="32" t="n">
        <v>22.8</v>
      </c>
      <c r="AJ51" s="45" t="n">
        <v>22.6</v>
      </c>
      <c r="AK51" s="53"/>
      <c r="AL51" s="45"/>
    </row>
    <row customFormat="1" r="52" s="5" spans="1:38" x14ac:dyDescent="0.2">
      <c r="A52" s="46" t="s">
        <v>36</v>
      </c>
      <c r="B52" s="31" t="n">
        <v>0.5</v>
      </c>
      <c r="C52" s="31" t="n">
        <v>0.8</v>
      </c>
      <c r="D52" s="31" t="n">
        <v>0.7</v>
      </c>
      <c r="E52" s="31" t="n">
        <v>1.0</v>
      </c>
      <c r="F52" s="31" t="n">
        <v>1.0</v>
      </c>
      <c r="G52" s="31" t="n">
        <v>0.7</v>
      </c>
      <c r="H52" s="31" t="n">
        <v>0.9</v>
      </c>
      <c r="I52" s="32" t="n">
        <v>0.8</v>
      </c>
      <c r="J52" s="45" t="n">
        <v>0.8</v>
      </c>
      <c r="K52" s="53"/>
      <c r="L52" s="45"/>
      <c r="N52" s="46" t="s">
        <v>36</v>
      </c>
      <c r="O52" s="31" t="n">
        <v>1.3</v>
      </c>
      <c r="P52" s="31" t="n">
        <v>1.4</v>
      </c>
      <c r="Q52" s="31" t="n">
        <v>1.4</v>
      </c>
      <c r="R52" s="31" t="n">
        <v>1.7</v>
      </c>
      <c r="S52" s="31" t="n">
        <v>1.4</v>
      </c>
      <c r="T52" s="31" t="n">
        <v>2.0</v>
      </c>
      <c r="U52" s="31" t="n">
        <v>2.2</v>
      </c>
      <c r="V52" s="32" t="n">
        <v>1.4</v>
      </c>
      <c r="W52" s="45" t="n">
        <v>1.6</v>
      </c>
      <c r="X52" s="53"/>
      <c r="Y52" s="45"/>
      <c r="AA52" s="46" t="s">
        <v>36</v>
      </c>
      <c r="AB52" s="31" t="n">
        <v>12.8</v>
      </c>
      <c r="AC52" s="31" t="n">
        <v>12.9</v>
      </c>
      <c r="AD52" s="31" t="n">
        <v>12.1</v>
      </c>
      <c r="AE52" s="31" t="n">
        <v>13.7</v>
      </c>
      <c r="AF52" s="31" t="n">
        <v>14.4</v>
      </c>
      <c r="AG52" s="31" t="n">
        <v>14.5</v>
      </c>
      <c r="AH52" s="31" t="n">
        <v>12.6</v>
      </c>
      <c r="AI52" s="32" t="n">
        <v>13.2</v>
      </c>
      <c r="AJ52" s="45" t="n">
        <v>13.2</v>
      </c>
      <c r="AK52" s="53"/>
      <c r="AL52" s="45"/>
    </row>
    <row customFormat="1" r="53" s="5" spans="1:38" x14ac:dyDescent="0.2">
      <c r="A53" s="46" t="s">
        <v>37</v>
      </c>
      <c r="B53" s="31" t="n">
        <v>0.3</v>
      </c>
      <c r="C53" s="31" t="n">
        <v>0.6</v>
      </c>
      <c r="D53" s="31" t="n">
        <v>0.5</v>
      </c>
      <c r="E53" s="31" t="n">
        <v>0.5</v>
      </c>
      <c r="F53" s="31" t="n">
        <v>0.4</v>
      </c>
      <c r="G53" s="31" t="n">
        <v>1.0</v>
      </c>
      <c r="H53" s="31" t="n">
        <v>0.7</v>
      </c>
      <c r="I53" s="32" t="n">
        <v>0.4</v>
      </c>
      <c r="J53" s="45" t="n">
        <v>0.6</v>
      </c>
      <c r="K53" s="53"/>
      <c r="L53" s="45"/>
      <c r="N53" s="46" t="s">
        <v>37</v>
      </c>
      <c r="O53" s="31" t="n">
        <v>0.9</v>
      </c>
      <c r="P53" s="31" t="n">
        <v>1.0</v>
      </c>
      <c r="Q53" s="31" t="n">
        <v>0.6</v>
      </c>
      <c r="R53" s="31" t="n">
        <v>0.8</v>
      </c>
      <c r="S53" s="31" t="n">
        <v>1.0</v>
      </c>
      <c r="T53" s="31" t="n">
        <v>1.3</v>
      </c>
      <c r="U53" s="31" t="n">
        <v>1.3</v>
      </c>
      <c r="V53" s="32" t="n">
        <v>0.9</v>
      </c>
      <c r="W53" s="45" t="n">
        <v>1.0</v>
      </c>
      <c r="X53" s="53"/>
      <c r="Y53" s="45"/>
      <c r="AA53" s="46" t="s">
        <v>37</v>
      </c>
      <c r="AB53" s="31" t="n">
        <v>7.4</v>
      </c>
      <c r="AC53" s="31" t="n">
        <v>7.7</v>
      </c>
      <c r="AD53" s="31" t="n">
        <v>7.4</v>
      </c>
      <c r="AE53" s="31" t="n">
        <v>7.8</v>
      </c>
      <c r="AF53" s="31" t="n">
        <v>8.6</v>
      </c>
      <c r="AG53" s="31" t="n">
        <v>9.2</v>
      </c>
      <c r="AH53" s="31" t="n">
        <v>7.6</v>
      </c>
      <c r="AI53" s="32" t="n">
        <v>7.8</v>
      </c>
      <c r="AJ53" s="45" t="n">
        <v>7.9</v>
      </c>
      <c r="AK53" s="53"/>
      <c r="AL53" s="45"/>
    </row>
    <row customFormat="1" r="54" s="5" spans="1:38" x14ac:dyDescent="0.2">
      <c r="A54" s="46" t="s">
        <v>38</v>
      </c>
      <c r="B54" s="31" t="n">
        <v>0.2</v>
      </c>
      <c r="C54" s="31" t="n">
        <v>0.4</v>
      </c>
      <c r="D54" s="31" t="n">
        <v>0.3</v>
      </c>
      <c r="E54" s="31" t="n">
        <v>0.3</v>
      </c>
      <c r="F54" s="31" t="n">
        <v>0.2</v>
      </c>
      <c r="G54" s="31" t="n">
        <v>0.7</v>
      </c>
      <c r="H54" s="31" t="n">
        <v>0.4</v>
      </c>
      <c r="I54" s="32" t="n">
        <v>0.3</v>
      </c>
      <c r="J54" s="45" t="n">
        <v>0.3</v>
      </c>
      <c r="K54" s="53"/>
      <c r="L54" s="45"/>
      <c r="N54" s="46" t="s">
        <v>38</v>
      </c>
      <c r="O54" s="31" t="n">
        <v>0.5</v>
      </c>
      <c r="P54" s="31" t="n">
        <v>0.7</v>
      </c>
      <c r="Q54" s="31" t="n">
        <v>0.5</v>
      </c>
      <c r="R54" s="31" t="n">
        <v>0.5</v>
      </c>
      <c r="S54" s="31" t="n">
        <v>0.7</v>
      </c>
      <c r="T54" s="31" t="n">
        <v>0.8</v>
      </c>
      <c r="U54" s="31" t="n">
        <v>0.8</v>
      </c>
      <c r="V54" s="32" t="n">
        <v>0.6</v>
      </c>
      <c r="W54" s="45" t="n">
        <v>0.6</v>
      </c>
      <c r="X54" s="53"/>
      <c r="Y54" s="45"/>
      <c r="AA54" s="46" t="s">
        <v>38</v>
      </c>
      <c r="AB54" s="31" t="n">
        <v>4.9</v>
      </c>
      <c r="AC54" s="31" t="n">
        <v>5.1</v>
      </c>
      <c r="AD54" s="31" t="n">
        <v>5.0</v>
      </c>
      <c r="AE54" s="31" t="n">
        <v>4.9</v>
      </c>
      <c r="AF54" s="31" t="n">
        <v>5.4</v>
      </c>
      <c r="AG54" s="31" t="n">
        <v>6.4</v>
      </c>
      <c r="AH54" s="31" t="n">
        <v>5.2</v>
      </c>
      <c r="AI54" s="32" t="n">
        <v>5.1</v>
      </c>
      <c r="AJ54" s="45" t="n">
        <v>5.2</v>
      </c>
      <c r="AK54" s="53"/>
      <c r="AL54" s="45"/>
    </row>
    <row customFormat="1" r="55" s="5" spans="1:38" x14ac:dyDescent="0.2">
      <c r="A55" s="46" t="s">
        <v>39</v>
      </c>
      <c r="B55" s="31" t="n">
        <v>0.1</v>
      </c>
      <c r="C55" s="31" t="n">
        <v>0.2</v>
      </c>
      <c r="D55" s="31" t="n">
        <v>0.2</v>
      </c>
      <c r="E55" s="31" t="n">
        <v>0.2</v>
      </c>
      <c r="F55" s="31" t="n">
        <v>0.2</v>
      </c>
      <c r="G55" s="31" t="n">
        <v>0.5</v>
      </c>
      <c r="H55" s="31" t="n">
        <v>0.3</v>
      </c>
      <c r="I55" s="32" t="n">
        <v>0.2</v>
      </c>
      <c r="J55" s="45" t="n">
        <v>0.2</v>
      </c>
      <c r="K55" s="53"/>
      <c r="L55" s="45"/>
      <c r="N55" s="46" t="s">
        <v>39</v>
      </c>
      <c r="O55" s="31" t="n">
        <v>0.4</v>
      </c>
      <c r="P55" s="31" t="n">
        <v>0.6</v>
      </c>
      <c r="Q55" s="31" t="n">
        <v>0.4</v>
      </c>
      <c r="R55" s="31" t="n">
        <v>0.4</v>
      </c>
      <c r="S55" s="31" t="n">
        <v>0.5</v>
      </c>
      <c r="T55" s="31" t="n">
        <v>0.6</v>
      </c>
      <c r="U55" s="31" t="n">
        <v>0.6</v>
      </c>
      <c r="V55" s="32" t="n">
        <v>0.5</v>
      </c>
      <c r="W55" s="45" t="n">
        <v>0.5</v>
      </c>
      <c r="X55" s="53"/>
      <c r="Y55" s="45"/>
      <c r="AA55" s="46" t="s">
        <v>39</v>
      </c>
      <c r="AB55" s="31" t="n">
        <v>4.0</v>
      </c>
      <c r="AC55" s="31" t="n">
        <v>4.3</v>
      </c>
      <c r="AD55" s="31" t="n">
        <v>4.1</v>
      </c>
      <c r="AE55" s="31" t="n">
        <v>3.9</v>
      </c>
      <c r="AF55" s="31" t="n">
        <v>4.4</v>
      </c>
      <c r="AG55" s="31" t="n">
        <v>5.0</v>
      </c>
      <c r="AH55" s="31" t="n">
        <v>3.7</v>
      </c>
      <c r="AI55" s="32" t="n">
        <v>4.2</v>
      </c>
      <c r="AJ55" s="45" t="n">
        <v>4.2</v>
      </c>
      <c r="AK55" s="53"/>
      <c r="AL55" s="45"/>
    </row>
    <row customFormat="1" r="56" s="5" spans="1:38" x14ac:dyDescent="0.2">
      <c r="A56" s="47" t="s">
        <v>40</v>
      </c>
      <c r="B56" s="48" t="n">
        <v>0.1</v>
      </c>
      <c r="C56" s="48" t="n">
        <v>0.1</v>
      </c>
      <c r="D56" s="48" t="n">
        <v>0.1</v>
      </c>
      <c r="E56" s="48" t="n">
        <v>0.1</v>
      </c>
      <c r="F56" s="48" t="n">
        <v>0.1</v>
      </c>
      <c r="G56" s="48" t="n">
        <v>0.3</v>
      </c>
      <c r="H56" s="48" t="n">
        <v>0.1</v>
      </c>
      <c r="I56" s="49" t="n">
        <v>0.1</v>
      </c>
      <c r="J56" s="50" t="n">
        <v>0.1</v>
      </c>
      <c r="K56" s="54"/>
      <c r="L56" s="50"/>
      <c r="N56" s="47" t="s">
        <v>40</v>
      </c>
      <c r="O56" s="48" t="n">
        <v>0.4</v>
      </c>
      <c r="P56" s="48" t="n">
        <v>0.5</v>
      </c>
      <c r="Q56" s="48" t="n">
        <v>0.4</v>
      </c>
      <c r="R56" s="48" t="n">
        <v>0.4</v>
      </c>
      <c r="S56" s="48" t="n">
        <v>0.4</v>
      </c>
      <c r="T56" s="48" t="n">
        <v>0.4</v>
      </c>
      <c r="U56" s="48" t="n">
        <v>0.5</v>
      </c>
      <c r="V56" s="49" t="n">
        <v>0.4</v>
      </c>
      <c r="W56" s="50" t="n">
        <v>0.4</v>
      </c>
      <c r="X56" s="54"/>
      <c r="Y56" s="50"/>
      <c r="AA56" s="47" t="s">
        <v>40</v>
      </c>
      <c r="AB56" s="48" t="n">
        <v>5.5</v>
      </c>
      <c r="AC56" s="48" t="n">
        <v>6.1</v>
      </c>
      <c r="AD56" s="48" t="n">
        <v>5.6</v>
      </c>
      <c r="AE56" s="48" t="n">
        <v>5.5</v>
      </c>
      <c r="AF56" s="48" t="n">
        <v>5.1</v>
      </c>
      <c r="AG56" s="48" t="n">
        <v>4.5</v>
      </c>
      <c r="AH56" s="48" t="n">
        <v>5.2</v>
      </c>
      <c r="AI56" s="49" t="n">
        <v>5.6</v>
      </c>
      <c r="AJ56" s="50" t="n">
        <v>5.4</v>
      </c>
      <c r="AK56" s="54"/>
      <c r="AL56" s="50"/>
    </row>
    <row customFormat="1" r="57" s="5" spans="1:38" x14ac:dyDescent="0.2"/>
    <row customFormat="1" r="58" s="5" spans="1:38" x14ac:dyDescent="0.2">
      <c r="A58" s="40" t="s">
        <v>883</v>
      </c>
      <c r="B58" s="41" t="s">
        <v>4</v>
      </c>
      <c r="C58" s="41" t="s">
        <v>5</v>
      </c>
      <c r="D58" s="41" t="s">
        <v>6</v>
      </c>
      <c r="E58" s="41" t="s">
        <v>7</v>
      </c>
      <c r="F58" s="41" t="s">
        <v>8</v>
      </c>
      <c r="G58" s="41" t="s">
        <v>9</v>
      </c>
      <c r="H58" s="41" t="s">
        <v>10</v>
      </c>
      <c r="I58" s="42" t="s">
        <v>11</v>
      </c>
      <c r="J58" s="43" t="s">
        <v>12</v>
      </c>
      <c r="K58" s="2"/>
      <c r="L58" s="2"/>
      <c r="N58" s="40" t="s">
        <v>884</v>
      </c>
      <c r="O58" s="41" t="s">
        <v>4</v>
      </c>
      <c r="P58" s="41" t="s">
        <v>5</v>
      </c>
      <c r="Q58" s="41" t="s">
        <v>6</v>
      </c>
      <c r="R58" s="41" t="s">
        <v>7</v>
      </c>
      <c r="S58" s="41" t="s">
        <v>8</v>
      </c>
      <c r="T58" s="41" t="s">
        <v>9</v>
      </c>
      <c r="U58" s="41" t="s">
        <v>10</v>
      </c>
      <c r="V58" s="42" t="s">
        <v>11</v>
      </c>
      <c r="W58" s="43" t="s">
        <v>12</v>
      </c>
      <c r="X58" s="2"/>
      <c r="Y58" s="2"/>
      <c r="AA58" s="22"/>
      <c r="AB58" s="3"/>
      <c r="AC58" s="3"/>
      <c r="AD58" s="3"/>
      <c r="AE58" s="3"/>
      <c r="AF58" s="3"/>
      <c r="AG58" s="3"/>
      <c r="AH58" s="3"/>
      <c r="AI58" s="4"/>
      <c r="AJ58" s="4"/>
      <c r="AK58" s="2"/>
      <c r="AL58" s="2"/>
    </row>
    <row customFormat="1" r="59" s="5" spans="1:38" x14ac:dyDescent="0.2">
      <c r="A59" s="44" t="s">
        <v>16</v>
      </c>
      <c r="B59" s="31" t="n">
        <v>9.6</v>
      </c>
      <c r="C59" s="31" t="n">
        <v>9.4</v>
      </c>
      <c r="D59" s="31" t="n">
        <v>9.3</v>
      </c>
      <c r="E59" s="31" t="n">
        <v>9.1</v>
      </c>
      <c r="F59" s="31" t="n">
        <v>8.6</v>
      </c>
      <c r="G59" s="31" t="n">
        <v>5.2</v>
      </c>
      <c r="H59" s="31" t="n">
        <v>3.9</v>
      </c>
      <c r="I59" s="32" t="n">
        <v>9.2</v>
      </c>
      <c r="J59" s="45" t="n">
        <v>7.9</v>
      </c>
      <c r="K59" s="6"/>
      <c r="L59" s="6"/>
      <c r="N59" s="44" t="s">
        <v>16</v>
      </c>
      <c r="O59" s="31" t="n">
        <v>9.4</v>
      </c>
      <c r="P59" s="31" t="n">
        <v>9.2</v>
      </c>
      <c r="Q59" s="31" t="n">
        <v>9.1</v>
      </c>
      <c r="R59" s="31" t="n">
        <v>8.9</v>
      </c>
      <c r="S59" s="31" t="n">
        <v>8.5</v>
      </c>
      <c r="T59" s="31" t="n">
        <v>5.0</v>
      </c>
      <c r="U59" s="31" t="n">
        <v>3.4</v>
      </c>
      <c r="V59" s="32" t="n">
        <v>9.1</v>
      </c>
      <c r="W59" s="45" t="n">
        <v>7.7</v>
      </c>
      <c r="X59" s="6"/>
      <c r="Y59" s="6"/>
      <c r="AA59" s="9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customFormat="1" r="60" s="5" spans="1:38" x14ac:dyDescent="0.2">
      <c r="A60" s="46" t="s">
        <v>17</v>
      </c>
      <c r="B60" s="31" t="n">
        <v>21.8</v>
      </c>
      <c r="C60" s="31" t="n">
        <v>21.7</v>
      </c>
      <c r="D60" s="31" t="n">
        <v>21.4</v>
      </c>
      <c r="E60" s="31" t="n">
        <v>21.8</v>
      </c>
      <c r="F60" s="31" t="n">
        <v>20.3</v>
      </c>
      <c r="G60" s="31" t="n">
        <v>14.2</v>
      </c>
      <c r="H60" s="31" t="n">
        <v>13.0</v>
      </c>
      <c r="I60" s="32" t="n">
        <v>21.4</v>
      </c>
      <c r="J60" s="45" t="n">
        <v>19.1</v>
      </c>
      <c r="K60" s="6"/>
      <c r="L60" s="6"/>
      <c r="N60" s="46" t="s">
        <v>17</v>
      </c>
      <c r="O60" s="31" t="n">
        <v>21.1</v>
      </c>
      <c r="P60" s="31" t="n">
        <v>21.0</v>
      </c>
      <c r="Q60" s="31" t="n">
        <v>20.7</v>
      </c>
      <c r="R60" s="31" t="n">
        <v>21.0</v>
      </c>
      <c r="S60" s="31" t="n">
        <v>19.8</v>
      </c>
      <c r="T60" s="31" t="n">
        <v>13.9</v>
      </c>
      <c r="U60" s="31" t="n">
        <v>12.6</v>
      </c>
      <c r="V60" s="32" t="n">
        <v>20.8</v>
      </c>
      <c r="W60" s="45" t="n">
        <v>18.6</v>
      </c>
      <c r="X60" s="6"/>
      <c r="Y60" s="6"/>
      <c r="AA60" s="9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customFormat="1" r="61" s="5" spans="1:38" x14ac:dyDescent="0.2">
      <c r="A61" s="46" t="s">
        <v>18</v>
      </c>
      <c r="B61" s="31" t="n">
        <v>29.0</v>
      </c>
      <c r="C61" s="31" t="n">
        <v>29.0</v>
      </c>
      <c r="D61" s="31" t="n">
        <v>29.2</v>
      </c>
      <c r="E61" s="31" t="n">
        <v>29.0</v>
      </c>
      <c r="F61" s="31" t="n">
        <v>28.0</v>
      </c>
      <c r="G61" s="31" t="n">
        <v>22.7</v>
      </c>
      <c r="H61" s="31" t="n">
        <v>23.0</v>
      </c>
      <c r="I61" s="32" t="n">
        <v>28.8</v>
      </c>
      <c r="J61" s="45" t="n">
        <v>27.1</v>
      </c>
      <c r="K61" s="6"/>
      <c r="L61" s="6"/>
      <c r="N61" s="46" t="s">
        <v>18</v>
      </c>
      <c r="O61" s="31" t="n">
        <v>28.6</v>
      </c>
      <c r="P61" s="31" t="n">
        <v>28.6</v>
      </c>
      <c r="Q61" s="31" t="n">
        <v>28.8</v>
      </c>
      <c r="R61" s="31" t="n">
        <v>28.6</v>
      </c>
      <c r="S61" s="31" t="n">
        <v>27.7</v>
      </c>
      <c r="T61" s="31" t="n">
        <v>22.5</v>
      </c>
      <c r="U61" s="31" t="n">
        <v>22.5</v>
      </c>
      <c r="V61" s="32" t="n">
        <v>28.5</v>
      </c>
      <c r="W61" s="45" t="n">
        <v>26.7</v>
      </c>
      <c r="X61" s="6"/>
      <c r="Y61" s="6"/>
      <c r="AA61" s="9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customFormat="1" r="62" s="5" spans="1:38" x14ac:dyDescent="0.2">
      <c r="A62" s="46" t="s">
        <v>19</v>
      </c>
      <c r="B62" s="31" t="n">
        <v>25.1</v>
      </c>
      <c r="C62" s="31" t="n">
        <v>24.5</v>
      </c>
      <c r="D62" s="31" t="n">
        <v>25.2</v>
      </c>
      <c r="E62" s="31" t="n">
        <v>26.0</v>
      </c>
      <c r="F62" s="31" t="n">
        <v>25.8</v>
      </c>
      <c r="G62" s="31" t="n">
        <v>25.4</v>
      </c>
      <c r="H62" s="31" t="n">
        <v>30.3</v>
      </c>
      <c r="I62" s="32" t="n">
        <v>25.3</v>
      </c>
      <c r="J62" s="45" t="n">
        <v>26.1</v>
      </c>
      <c r="K62" s="6"/>
      <c r="L62" s="6"/>
      <c r="N62" s="46" t="s">
        <v>19</v>
      </c>
      <c r="O62" s="31" t="n">
        <v>23.9</v>
      </c>
      <c r="P62" s="31" t="n">
        <v>23.2</v>
      </c>
      <c r="Q62" s="31" t="n">
        <v>24.0</v>
      </c>
      <c r="R62" s="31" t="n">
        <v>24.6</v>
      </c>
      <c r="S62" s="31" t="n">
        <v>24.4</v>
      </c>
      <c r="T62" s="31" t="n">
        <v>25.1</v>
      </c>
      <c r="U62" s="31" t="n">
        <v>29.4</v>
      </c>
      <c r="V62" s="32" t="n">
        <v>24.0</v>
      </c>
      <c r="W62" s="45" t="n">
        <v>25.0</v>
      </c>
      <c r="X62" s="6"/>
      <c r="Y62" s="6"/>
      <c r="AA62" s="9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customFormat="1" r="63" s="5" spans="1:38" x14ac:dyDescent="0.2">
      <c r="A63" s="46" t="s">
        <v>20</v>
      </c>
      <c r="B63" s="31" t="n">
        <v>19.4</v>
      </c>
      <c r="C63" s="31" t="n">
        <v>19.4</v>
      </c>
      <c r="D63" s="31" t="n">
        <v>18.6</v>
      </c>
      <c r="E63" s="31" t="n">
        <v>19.8</v>
      </c>
      <c r="F63" s="31" t="n">
        <v>19.5</v>
      </c>
      <c r="G63" s="31" t="n">
        <v>21.5</v>
      </c>
      <c r="H63" s="31" t="n">
        <v>27.1</v>
      </c>
      <c r="I63" s="32" t="n">
        <v>19.3</v>
      </c>
      <c r="J63" s="45" t="n">
        <v>20.9</v>
      </c>
      <c r="K63" s="6"/>
      <c r="L63" s="6"/>
      <c r="N63" s="46" t="s">
        <v>20</v>
      </c>
      <c r="O63" s="31" t="n">
        <v>19.0</v>
      </c>
      <c r="P63" s="31" t="n">
        <v>18.8</v>
      </c>
      <c r="Q63" s="31" t="n">
        <v>18.1</v>
      </c>
      <c r="R63" s="31" t="n">
        <v>19.2</v>
      </c>
      <c r="S63" s="31" t="n">
        <v>18.9</v>
      </c>
      <c r="T63" s="31" t="n">
        <v>21.1</v>
      </c>
      <c r="U63" s="31" t="n">
        <v>26.7</v>
      </c>
      <c r="V63" s="32" t="n">
        <v>18.8</v>
      </c>
      <c r="W63" s="45" t="n">
        <v>20.4</v>
      </c>
      <c r="X63" s="6"/>
      <c r="Y63" s="6"/>
      <c r="AA63" s="9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customFormat="1" r="64" s="5" spans="1:38" x14ac:dyDescent="0.2">
      <c r="A64" s="46" t="s">
        <v>21</v>
      </c>
      <c r="B64" s="31" t="n">
        <v>13.0</v>
      </c>
      <c r="C64" s="31" t="n">
        <v>13.4</v>
      </c>
      <c r="D64" s="31" t="n">
        <v>12.3</v>
      </c>
      <c r="E64" s="31" t="n">
        <v>12.8</v>
      </c>
      <c r="F64" s="31" t="n">
        <v>13.0</v>
      </c>
      <c r="G64" s="31" t="n">
        <v>15.6</v>
      </c>
      <c r="H64" s="31" t="n">
        <v>21.1</v>
      </c>
      <c r="I64" s="32" t="n">
        <v>12.9</v>
      </c>
      <c r="J64" s="45" t="n">
        <v>14.6</v>
      </c>
      <c r="K64" s="6"/>
      <c r="L64" s="6"/>
      <c r="N64" s="46" t="s">
        <v>21</v>
      </c>
      <c r="O64" s="31" t="n">
        <v>12.8</v>
      </c>
      <c r="P64" s="31" t="n">
        <v>13.1</v>
      </c>
      <c r="Q64" s="31" t="n">
        <v>12.0</v>
      </c>
      <c r="R64" s="31" t="n">
        <v>12.5</v>
      </c>
      <c r="S64" s="31" t="n">
        <v>12.7</v>
      </c>
      <c r="T64" s="31" t="n">
        <v>15.1</v>
      </c>
      <c r="U64" s="31" t="n">
        <v>20.7</v>
      </c>
      <c r="V64" s="32" t="n">
        <v>12.7</v>
      </c>
      <c r="W64" s="45" t="n">
        <v>14.3</v>
      </c>
      <c r="X64" s="6"/>
      <c r="Y64" s="6"/>
      <c r="AA64" s="9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customFormat="1" r="65" s="5" spans="1:38" x14ac:dyDescent="0.2">
      <c r="A65" s="46" t="s">
        <v>22</v>
      </c>
      <c r="B65" s="31" t="n">
        <v>13.0</v>
      </c>
      <c r="C65" s="31" t="n">
        <v>13.6</v>
      </c>
      <c r="D65" s="31" t="n">
        <v>12.8</v>
      </c>
      <c r="E65" s="31" t="n">
        <v>12.7</v>
      </c>
      <c r="F65" s="31" t="n">
        <v>12.9</v>
      </c>
      <c r="G65" s="31" t="n">
        <v>14.3</v>
      </c>
      <c r="H65" s="31" t="n">
        <v>18.8</v>
      </c>
      <c r="I65" s="32" t="n">
        <v>13.0</v>
      </c>
      <c r="J65" s="45" t="n">
        <v>14.1</v>
      </c>
      <c r="K65" s="6"/>
      <c r="L65" s="6"/>
      <c r="N65" s="46" t="s">
        <v>22</v>
      </c>
      <c r="O65" s="31" t="n">
        <v>12.8</v>
      </c>
      <c r="P65" s="31" t="n">
        <v>13.3</v>
      </c>
      <c r="Q65" s="31" t="n">
        <v>12.6</v>
      </c>
      <c r="R65" s="31" t="n">
        <v>12.4</v>
      </c>
      <c r="S65" s="31" t="n">
        <v>12.8</v>
      </c>
      <c r="T65" s="31" t="n">
        <v>13.5</v>
      </c>
      <c r="U65" s="31" t="n">
        <v>17.8</v>
      </c>
      <c r="V65" s="32" t="n">
        <v>12.8</v>
      </c>
      <c r="W65" s="45" t="n">
        <v>13.7</v>
      </c>
      <c r="X65" s="6"/>
      <c r="Y65" s="6"/>
      <c r="AA65" s="9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customFormat="1" r="66" s="5" spans="1:38" x14ac:dyDescent="0.2">
      <c r="A66" s="46" t="s">
        <v>23</v>
      </c>
      <c r="B66" s="31" t="n">
        <v>17.4</v>
      </c>
      <c r="C66" s="31" t="n">
        <v>17.4</v>
      </c>
      <c r="D66" s="31" t="n">
        <v>16.8</v>
      </c>
      <c r="E66" s="31" t="n">
        <v>16.6</v>
      </c>
      <c r="F66" s="31" t="n">
        <v>16.6</v>
      </c>
      <c r="G66" s="31" t="n">
        <v>16.9</v>
      </c>
      <c r="H66" s="31" t="n">
        <v>20.0</v>
      </c>
      <c r="I66" s="32" t="n">
        <v>17.0</v>
      </c>
      <c r="J66" s="45" t="n">
        <v>17.5</v>
      </c>
      <c r="K66" s="6"/>
      <c r="L66" s="6"/>
      <c r="N66" s="46" t="s">
        <v>23</v>
      </c>
      <c r="O66" s="31" t="n">
        <v>15.9</v>
      </c>
      <c r="P66" s="31" t="n">
        <v>15.8</v>
      </c>
      <c r="Q66" s="31" t="n">
        <v>15.3</v>
      </c>
      <c r="R66" s="31" t="n">
        <v>15.0</v>
      </c>
      <c r="S66" s="31" t="n">
        <v>15.3</v>
      </c>
      <c r="T66" s="31" t="n">
        <v>16.0</v>
      </c>
      <c r="U66" s="31" t="n">
        <v>18.6</v>
      </c>
      <c r="V66" s="32" t="n">
        <v>15.5</v>
      </c>
      <c r="W66" s="45" t="n">
        <v>16.1</v>
      </c>
      <c r="X66" s="6"/>
      <c r="Y66" s="6"/>
      <c r="AA66" s="9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customFormat="1" r="67" s="5" spans="1:38" x14ac:dyDescent="0.2">
      <c r="A67" s="46" t="s">
        <v>24</v>
      </c>
      <c r="B67" s="31" t="n">
        <v>16.9</v>
      </c>
      <c r="C67" s="31" t="n">
        <v>16.7</v>
      </c>
      <c r="D67" s="31" t="n">
        <v>16.3</v>
      </c>
      <c r="E67" s="31" t="n">
        <v>16.6</v>
      </c>
      <c r="F67" s="31" t="n">
        <v>16.2</v>
      </c>
      <c r="G67" s="31" t="n">
        <v>15.0</v>
      </c>
      <c r="H67" s="31" t="n">
        <v>20.1</v>
      </c>
      <c r="I67" s="32" t="n">
        <v>16.5</v>
      </c>
      <c r="J67" s="45" t="n">
        <v>16.9</v>
      </c>
      <c r="K67" s="6"/>
      <c r="L67" s="6"/>
      <c r="N67" s="46" t="s">
        <v>24</v>
      </c>
      <c r="O67" s="31" t="n">
        <v>14.9</v>
      </c>
      <c r="P67" s="31" t="n">
        <v>14.6</v>
      </c>
      <c r="Q67" s="31" t="n">
        <v>14.2</v>
      </c>
      <c r="R67" s="31" t="n">
        <v>14.5</v>
      </c>
      <c r="S67" s="31" t="n">
        <v>14.4</v>
      </c>
      <c r="T67" s="31" t="n">
        <v>13.7</v>
      </c>
      <c r="U67" s="31" t="n">
        <v>14.3</v>
      </c>
      <c r="V67" s="32" t="n">
        <v>14.5</v>
      </c>
      <c r="W67" s="45" t="n">
        <v>14.4</v>
      </c>
      <c r="X67" s="6"/>
      <c r="Y67" s="6"/>
      <c r="AA67" s="9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customFormat="1" r="68" s="5" spans="1:38" x14ac:dyDescent="0.2">
      <c r="A68" s="46" t="s">
        <v>25</v>
      </c>
      <c r="B68" s="31" t="n">
        <v>15.0</v>
      </c>
      <c r="C68" s="31" t="n">
        <v>15.2</v>
      </c>
      <c r="D68" s="31" t="n">
        <v>15.3</v>
      </c>
      <c r="E68" s="31" t="n">
        <v>14.8</v>
      </c>
      <c r="F68" s="31" t="n">
        <v>13.7</v>
      </c>
      <c r="G68" s="31" t="n">
        <v>11.2</v>
      </c>
      <c r="H68" s="31" t="n">
        <v>16.6</v>
      </c>
      <c r="I68" s="32" t="n">
        <v>14.8</v>
      </c>
      <c r="J68" s="45" t="n">
        <v>14.6</v>
      </c>
      <c r="K68" s="6"/>
      <c r="L68" s="6"/>
      <c r="N68" s="46" t="s">
        <v>25</v>
      </c>
      <c r="O68" s="31" t="n">
        <v>12.9</v>
      </c>
      <c r="P68" s="31" t="n">
        <v>13.0</v>
      </c>
      <c r="Q68" s="31" t="n">
        <v>13.4</v>
      </c>
      <c r="R68" s="31" t="n">
        <v>12.8</v>
      </c>
      <c r="S68" s="31" t="n">
        <v>11.9</v>
      </c>
      <c r="T68" s="31" t="n">
        <v>10.4</v>
      </c>
      <c r="U68" s="31" t="n">
        <v>12.5</v>
      </c>
      <c r="V68" s="32" t="n">
        <v>12.8</v>
      </c>
      <c r="W68" s="45" t="n">
        <v>12.5</v>
      </c>
      <c r="X68" s="6"/>
      <c r="Y68" s="6"/>
      <c r="AA68" s="9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customFormat="1" r="69" s="5" spans="1:38" x14ac:dyDescent="0.2">
      <c r="A69" s="46" t="s">
        <v>26</v>
      </c>
      <c r="B69" s="31" t="n">
        <v>15.0</v>
      </c>
      <c r="C69" s="31" t="n">
        <v>15.7</v>
      </c>
      <c r="D69" s="31" t="n">
        <v>15.9</v>
      </c>
      <c r="E69" s="31" t="n">
        <v>14.6</v>
      </c>
      <c r="F69" s="31" t="n">
        <v>13.7</v>
      </c>
      <c r="G69" s="31" t="n">
        <v>11.5</v>
      </c>
      <c r="H69" s="31" t="n">
        <v>16.8</v>
      </c>
      <c r="I69" s="32" t="n">
        <v>15.0</v>
      </c>
      <c r="J69" s="45" t="n">
        <v>14.9</v>
      </c>
      <c r="K69" s="6"/>
      <c r="L69" s="6"/>
      <c r="N69" s="46" t="s">
        <v>26</v>
      </c>
      <c r="O69" s="31" t="n">
        <v>13.2</v>
      </c>
      <c r="P69" s="31" t="n">
        <v>13.7</v>
      </c>
      <c r="Q69" s="31" t="n">
        <v>14.0</v>
      </c>
      <c r="R69" s="31" t="n">
        <v>12.8</v>
      </c>
      <c r="S69" s="31" t="n">
        <v>12.1</v>
      </c>
      <c r="T69" s="31" t="n">
        <v>10.0</v>
      </c>
      <c r="U69" s="31" t="n">
        <v>13.0</v>
      </c>
      <c r="V69" s="32" t="n">
        <v>13.2</v>
      </c>
      <c r="W69" s="45" t="n">
        <v>12.8</v>
      </c>
      <c r="X69" s="6"/>
      <c r="Y69" s="6"/>
      <c r="AA69" s="9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customFormat="1" r="70" s="5" spans="1:38" x14ac:dyDescent="0.2">
      <c r="A70" s="46" t="s">
        <v>27</v>
      </c>
      <c r="B70" s="31" t="n">
        <v>16.8</v>
      </c>
      <c r="C70" s="31" t="n">
        <v>17.4</v>
      </c>
      <c r="D70" s="31" t="n">
        <v>17.1</v>
      </c>
      <c r="E70" s="31" t="n">
        <v>16.5</v>
      </c>
      <c r="F70" s="31" t="n">
        <v>15.9</v>
      </c>
      <c r="G70" s="31" t="n">
        <v>12.2</v>
      </c>
      <c r="H70" s="31" t="n">
        <v>15.4</v>
      </c>
      <c r="I70" s="32" t="n">
        <v>16.8</v>
      </c>
      <c r="J70" s="45" t="n">
        <v>16.0</v>
      </c>
      <c r="K70" s="6"/>
      <c r="L70" s="6"/>
      <c r="N70" s="46" t="s">
        <v>27</v>
      </c>
      <c r="O70" s="31" t="n">
        <v>16.0</v>
      </c>
      <c r="P70" s="31" t="n">
        <v>16.6</v>
      </c>
      <c r="Q70" s="31" t="n">
        <v>16.2</v>
      </c>
      <c r="R70" s="31" t="n">
        <v>15.6</v>
      </c>
      <c r="S70" s="31" t="n">
        <v>15.1</v>
      </c>
      <c r="T70" s="31" t="n">
        <v>11.1</v>
      </c>
      <c r="U70" s="31" t="n">
        <v>14.2</v>
      </c>
      <c r="V70" s="32" t="n">
        <v>15.9</v>
      </c>
      <c r="W70" s="45" t="n">
        <v>15.0</v>
      </c>
      <c r="X70" s="6"/>
      <c r="Y70" s="6"/>
      <c r="AA70" s="9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customFormat="1" r="71" s="5" spans="1:38" x14ac:dyDescent="0.2">
      <c r="A71" s="46" t="s">
        <v>28</v>
      </c>
      <c r="B71" s="31" t="n">
        <v>19.3</v>
      </c>
      <c r="C71" s="31" t="n">
        <v>19.6</v>
      </c>
      <c r="D71" s="31" t="n">
        <v>19.0</v>
      </c>
      <c r="E71" s="31" t="n">
        <v>18.0</v>
      </c>
      <c r="F71" s="31" t="n">
        <v>18.0</v>
      </c>
      <c r="G71" s="31" t="n">
        <v>18.0</v>
      </c>
      <c r="H71" s="31" t="n">
        <v>19.6</v>
      </c>
      <c r="I71" s="32" t="n">
        <v>18.9</v>
      </c>
      <c r="J71" s="45" t="n">
        <v>18.9</v>
      </c>
      <c r="K71" s="6"/>
      <c r="L71" s="6"/>
      <c r="N71" s="46" t="s">
        <v>28</v>
      </c>
      <c r="O71" s="31" t="n">
        <v>18.4</v>
      </c>
      <c r="P71" s="31" t="n">
        <v>18.7</v>
      </c>
      <c r="Q71" s="31" t="n">
        <v>17.9</v>
      </c>
      <c r="R71" s="31" t="n">
        <v>17.1</v>
      </c>
      <c r="S71" s="31" t="n">
        <v>17.6</v>
      </c>
      <c r="T71" s="31" t="n">
        <v>16.8</v>
      </c>
      <c r="U71" s="31" t="n">
        <v>18.8</v>
      </c>
      <c r="V71" s="32" t="n">
        <v>18.0</v>
      </c>
      <c r="W71" s="45" t="n">
        <v>18.0</v>
      </c>
      <c r="X71" s="6"/>
      <c r="Y71" s="6"/>
      <c r="AA71" s="9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customFormat="1" r="72" s="5" spans="1:38" x14ac:dyDescent="0.2">
      <c r="A72" s="46" t="s">
        <v>29</v>
      </c>
      <c r="B72" s="31" t="n">
        <v>29.2</v>
      </c>
      <c r="C72" s="31" t="n">
        <v>28.6</v>
      </c>
      <c r="D72" s="31" t="n">
        <v>28.5</v>
      </c>
      <c r="E72" s="31" t="n">
        <v>27.7</v>
      </c>
      <c r="F72" s="31" t="n">
        <v>27.4</v>
      </c>
      <c r="G72" s="31" t="n">
        <v>28.0</v>
      </c>
      <c r="H72" s="31" t="n">
        <v>30.6</v>
      </c>
      <c r="I72" s="32" t="n">
        <v>28.3</v>
      </c>
      <c r="J72" s="45" t="n">
        <v>28.7</v>
      </c>
      <c r="K72" s="51" t="s">
        <v>15</v>
      </c>
      <c r="L72" s="52" t="s">
        <v>877</v>
      </c>
      <c r="N72" s="46" t="s">
        <v>29</v>
      </c>
      <c r="O72" s="31" t="n">
        <v>25.3</v>
      </c>
      <c r="P72" s="31" t="n">
        <v>24.9</v>
      </c>
      <c r="Q72" s="31" t="n">
        <v>24.9</v>
      </c>
      <c r="R72" s="31" t="n">
        <v>24.2</v>
      </c>
      <c r="S72" s="31" t="n">
        <v>26.5</v>
      </c>
      <c r="T72" s="31" t="n">
        <v>25.4</v>
      </c>
      <c r="U72" s="31" t="n">
        <v>29.5</v>
      </c>
      <c r="V72" s="32" t="n">
        <v>25.1</v>
      </c>
      <c r="W72" s="45" t="n">
        <v>25.9</v>
      </c>
      <c r="X72" s="51" t="s">
        <v>15</v>
      </c>
      <c r="Y72" s="52" t="s">
        <v>877</v>
      </c>
      <c r="AA72" s="9"/>
      <c r="AB72" s="6"/>
      <c r="AC72" s="6"/>
      <c r="AD72" s="6"/>
      <c r="AE72" s="6"/>
      <c r="AF72" s="6"/>
      <c r="AG72" s="6"/>
      <c r="AH72" s="6"/>
      <c r="AI72" s="6"/>
      <c r="AJ72" s="6"/>
      <c r="AK72" s="11"/>
      <c r="AL72" s="11"/>
    </row>
    <row customFormat="1" r="73" s="5" spans="1:38" x14ac:dyDescent="0.2">
      <c r="A73" s="46" t="s">
        <v>31</v>
      </c>
      <c r="B73" s="31" t="n">
        <v>34.2</v>
      </c>
      <c r="C73" s="31" t="n">
        <v>32.5</v>
      </c>
      <c r="D73" s="31" t="n">
        <v>31.8</v>
      </c>
      <c r="E73" s="31" t="n">
        <v>32.4</v>
      </c>
      <c r="F73" s="31" t="n">
        <v>30.6</v>
      </c>
      <c r="G73" s="31" t="n">
        <v>30.2</v>
      </c>
      <c r="H73" s="31" t="n">
        <v>33.4</v>
      </c>
      <c r="I73" s="32" t="n">
        <v>32.4</v>
      </c>
      <c r="J73" s="45" t="n">
        <v>32.3</v>
      </c>
      <c r="K73" s="53"/>
      <c r="L73" s="45"/>
      <c r="N73" s="46" t="s">
        <v>31</v>
      </c>
      <c r="O73" s="31" t="n">
        <v>28.4</v>
      </c>
      <c r="P73" s="31" t="n">
        <v>27.1</v>
      </c>
      <c r="Q73" s="31" t="n">
        <v>27.4</v>
      </c>
      <c r="R73" s="31" t="n">
        <v>28.3</v>
      </c>
      <c r="S73" s="31" t="n">
        <v>28.4</v>
      </c>
      <c r="T73" s="31" t="n">
        <v>25.5</v>
      </c>
      <c r="U73" s="31" t="n">
        <v>29.4</v>
      </c>
      <c r="V73" s="32" t="n">
        <v>27.9</v>
      </c>
      <c r="W73" s="45" t="n">
        <v>27.8</v>
      </c>
      <c r="X73" s="53"/>
      <c r="Y73" s="45"/>
      <c r="AA73" s="9"/>
      <c r="AB73" s="6"/>
      <c r="AC73" s="6"/>
      <c r="AD73" s="6"/>
      <c r="AE73" s="6"/>
      <c r="AF73" s="6"/>
      <c r="AG73" s="6"/>
      <c r="AH73" s="6"/>
      <c r="AI73" s="6"/>
      <c r="AJ73" s="6"/>
      <c r="AK73" s="23"/>
      <c r="AL73" s="6"/>
    </row>
    <row customFormat="1" r="74" s="5" spans="1:38" x14ac:dyDescent="0.2">
      <c r="A74" s="46" t="s">
        <v>32</v>
      </c>
      <c r="B74" s="31" t="n">
        <v>36.5</v>
      </c>
      <c r="C74" s="31" t="n">
        <v>35.4</v>
      </c>
      <c r="D74" s="31" t="n">
        <v>34.8</v>
      </c>
      <c r="E74" s="31" t="n">
        <v>36.4</v>
      </c>
      <c r="F74" s="31" t="n">
        <v>32.0</v>
      </c>
      <c r="G74" s="31" t="n">
        <v>32.4</v>
      </c>
      <c r="H74" s="31" t="n">
        <v>35.7</v>
      </c>
      <c r="I74" s="32" t="n">
        <v>35.1</v>
      </c>
      <c r="J74" s="45" t="n">
        <v>34.9</v>
      </c>
      <c r="K74" s="53"/>
      <c r="L74" s="45"/>
      <c r="N74" s="46" t="s">
        <v>32</v>
      </c>
      <c r="O74" s="31" t="n">
        <v>31.4</v>
      </c>
      <c r="P74" s="31" t="n">
        <v>29.1</v>
      </c>
      <c r="Q74" s="31" t="n">
        <v>30.3</v>
      </c>
      <c r="R74" s="31" t="n">
        <v>31.5</v>
      </c>
      <c r="S74" s="31" t="n">
        <v>27.3</v>
      </c>
      <c r="T74" s="31" t="n">
        <v>27.2</v>
      </c>
      <c r="U74" s="31" t="n">
        <v>31.7</v>
      </c>
      <c r="V74" s="32" t="n">
        <v>29.9</v>
      </c>
      <c r="W74" s="45" t="n">
        <v>29.9</v>
      </c>
      <c r="X74" s="53"/>
      <c r="Y74" s="45"/>
      <c r="AA74" s="9"/>
      <c r="AB74" s="6"/>
      <c r="AC74" s="6"/>
      <c r="AD74" s="6"/>
      <c r="AE74" s="6"/>
      <c r="AF74" s="6"/>
      <c r="AG74" s="6"/>
      <c r="AH74" s="6"/>
      <c r="AI74" s="6"/>
      <c r="AJ74" s="6"/>
      <c r="AK74" s="23"/>
      <c r="AL74" s="6"/>
    </row>
    <row customFormat="1" r="75" s="5" spans="1:38" x14ac:dyDescent="0.2">
      <c r="A75" s="46" t="s">
        <v>33</v>
      </c>
      <c r="B75" s="31" t="n">
        <v>33.4</v>
      </c>
      <c r="C75" s="31" t="n">
        <v>32.8</v>
      </c>
      <c r="D75" s="31" t="n">
        <v>32.0</v>
      </c>
      <c r="E75" s="31" t="n">
        <v>31.7</v>
      </c>
      <c r="F75" s="31" t="n">
        <v>29.3</v>
      </c>
      <c r="G75" s="31" t="n">
        <v>31.4</v>
      </c>
      <c r="H75" s="31" t="n">
        <v>36.3</v>
      </c>
      <c r="I75" s="32" t="n">
        <v>32.0</v>
      </c>
      <c r="J75" s="45" t="n">
        <v>32.6</v>
      </c>
      <c r="K75" s="53"/>
      <c r="L75" s="45"/>
      <c r="N75" s="46" t="s">
        <v>33</v>
      </c>
      <c r="O75" s="31" t="n">
        <v>29.1</v>
      </c>
      <c r="P75" s="31" t="n">
        <v>26.6</v>
      </c>
      <c r="Q75" s="31" t="n">
        <v>29.1</v>
      </c>
      <c r="R75" s="31" t="n">
        <v>26.9</v>
      </c>
      <c r="S75" s="31" t="n">
        <v>24.3</v>
      </c>
      <c r="T75" s="31" t="n">
        <v>25.6</v>
      </c>
      <c r="U75" s="31" t="n">
        <v>31.4</v>
      </c>
      <c r="V75" s="32" t="n">
        <v>27.3</v>
      </c>
      <c r="W75" s="45" t="n">
        <v>27.7</v>
      </c>
      <c r="X75" s="53"/>
      <c r="Y75" s="45"/>
      <c r="AA75" s="9"/>
      <c r="AB75" s="6"/>
      <c r="AC75" s="6"/>
      <c r="AD75" s="6"/>
      <c r="AE75" s="6"/>
      <c r="AF75" s="6"/>
      <c r="AG75" s="6"/>
      <c r="AH75" s="6"/>
      <c r="AI75" s="6"/>
      <c r="AJ75" s="6"/>
      <c r="AK75" s="23"/>
      <c r="AL75" s="6"/>
    </row>
    <row customFormat="1" r="76" s="5" spans="1:38" x14ac:dyDescent="0.2">
      <c r="A76" s="46" t="s">
        <v>34</v>
      </c>
      <c r="B76" s="31" t="n">
        <v>29.8</v>
      </c>
      <c r="C76" s="31" t="n">
        <v>28.1</v>
      </c>
      <c r="D76" s="31" t="n">
        <v>27.0</v>
      </c>
      <c r="E76" s="31" t="n">
        <v>28.0</v>
      </c>
      <c r="F76" s="31" t="n">
        <v>29.1</v>
      </c>
      <c r="G76" s="31" t="n">
        <v>28.3</v>
      </c>
      <c r="H76" s="31" t="n">
        <v>26.0</v>
      </c>
      <c r="I76" s="32" t="n">
        <v>28.4</v>
      </c>
      <c r="J76" s="45" t="n">
        <v>28.0</v>
      </c>
      <c r="K76" s="53"/>
      <c r="L76" s="45"/>
      <c r="N76" s="46" t="s">
        <v>34</v>
      </c>
      <c r="O76" s="31" t="n">
        <v>27.5</v>
      </c>
      <c r="P76" s="31" t="n">
        <v>25.0</v>
      </c>
      <c r="Q76" s="31" t="n">
        <v>24.3</v>
      </c>
      <c r="R76" s="31" t="n">
        <v>25.7</v>
      </c>
      <c r="S76" s="31" t="n">
        <v>26.7</v>
      </c>
      <c r="T76" s="31" t="n">
        <v>25.6</v>
      </c>
      <c r="U76" s="31" t="n">
        <v>23.7</v>
      </c>
      <c r="V76" s="32" t="n">
        <v>25.9</v>
      </c>
      <c r="W76" s="45" t="n">
        <v>25.5</v>
      </c>
      <c r="X76" s="53"/>
      <c r="Y76" s="45"/>
      <c r="AA76" s="9"/>
      <c r="AB76" s="6"/>
      <c r="AC76" s="6"/>
      <c r="AD76" s="6"/>
      <c r="AE76" s="6"/>
      <c r="AF76" s="6"/>
      <c r="AG76" s="6"/>
      <c r="AH76" s="6"/>
      <c r="AI76" s="6"/>
      <c r="AJ76" s="6"/>
      <c r="AK76" s="23"/>
      <c r="AL76" s="6"/>
    </row>
    <row customFormat="1" r="77" s="5" spans="1:38" x14ac:dyDescent="0.2">
      <c r="A77" s="46" t="s">
        <v>35</v>
      </c>
      <c r="B77" s="31" t="n">
        <v>18.1</v>
      </c>
      <c r="C77" s="31" t="n">
        <v>18.2</v>
      </c>
      <c r="D77" s="31" t="n">
        <v>17.3</v>
      </c>
      <c r="E77" s="31" t="n">
        <v>19.6</v>
      </c>
      <c r="F77" s="31" t="n">
        <v>19.2</v>
      </c>
      <c r="G77" s="31" t="n">
        <v>18.8</v>
      </c>
      <c r="H77" s="31" t="n">
        <v>15.9</v>
      </c>
      <c r="I77" s="32" t="n">
        <v>18.4</v>
      </c>
      <c r="J77" s="45" t="n">
        <v>18.1</v>
      </c>
      <c r="K77" s="53"/>
      <c r="L77" s="45"/>
      <c r="N77" s="46" t="s">
        <v>35</v>
      </c>
      <c r="O77" s="31" t="n">
        <v>17.2</v>
      </c>
      <c r="P77" s="31" t="n">
        <v>16.4</v>
      </c>
      <c r="Q77" s="31" t="n">
        <v>15.5</v>
      </c>
      <c r="R77" s="31" t="n">
        <v>18.3</v>
      </c>
      <c r="S77" s="31" t="n">
        <v>16.5</v>
      </c>
      <c r="T77" s="31" t="n">
        <v>17.7</v>
      </c>
      <c r="U77" s="31" t="n">
        <v>14.0</v>
      </c>
      <c r="V77" s="32" t="n">
        <v>16.8</v>
      </c>
      <c r="W77" s="45" t="n">
        <v>16.5</v>
      </c>
      <c r="X77" s="53"/>
      <c r="Y77" s="45"/>
      <c r="AA77" s="9"/>
      <c r="AB77" s="6"/>
      <c r="AC77" s="6"/>
      <c r="AD77" s="6"/>
      <c r="AE77" s="6"/>
      <c r="AF77" s="6"/>
      <c r="AG77" s="6"/>
      <c r="AH77" s="6"/>
      <c r="AI77" s="6"/>
      <c r="AJ77" s="6"/>
      <c r="AK77" s="23"/>
      <c r="AL77" s="6"/>
    </row>
    <row customFormat="1" r="78" s="5" spans="1:38" x14ac:dyDescent="0.2">
      <c r="A78" s="46" t="s">
        <v>36</v>
      </c>
      <c r="B78" s="31" t="n">
        <v>9.1</v>
      </c>
      <c r="C78" s="31" t="n">
        <v>9.5</v>
      </c>
      <c r="D78" s="31" t="n">
        <v>8.2</v>
      </c>
      <c r="E78" s="31" t="n">
        <v>10.4</v>
      </c>
      <c r="F78" s="31" t="n">
        <v>11.0</v>
      </c>
      <c r="G78" s="31" t="n">
        <v>10.9</v>
      </c>
      <c r="H78" s="31" t="n">
        <v>9.0</v>
      </c>
      <c r="I78" s="32" t="n">
        <v>9.6</v>
      </c>
      <c r="J78" s="45" t="n">
        <v>9.7</v>
      </c>
      <c r="K78" s="53"/>
      <c r="L78" s="45"/>
      <c r="N78" s="46" t="s">
        <v>36</v>
      </c>
      <c r="O78" s="31" t="n">
        <v>8.6</v>
      </c>
      <c r="P78" s="31" t="n">
        <v>8.7</v>
      </c>
      <c r="Q78" s="31" t="n">
        <v>7.5</v>
      </c>
      <c r="R78" s="31" t="n">
        <v>9.3</v>
      </c>
      <c r="S78" s="31" t="n">
        <v>10.0</v>
      </c>
      <c r="T78" s="31" t="n">
        <v>10.2</v>
      </c>
      <c r="U78" s="31" t="n">
        <v>8.1</v>
      </c>
      <c r="V78" s="32" t="n">
        <v>8.8</v>
      </c>
      <c r="W78" s="45" t="n">
        <v>8.9</v>
      </c>
      <c r="X78" s="53"/>
      <c r="Y78" s="45"/>
      <c r="AA78" s="9"/>
      <c r="AB78" s="6"/>
      <c r="AC78" s="6"/>
      <c r="AD78" s="6"/>
      <c r="AE78" s="6"/>
      <c r="AF78" s="6"/>
      <c r="AG78" s="6"/>
      <c r="AH78" s="6"/>
      <c r="AI78" s="6"/>
      <c r="AJ78" s="6"/>
      <c r="AK78" s="23"/>
      <c r="AL78" s="6"/>
    </row>
    <row customFormat="1" r="79" s="5" spans="1:38" x14ac:dyDescent="0.2">
      <c r="A79" s="46" t="s">
        <v>37</v>
      </c>
      <c r="B79" s="31" t="n">
        <v>4.5</v>
      </c>
      <c r="C79" s="31" t="n">
        <v>4.7</v>
      </c>
      <c r="D79" s="31" t="n">
        <v>4.4</v>
      </c>
      <c r="E79" s="31" t="n">
        <v>5.0</v>
      </c>
      <c r="F79" s="31" t="n">
        <v>5.6</v>
      </c>
      <c r="G79" s="31" t="n">
        <v>6.2</v>
      </c>
      <c r="H79" s="31" t="n">
        <v>5.2</v>
      </c>
      <c r="I79" s="32" t="n">
        <v>4.8</v>
      </c>
      <c r="J79" s="45" t="n">
        <v>5.0</v>
      </c>
      <c r="K79" s="53"/>
      <c r="L79" s="45"/>
      <c r="N79" s="46" t="s">
        <v>37</v>
      </c>
      <c r="O79" s="31" t="n">
        <v>4.2</v>
      </c>
      <c r="P79" s="31" t="n">
        <v>4.1</v>
      </c>
      <c r="Q79" s="31" t="n">
        <v>3.9</v>
      </c>
      <c r="R79" s="31" t="n">
        <v>4.5</v>
      </c>
      <c r="S79" s="31" t="n">
        <v>5.2</v>
      </c>
      <c r="T79" s="31" t="n">
        <v>5.1</v>
      </c>
      <c r="U79" s="31" t="n">
        <v>4.5</v>
      </c>
      <c r="V79" s="32" t="n">
        <v>4.4</v>
      </c>
      <c r="W79" s="45" t="n">
        <v>4.5</v>
      </c>
      <c r="X79" s="53"/>
      <c r="Y79" s="45"/>
      <c r="AA79" s="9"/>
      <c r="AB79" s="6"/>
      <c r="AC79" s="6"/>
      <c r="AD79" s="6"/>
      <c r="AE79" s="6"/>
      <c r="AF79" s="6"/>
      <c r="AG79" s="6"/>
      <c r="AH79" s="6"/>
      <c r="AI79" s="6"/>
      <c r="AJ79" s="6"/>
      <c r="AK79" s="23"/>
      <c r="AL79" s="6"/>
    </row>
    <row customFormat="1" r="80" s="5" spans="1:38" x14ac:dyDescent="0.2">
      <c r="A80" s="46" t="s">
        <v>38</v>
      </c>
      <c r="B80" s="31" t="n">
        <v>2.9</v>
      </c>
      <c r="C80" s="31" t="n">
        <v>3.0</v>
      </c>
      <c r="D80" s="31" t="n">
        <v>3.0</v>
      </c>
      <c r="E80" s="31" t="n">
        <v>3.1</v>
      </c>
      <c r="F80" s="31" t="n">
        <v>3.1</v>
      </c>
      <c r="G80" s="31" t="n">
        <v>3.7</v>
      </c>
      <c r="H80" s="31" t="n">
        <v>3.4</v>
      </c>
      <c r="I80" s="32" t="n">
        <v>3.0</v>
      </c>
      <c r="J80" s="45" t="n">
        <v>3.2</v>
      </c>
      <c r="K80" s="53"/>
      <c r="L80" s="45"/>
      <c r="N80" s="46" t="s">
        <v>38</v>
      </c>
      <c r="O80" s="31" t="n">
        <v>2.7</v>
      </c>
      <c r="P80" s="31" t="n">
        <v>2.6</v>
      </c>
      <c r="Q80" s="31" t="n">
        <v>2.8</v>
      </c>
      <c r="R80" s="31" t="n">
        <v>2.8</v>
      </c>
      <c r="S80" s="31" t="n">
        <v>2.9</v>
      </c>
      <c r="T80" s="31" t="n">
        <v>3.0</v>
      </c>
      <c r="U80" s="31" t="n">
        <v>3.0</v>
      </c>
      <c r="V80" s="32" t="n">
        <v>2.7</v>
      </c>
      <c r="W80" s="45" t="n">
        <v>2.8</v>
      </c>
      <c r="X80" s="53"/>
      <c r="Y80" s="45"/>
      <c r="AA80" s="9"/>
      <c r="AB80" s="6"/>
      <c r="AC80" s="6"/>
      <c r="AD80" s="6"/>
      <c r="AE80" s="6"/>
      <c r="AF80" s="6"/>
      <c r="AG80" s="6"/>
      <c r="AH80" s="6"/>
      <c r="AI80" s="6"/>
      <c r="AJ80" s="6"/>
      <c r="AK80" s="23"/>
      <c r="AL80" s="6"/>
    </row>
    <row customFormat="1" r="81" s="5" spans="1:38" x14ac:dyDescent="0.2">
      <c r="A81" s="46" t="s">
        <v>39</v>
      </c>
      <c r="B81" s="31" t="n">
        <v>2.3</v>
      </c>
      <c r="C81" s="31" t="n">
        <v>2.5</v>
      </c>
      <c r="D81" s="31" t="n">
        <v>2.5</v>
      </c>
      <c r="E81" s="31" t="n">
        <v>2.5</v>
      </c>
      <c r="F81" s="31" t="n">
        <v>2.4</v>
      </c>
      <c r="G81" s="31" t="n">
        <v>2.8</v>
      </c>
      <c r="H81" s="31" t="n">
        <v>2.7</v>
      </c>
      <c r="I81" s="32" t="n">
        <v>2.4</v>
      </c>
      <c r="J81" s="45" t="n">
        <v>2.5</v>
      </c>
      <c r="K81" s="53"/>
      <c r="L81" s="45"/>
      <c r="N81" s="46" t="s">
        <v>39</v>
      </c>
      <c r="O81" s="31" t="n">
        <v>2.2</v>
      </c>
      <c r="P81" s="31" t="n">
        <v>2.2</v>
      </c>
      <c r="Q81" s="31" t="n">
        <v>2.2</v>
      </c>
      <c r="R81" s="31" t="n">
        <v>2.2</v>
      </c>
      <c r="S81" s="31" t="n">
        <v>2.2</v>
      </c>
      <c r="T81" s="31" t="n">
        <v>2.3</v>
      </c>
      <c r="U81" s="31" t="n">
        <v>2.4</v>
      </c>
      <c r="V81" s="32" t="n">
        <v>2.2</v>
      </c>
      <c r="W81" s="45" t="n">
        <v>2.3</v>
      </c>
      <c r="X81" s="53"/>
      <c r="Y81" s="45"/>
      <c r="AA81" s="9"/>
      <c r="AB81" s="6"/>
      <c r="AC81" s="6"/>
      <c r="AD81" s="6"/>
      <c r="AE81" s="6"/>
      <c r="AF81" s="6"/>
      <c r="AG81" s="6"/>
      <c r="AH81" s="6"/>
      <c r="AI81" s="6"/>
      <c r="AJ81" s="6"/>
      <c r="AK81" s="23"/>
      <c r="AL81" s="6"/>
    </row>
    <row customFormat="1" r="82" s="5" spans="1:38" x14ac:dyDescent="0.2">
      <c r="A82" s="47" t="s">
        <v>40</v>
      </c>
      <c r="B82" s="48" t="n">
        <v>3.9</v>
      </c>
      <c r="C82" s="48" t="n">
        <v>4.1</v>
      </c>
      <c r="D82" s="48" t="n">
        <v>4.0</v>
      </c>
      <c r="E82" s="48" t="n">
        <v>3.9</v>
      </c>
      <c r="F82" s="48" t="n">
        <v>3.0</v>
      </c>
      <c r="G82" s="48" t="n">
        <v>2.6</v>
      </c>
      <c r="H82" s="48" t="n">
        <v>4.1</v>
      </c>
      <c r="I82" s="49" t="n">
        <v>3.8</v>
      </c>
      <c r="J82" s="50" t="n">
        <v>3.7</v>
      </c>
      <c r="K82" s="54"/>
      <c r="L82" s="50"/>
      <c r="N82" s="47" t="s">
        <v>40</v>
      </c>
      <c r="O82" s="48" t="n">
        <v>3.9</v>
      </c>
      <c r="P82" s="48" t="n">
        <v>3.9</v>
      </c>
      <c r="Q82" s="48" t="n">
        <v>3.9</v>
      </c>
      <c r="R82" s="48" t="n">
        <v>3.8</v>
      </c>
      <c r="S82" s="48" t="n">
        <v>2.9</v>
      </c>
      <c r="T82" s="48" t="n">
        <v>2.3</v>
      </c>
      <c r="U82" s="48" t="n">
        <v>4.0</v>
      </c>
      <c r="V82" s="49" t="n">
        <v>3.7</v>
      </c>
      <c r="W82" s="50" t="n">
        <v>3.6</v>
      </c>
      <c r="X82" s="54"/>
      <c r="Y82" s="50"/>
      <c r="AA82" s="9"/>
      <c r="AB82" s="6"/>
      <c r="AC82" s="6"/>
      <c r="AD82" s="6"/>
      <c r="AE82" s="6"/>
      <c r="AF82" s="6"/>
      <c r="AG82" s="6"/>
      <c r="AH82" s="6"/>
      <c r="AI82" s="6"/>
      <c r="AJ82" s="6"/>
      <c r="AK82" s="23"/>
      <c r="AL82" s="6"/>
    </row>
    <row customFormat="1" r="83" s="5" spans="1:38" x14ac:dyDescent="0.2"/>
    <row r="84" spans="1:39" x14ac:dyDescent="0.2">
      <c r="A84" s="5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ht="13" r="85" spans="1:39" x14ac:dyDescent="0.2">
      <c r="A85" s="5" t="s">
        <v>889</v>
      </c>
      <c r="B85" s="7"/>
      <c r="C85" s="7"/>
      <c r="D85" s="7"/>
      <c r="E85" s="7"/>
      <c r="F85" s="7"/>
      <c r="G85"/>
    </row>
    <row r="86" spans="1:39" x14ac:dyDescent="0.2">
      <c r="A86" s="82" t="s">
        <v>15</v>
      </c>
      <c r="B86" s="83" t="s">
        <v>878</v>
      </c>
      <c r="C86" s="83" t="s">
        <v>879</v>
      </c>
      <c r="D86" s="83" t="s">
        <v>100</v>
      </c>
      <c r="E86" s="83" t="s">
        <v>880</v>
      </c>
      <c r="F86" s="83" t="s">
        <v>881</v>
      </c>
      <c r="G86" s="83" t="s">
        <v>882</v>
      </c>
      <c r="H86" s="83" t="s">
        <v>883</v>
      </c>
      <c r="I86" s="83" t="s">
        <v>884</v>
      </c>
    </row>
    <row r="87" spans="1:39" x14ac:dyDescent="0.2">
      <c r="A87" s="84"/>
      <c r="B87" s="85"/>
      <c r="C87" s="85"/>
      <c r="D87" s="85"/>
      <c r="E87" s="85"/>
      <c r="F87" s="85"/>
      <c r="G87" s="85"/>
      <c r="H87" s="85"/>
      <c r="I87" s="85"/>
    </row>
    <row r="88" spans="1:39" x14ac:dyDescent="0.2">
      <c r="A88" s="84"/>
      <c r="B88" s="85"/>
      <c r="C88" s="85"/>
      <c r="D88" s="85"/>
      <c r="E88" s="85"/>
      <c r="F88" s="85"/>
      <c r="G88" s="85"/>
      <c r="H88" s="85"/>
      <c r="I88" s="85"/>
    </row>
    <row r="89" spans="1:39" x14ac:dyDescent="0.2">
      <c r="A89" s="84"/>
      <c r="B89" s="85"/>
      <c r="C89" s="85"/>
      <c r="D89" s="85"/>
      <c r="E89" s="85"/>
      <c r="F89" s="85"/>
      <c r="G89" s="85"/>
      <c r="H89" s="85"/>
      <c r="I89" s="85"/>
    </row>
    <row r="90" spans="1:39" x14ac:dyDescent="0.2">
      <c r="A90" s="84"/>
      <c r="B90" s="85"/>
      <c r="C90" s="85"/>
      <c r="D90" s="85"/>
      <c r="E90" s="85"/>
      <c r="F90" s="85"/>
      <c r="G90" s="85"/>
      <c r="H90" s="85"/>
      <c r="I90" s="85"/>
    </row>
    <row r="91" spans="1:39" x14ac:dyDescent="0.2">
      <c r="A91" s="84"/>
      <c r="B91" s="85"/>
      <c r="C91" s="85"/>
      <c r="D91" s="85"/>
      <c r="E91" s="85"/>
      <c r="F91" s="85"/>
      <c r="G91" s="85"/>
      <c r="H91" s="85"/>
      <c r="I91" s="85"/>
    </row>
    <row r="92" spans="1:39" x14ac:dyDescent="0.2">
      <c r="A92" s="84"/>
      <c r="B92" s="85"/>
      <c r="C92" s="85"/>
      <c r="D92" s="85"/>
      <c r="E92" s="85"/>
      <c r="F92" s="85"/>
      <c r="G92" s="85"/>
      <c r="H92" s="85"/>
      <c r="I92" s="85"/>
    </row>
    <row r="93" spans="1:39" x14ac:dyDescent="0.2">
      <c r="A93" s="84"/>
      <c r="B93" s="85"/>
      <c r="C93" s="85"/>
      <c r="D93" s="85"/>
      <c r="E93" s="85"/>
      <c r="F93" s="85"/>
      <c r="G93" s="85"/>
      <c r="H93" s="85"/>
      <c r="I93" s="85"/>
    </row>
    <row r="94" spans="1:7" x14ac:dyDescent="0.2">
      <c r="A94" s="84"/>
      <c r="B94" s="85"/>
      <c r="C94" s="85"/>
      <c r="D94" s="85"/>
      <c r="E94" s="85"/>
      <c r="F94" s="85"/>
      <c r="G94" s="85"/>
      <c r="H94" s="85"/>
      <c r="I94" s="85"/>
    </row>
    <row r="95" spans="1:7" x14ac:dyDescent="0.2">
      <c r="A95" s="84"/>
      <c r="B95" s="85"/>
      <c r="C95" s="85"/>
      <c r="D95" s="85"/>
      <c r="E95" s="85"/>
      <c r="F95" s="85"/>
      <c r="G95" s="85"/>
      <c r="H95" s="85"/>
      <c r="I95" s="85"/>
    </row>
    <row r="96" spans="1:7" x14ac:dyDescent="0.2">
      <c r="A96" s="84"/>
      <c r="B96" s="85"/>
      <c r="C96" s="85"/>
      <c r="D96" s="85"/>
      <c r="E96" s="85"/>
      <c r="F96" s="85"/>
      <c r="G96" s="85"/>
      <c r="H96" s="85"/>
      <c r="I96" s="85"/>
    </row>
    <row r="97" spans="1:7" x14ac:dyDescent="0.2">
      <c r="A97" s="5"/>
      <c r="B97" s="8"/>
      <c r="C97" s="8"/>
      <c r="D97" s="8"/>
      <c r="E97" s="8"/>
      <c r="F97" s="8"/>
    </row>
    <row r="98" spans="1:7" x14ac:dyDescent="0.2">
      <c r="A98" s="5"/>
    </row>
    <row r="99" spans="1:7" x14ac:dyDescent="0.2">
      <c r="A99" s="5"/>
    </row>
    <row r="100" spans="1:7" x14ac:dyDescent="0.2">
      <c r="A100" s="5"/>
    </row>
    <row r="101" spans="1:7" x14ac:dyDescent="0.2">
      <c r="A101" s="5"/>
    </row>
    <row r="102" spans="1:7" x14ac:dyDescent="0.2">
      <c r="A102" s="5"/>
    </row>
    <row r="103" spans="1:7" x14ac:dyDescent="0.2">
      <c r="A103" s="5"/>
    </row>
    <row r="104" spans="1:7" x14ac:dyDescent="0.2">
      <c r="A104" s="5"/>
    </row>
    <row r="105" spans="1:7" x14ac:dyDescent="0.2">
      <c r="A105" s="5"/>
    </row>
    <row r="106" spans="1:7" x14ac:dyDescent="0.2">
      <c r="A106" s="5"/>
    </row>
    <row r="107" spans="1:7" x14ac:dyDescent="0.2">
      <c r="A107" s="5"/>
    </row>
    <row r="108" spans="1:7" x14ac:dyDescent="0.2">
      <c r="A108" s="5"/>
    </row>
    <row r="109" spans="1:7" x14ac:dyDescent="0.2">
      <c r="A109" s="5"/>
    </row>
    <row r="110" spans="1:1" x14ac:dyDescent="0.2">
      <c r="A110" s="5"/>
    </row>
    <row r="111" spans="1:1" x14ac:dyDescent="0.2">
      <c r="A111" s="5"/>
    </row>
    <row r="112" spans="1:1" x14ac:dyDescent="0.2">
      <c r="A112" s="5"/>
    </row>
    <row r="113" spans="1:1" x14ac:dyDescent="0.2">
      <c r="A113" s="5"/>
    </row>
    <row r="114" spans="1:1" x14ac:dyDescent="0.2">
      <c r="A114" s="5"/>
    </row>
    <row r="115" spans="1:1" x14ac:dyDescent="0.2">
      <c r="A115" s="5"/>
    </row>
    <row r="116" spans="1:1" x14ac:dyDescent="0.2">
      <c r="A116" s="5"/>
    </row>
    <row r="117" spans="1:1" x14ac:dyDescent="0.2">
      <c r="A117" s="5"/>
    </row>
    <row r="118" spans="1:1" x14ac:dyDescent="0.2">
      <c r="A118" s="5"/>
    </row>
    <row r="119" spans="1:1" x14ac:dyDescent="0.2">
      <c r="A119" s="5"/>
    </row>
    <row r="120" spans="1:1" x14ac:dyDescent="0.2">
      <c r="A120" s="5"/>
    </row>
    <row r="121" spans="1:1" x14ac:dyDescent="0.2">
      <c r="A121" s="5"/>
    </row>
    <row r="122" spans="1:1" x14ac:dyDescent="0.2">
      <c r="A122" s="5"/>
    </row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  <row r="130" spans="1:1" x14ac:dyDescent="0.2">
      <c r="A130" s="5"/>
    </row>
    <row r="131" spans="1:1" x14ac:dyDescent="0.2">
      <c r="A131" s="5"/>
    </row>
    <row r="132" spans="1:1" x14ac:dyDescent="0.2">
      <c r="A132" s="5"/>
    </row>
    <row r="133" spans="1:1" x14ac:dyDescent="0.2">
      <c r="A133" s="5"/>
    </row>
    <row r="134" spans="1:1" x14ac:dyDescent="0.2">
      <c r="A134" s="5"/>
    </row>
    <row r="135" spans="1:1" x14ac:dyDescent="0.2">
      <c r="A135" s="5"/>
    </row>
    <row r="136" spans="1:1" x14ac:dyDescent="0.2">
      <c r="A136" s="5"/>
    </row>
    <row r="137" spans="1:1" x14ac:dyDescent="0.2">
      <c r="A137" s="5"/>
    </row>
    <row r="138" spans="1:1" x14ac:dyDescent="0.2">
      <c r="A138" s="5"/>
    </row>
    <row r="139" spans="1:1" x14ac:dyDescent="0.2">
      <c r="A139" s="5"/>
    </row>
    <row r="140" spans="1:1" x14ac:dyDescent="0.2">
      <c r="A140" s="5"/>
    </row>
    <row r="141" spans="1:1" x14ac:dyDescent="0.2">
      <c r="A141" s="5"/>
    </row>
    <row r="142" spans="1:11" x14ac:dyDescent="0.2">
      <c r="A142" s="5"/>
    </row>
    <row r="143" spans="1:11" x14ac:dyDescent="0.2">
      <c r="A143" s="5"/>
    </row>
    <row r="144" spans="1:11" x14ac:dyDescent="0.2">
      <c r="A144" s="5"/>
    </row>
    <row r="145" spans="1:11" x14ac:dyDescent="0.2">
      <c r="A145" s="5"/>
    </row>
    <row r="146" spans="1:11" x14ac:dyDescent="0.2">
      <c r="A146" s="5"/>
    </row>
    <row r="147" spans="1:11" x14ac:dyDescent="0.2">
      <c r="A147" s="5"/>
    </row>
    <row r="148" spans="1:11" x14ac:dyDescent="0.2">
      <c r="A148" s="5"/>
    </row>
    <row ht="13" r="149" spans="1:11" x14ac:dyDescent="0.2">
      <c r="H149" s="7"/>
      <c r="I149" s="7"/>
      <c r="J149" s="8"/>
      <c r="K149" s="8"/>
    </row>
    <row r="150" spans="1:11" x14ac:dyDescent="0.2">
      <c r="H150" s="9"/>
      <c r="I150" s="9"/>
      <c r="J150" s="9"/>
      <c r="K150" s="9"/>
    </row>
    <row r="151" spans="1:11" x14ac:dyDescent="0.2">
      <c r="H151" s="10"/>
      <c r="I151" s="10"/>
      <c r="J151" s="10"/>
      <c r="K151" s="10"/>
    </row>
    <row r="152" spans="1:11" x14ac:dyDescent="0.2">
      <c r="H152" s="10"/>
      <c r="I152" s="10"/>
      <c r="J152" s="10"/>
      <c r="K152" s="10"/>
    </row>
    <row r="153" spans="1:11" x14ac:dyDescent="0.2">
      <c r="H153" s="10"/>
      <c r="I153" s="10"/>
      <c r="J153" s="10"/>
      <c r="K153" s="10"/>
    </row>
    <row r="154" spans="1:11" x14ac:dyDescent="0.2">
      <c r="H154" s="10"/>
      <c r="I154" s="10"/>
      <c r="J154" s="10"/>
      <c r="K154" s="10"/>
    </row>
    <row r="155" spans="1:11" x14ac:dyDescent="0.2">
      <c r="H155" s="10"/>
      <c r="I155" s="10"/>
      <c r="J155" s="10"/>
      <c r="K155" s="10"/>
    </row>
    <row r="156" spans="1:11" x14ac:dyDescent="0.2">
      <c r="H156" s="10"/>
      <c r="I156" s="10"/>
      <c r="J156" s="10"/>
      <c r="K156" s="10"/>
    </row>
    <row r="157" spans="1:11" x14ac:dyDescent="0.2">
      <c r="H157" s="10"/>
      <c r="I157" s="10"/>
      <c r="J157" s="10"/>
      <c r="K157" s="10"/>
    </row>
    <row r="158" spans="1:11" x14ac:dyDescent="0.2">
      <c r="H158" s="10"/>
      <c r="I158" s="10"/>
      <c r="J158" s="10"/>
      <c r="K158" s="10"/>
    </row>
    <row r="159" spans="1:11" x14ac:dyDescent="0.2">
      <c r="H159" s="10"/>
      <c r="I159" s="10"/>
      <c r="J159" s="10"/>
      <c r="K159" s="10"/>
    </row>
    <row r="160" spans="1:11" x14ac:dyDescent="0.2">
      <c r="H160" s="10"/>
      <c r="I160" s="10"/>
      <c r="J160" s="10"/>
      <c r="K160" s="10"/>
    </row>
    <row r="161" spans="1:11" x14ac:dyDescent="0.2">
      <c r="A161" s="5"/>
      <c r="H161" s="8"/>
      <c r="I161" s="8"/>
      <c r="J161" s="8"/>
      <c r="K161" s="8"/>
    </row>
    <row r="162" spans="1:11" x14ac:dyDescent="0.2">
      <c r="A162" s="5"/>
    </row>
    <row r="163" spans="1:11" x14ac:dyDescent="0.2">
      <c r="A163" s="5"/>
    </row>
    <row r="164" spans="1:11" x14ac:dyDescent="0.2">
      <c r="A164" s="5"/>
    </row>
    <row r="165" spans="1:11" x14ac:dyDescent="0.2">
      <c r="A165" s="5"/>
    </row>
    <row r="166" spans="1:11" x14ac:dyDescent="0.2">
      <c r="A166" s="5"/>
    </row>
    <row r="167" spans="1:11" x14ac:dyDescent="0.2">
      <c r="A167" s="5"/>
    </row>
    <row r="168" spans="1:11" x14ac:dyDescent="0.2">
      <c r="A168" s="5"/>
    </row>
    <row r="169" spans="1:11" x14ac:dyDescent="0.2">
      <c r="A169" s="5"/>
    </row>
    <row r="170" spans="1:11" x14ac:dyDescent="0.2">
      <c r="A170" s="5"/>
    </row>
    <row r="171" spans="1:11" x14ac:dyDescent="0.2">
      <c r="A171" s="5"/>
    </row>
    <row r="172" spans="1:11" x14ac:dyDescent="0.2">
      <c r="A172" s="5"/>
    </row>
    <row r="173" spans="1:11" x14ac:dyDescent="0.2">
      <c r="A173" s="5"/>
    </row>
    <row r="174" spans="1:1" x14ac:dyDescent="0.2">
      <c r="A174" s="5"/>
    </row>
    <row r="175" spans="1:1" x14ac:dyDescent="0.2">
      <c r="A175" s="5"/>
    </row>
    <row r="176" spans="1:1" x14ac:dyDescent="0.2">
      <c r="A176" s="5"/>
    </row>
    <row r="177" spans="1:1" x14ac:dyDescent="0.2">
      <c r="A177" s="5"/>
    </row>
    <row r="178" spans="1:1" x14ac:dyDescent="0.2">
      <c r="A178" s="5"/>
    </row>
    <row r="179" spans="1:1" x14ac:dyDescent="0.2">
      <c r="A179" s="5"/>
    </row>
    <row r="180" spans="1:1" x14ac:dyDescent="0.2">
      <c r="A180" s="5"/>
    </row>
    <row r="181" spans="1:1" x14ac:dyDescent="0.2">
      <c r="A181" s="5"/>
    </row>
    <row r="182" spans="1:1" x14ac:dyDescent="0.2">
      <c r="A182" s="5"/>
    </row>
    <row r="183" spans="1:1" x14ac:dyDescent="0.2">
      <c r="A183" s="5"/>
    </row>
    <row r="184" spans="1:1" x14ac:dyDescent="0.2">
      <c r="A184" s="5"/>
    </row>
    <row r="185" spans="1:1" x14ac:dyDescent="0.2">
      <c r="A185" s="5"/>
    </row>
    <row r="186" spans="1:1" x14ac:dyDescent="0.2">
      <c r="A186" s="5"/>
    </row>
    <row r="187" spans="1:1" x14ac:dyDescent="0.2">
      <c r="A187" s="5"/>
    </row>
    <row r="188" spans="1:1" x14ac:dyDescent="0.2">
      <c r="A188" s="5"/>
    </row>
    <row r="189" spans="1:1" x14ac:dyDescent="0.2">
      <c r="A189" s="5"/>
    </row>
    <row r="190" spans="1:1" x14ac:dyDescent="0.2">
      <c r="A190" s="5"/>
    </row>
    <row r="191" spans="1:1" x14ac:dyDescent="0.2">
      <c r="A191" s="5"/>
    </row>
    <row r="192" spans="1:1" x14ac:dyDescent="0.2">
      <c r="A192" s="5"/>
    </row>
    <row r="193" spans="1:1" x14ac:dyDescent="0.2">
      <c r="A193" s="5"/>
    </row>
    <row r="194" spans="1:1" x14ac:dyDescent="0.2">
      <c r="A194" s="5"/>
    </row>
    <row r="195" spans="1:1" x14ac:dyDescent="0.2">
      <c r="A195" s="5"/>
    </row>
    <row r="196" spans="1:1" x14ac:dyDescent="0.2">
      <c r="A196" s="5"/>
    </row>
    <row r="197" spans="1:1" x14ac:dyDescent="0.2">
      <c r="A197" s="5"/>
    </row>
    <row r="198" spans="1:1" x14ac:dyDescent="0.2">
      <c r="A198" s="5"/>
    </row>
    <row r="199" spans="1:1" x14ac:dyDescent="0.2">
      <c r="A199" s="5"/>
    </row>
    <row r="200" spans="1:1" x14ac:dyDescent="0.2">
      <c r="A200" s="5"/>
    </row>
  </sheetData>
  <phoneticPr fontId="3"/>
  <conditionalFormatting sqref="H150:H160">
    <cfRule dxfId="503" priority="56" type="expression">
      <formula>$H$150&lt;&gt;""</formula>
    </cfRule>
  </conditionalFormatting>
  <conditionalFormatting sqref="I150:I160">
    <cfRule dxfId="502" priority="55" type="expression">
      <formula>$I$150&lt;&gt;""</formula>
    </cfRule>
  </conditionalFormatting>
  <conditionalFormatting sqref="J150:J160">
    <cfRule dxfId="501" priority="54" type="expression">
      <formula>$J$150&lt;&gt;""</formula>
    </cfRule>
  </conditionalFormatting>
  <conditionalFormatting sqref="K150:K160">
    <cfRule dxfId="500" priority="53" type="expression">
      <formula>$K$150&lt;&gt;""</formula>
    </cfRule>
  </conditionalFormatting>
  <conditionalFormatting sqref="G86:G96">
    <cfRule dxfId="499" priority="52" type="expression">
      <formula>$G$86&lt;&gt;""</formula>
    </cfRule>
  </conditionalFormatting>
  <conditionalFormatting sqref="B7:H30 O7:U30 AB7:AH30">
    <cfRule dxfId="498" operator="greaterThanOrEqual" priority="57" stopIfTrue="1" type="cellIs">
      <formula>$V$1</formula>
    </cfRule>
    <cfRule dxfId="497" operator="greaterThanOrEqual" priority="58" stopIfTrue="1" type="cellIs">
      <formula>$V$2</formula>
    </cfRule>
    <cfRule dxfId="496" operator="greaterThanOrEqual" priority="59" stopIfTrue="1" type="cellIs">
      <formula>$V$3</formula>
    </cfRule>
  </conditionalFormatting>
  <conditionalFormatting sqref="B33:H56 O33:U56 AB33:AH56">
    <cfRule dxfId="495" operator="greaterThanOrEqual" priority="7" stopIfTrue="1" type="cellIs">
      <formula>$V$1</formula>
    </cfRule>
    <cfRule dxfId="494" operator="greaterThanOrEqual" priority="8" stopIfTrue="1" type="cellIs">
      <formula>$V$2</formula>
    </cfRule>
    <cfRule dxfId="493" operator="greaterThanOrEqual" priority="9" stopIfTrue="1" type="cellIs">
      <formula>$V$3</formula>
    </cfRule>
  </conditionalFormatting>
  <conditionalFormatting sqref="B59:H82 O59:U82 AB59:AH82">
    <cfRule dxfId="492" operator="greaterThanOrEqual" priority="4" stopIfTrue="1" type="cellIs">
      <formula>$V$1</formula>
    </cfRule>
    <cfRule dxfId="491" operator="greaterThanOrEqual" priority="5" stopIfTrue="1" type="cellIs">
      <formula>$V$2</formula>
    </cfRule>
    <cfRule dxfId="490" operator="greaterThanOrEqual" priority="6" stopIfTrue="1" type="cellIs">
      <formula>$V$3</formula>
    </cfRule>
  </conditionalFormatting>
  <pageMargins bottom="0.78740157480314965" footer="0.19685039370078741" header="0.35433070866141736" left="0.27559055118110237" right="0.23622047244094491" top="0.78740157480314965"/>
  <pageSetup orientation="landscape" pageOrder="overThenDown" paperSize="9" r:id="rId1"/>
  <headerFooter alignWithMargins="0">
    <oddFooter>&amp;C&amp;P/&amp;N</oddFooter>
  </headerFooter>
  <drawing r:id="rId2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200"/>
  <sheetViews>
    <sheetView workbookViewId="0" zoomScaleNormal="100">
      <pane activePane="bottomLeft" state="frozen" topLeftCell="A6" ySplit="5"/>
      <selection pane="bottomLeft"/>
    </sheetView>
  </sheetViews>
  <sheetFormatPr defaultColWidth="9" defaultRowHeight="11" x14ac:dyDescent="0.2"/>
  <cols>
    <col min="1" max="1" customWidth="true" style="1" width="6.6328125" collapsed="false"/>
    <col min="2" max="8" customWidth="true" style="1" width="5.6328125" collapsed="false"/>
    <col min="9" max="10" customWidth="true" style="1" width="6.08984375" collapsed="false"/>
    <col min="11" max="11" customWidth="true" style="1" width="6.36328125" collapsed="false"/>
    <col min="12" max="12" customWidth="true" style="1" width="6.08984375" collapsed="false"/>
    <col min="13" max="13" customWidth="true" style="1" width="1.7265625" collapsed="false"/>
    <col min="14" max="14" customWidth="true" style="1" width="6.6328125" collapsed="false"/>
    <col min="15" max="21" customWidth="true" style="1" width="5.6328125" collapsed="false"/>
    <col min="22" max="23" customWidth="true" style="1" width="6.08984375" collapsed="false"/>
    <col min="24" max="24" customWidth="true" style="1" width="6.36328125" collapsed="false"/>
    <col min="25" max="25" customWidth="true" style="1" width="6.08984375" collapsed="false"/>
    <col min="26" max="26" customWidth="true" style="1" width="1.90625" collapsed="false"/>
    <col min="27" max="27" customWidth="true" style="1" width="6.6328125" collapsed="false"/>
    <col min="28" max="34" customWidth="true" style="1" width="5.6328125" collapsed="false"/>
    <col min="35" max="36" customWidth="true" style="1" width="6.08984375" collapsed="false"/>
    <col min="37" max="37" customWidth="true" style="1" width="6.36328125" collapsed="false"/>
    <col min="38" max="38" customWidth="true" style="1" width="6.08984375" collapsed="false"/>
    <col min="39" max="47" customWidth="true" style="1" width="5.6328125" collapsed="false"/>
    <col min="48" max="16384" style="1" width="9.0" collapsed="false"/>
  </cols>
  <sheetData>
    <row customHeight="1" ht="11.25" r="1" spans="1:41" x14ac:dyDescent="0.2">
      <c r="A1" s="134"/>
      <c r="B1" s="135"/>
      <c r="C1" s="136"/>
      <c r="D1" s="136"/>
      <c r="E1" s="136"/>
      <c r="F1" s="136"/>
      <c r="G1" s="136"/>
      <c r="H1" s="136"/>
      <c r="I1" s="137" t="s">
        <v>0</v>
      </c>
      <c r="J1" s="135"/>
      <c r="K1" s="138" t="s">
        <v>869</v>
      </c>
      <c r="L1" s="138"/>
      <c r="M1" s="139"/>
      <c r="N1" s="139"/>
      <c r="O1" s="139"/>
      <c r="P1" s="139"/>
      <c r="Q1" s="139"/>
      <c r="R1" s="139"/>
      <c r="S1" s="139"/>
      <c r="T1" s="139"/>
      <c r="U1" s="140"/>
      <c r="V1" s="141" t="n">
        <v>10.0</v>
      </c>
      <c r="W1" s="142" t="s">
        <v>1</v>
      </c>
      <c r="X1" s="139"/>
      <c r="Y1" s="139"/>
      <c r="Z1" s="136"/>
      <c r="AA1" s="143"/>
      <c r="AB1" s="143"/>
      <c r="AC1" s="143"/>
      <c r="AD1" s="143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</row>
    <row customHeight="1" ht="11.25" r="2" spans="1:41" x14ac:dyDescent="0.2">
      <c r="A2" s="134"/>
      <c r="B2" s="135"/>
      <c r="C2" s="136"/>
      <c r="D2" s="136"/>
      <c r="E2" s="136"/>
      <c r="F2" s="136"/>
      <c r="G2" s="136"/>
      <c r="H2" s="136"/>
      <c r="I2" s="137" t="s">
        <v>2</v>
      </c>
      <c r="J2" s="135"/>
      <c r="K2" s="138" t="s">
        <v>870</v>
      </c>
      <c r="L2" s="138"/>
      <c r="M2" s="139"/>
      <c r="N2" s="139"/>
      <c r="O2" s="139"/>
      <c r="P2" s="139"/>
      <c r="Q2" s="139"/>
      <c r="R2" s="139"/>
      <c r="S2" s="139"/>
      <c r="T2" s="139"/>
      <c r="U2" s="144"/>
      <c r="V2" s="141" t="n">
        <v>5.0</v>
      </c>
      <c r="W2" s="142" t="s">
        <v>1</v>
      </c>
      <c r="X2" s="139"/>
      <c r="Y2" s="139"/>
      <c r="Z2" s="136"/>
      <c r="AA2" s="143"/>
      <c r="AB2" s="143"/>
      <c r="AC2" s="143"/>
      <c r="AD2" s="143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</row>
    <row customHeight="1" ht="11.25" r="3" spans="1:41" x14ac:dyDescent="0.2">
      <c r="A3" s="134"/>
      <c r="B3" s="135"/>
      <c r="C3" s="136"/>
      <c r="D3" s="136"/>
      <c r="E3" s="136"/>
      <c r="F3" s="145" t="s">
        <v>885</v>
      </c>
      <c r="G3" s="136"/>
      <c r="H3" s="136"/>
      <c r="I3" s="137" t="s">
        <v>3</v>
      </c>
      <c r="J3" s="135"/>
      <c r="K3" s="138" t="s">
        <v>871</v>
      </c>
      <c r="L3" s="138"/>
      <c r="M3" s="139"/>
      <c r="N3" s="139"/>
      <c r="O3" s="139"/>
      <c r="P3" s="139"/>
      <c r="Q3" s="139"/>
      <c r="R3" s="139"/>
      <c r="S3" s="139"/>
      <c r="T3" s="139"/>
      <c r="U3" s="146"/>
      <c r="V3" s="141" t="n">
        <v>3.0</v>
      </c>
      <c r="W3" s="142" t="s">
        <v>1</v>
      </c>
      <c r="X3" s="139"/>
      <c r="Y3" s="139"/>
      <c r="Z3" s="136"/>
      <c r="AA3" s="143"/>
      <c r="AB3" s="143"/>
      <c r="AC3" s="143"/>
      <c r="AD3" s="143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</row>
    <row customHeight="1" ht="11.25" r="4" spans="1:41" x14ac:dyDescent="0.2">
      <c r="A4" s="134"/>
      <c r="B4" s="135"/>
      <c r="C4" s="136"/>
      <c r="D4" s="136"/>
      <c r="E4" s="136"/>
      <c r="F4" s="136"/>
      <c r="G4" s="136"/>
      <c r="H4" s="136"/>
      <c r="I4" s="137" t="s">
        <v>50</v>
      </c>
      <c r="J4" s="135"/>
      <c r="K4" s="138" t="s">
        <v>872</v>
      </c>
      <c r="L4" s="138"/>
      <c r="M4" s="139"/>
      <c r="N4" s="139"/>
      <c r="O4" s="139"/>
      <c r="P4" s="139"/>
      <c r="Q4" s="139"/>
      <c r="R4" s="139"/>
      <c r="S4" s="139"/>
      <c r="T4" s="139"/>
      <c r="U4" s="136"/>
      <c r="V4" s="156" t="s">
        <v>886</v>
      </c>
      <c r="W4" s="136"/>
      <c r="X4" s="139"/>
      <c r="Y4" s="139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</row>
    <row customHeight="1" ht="11.25" r="5" spans="1:41" x14ac:dyDescent="0.2">
      <c r="A5" s="136" t="s">
        <v>874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57" t="s">
        <v>876</v>
      </c>
      <c r="AG5" s="136"/>
      <c r="AH5" s="136"/>
      <c r="AI5" s="136"/>
      <c r="AJ5" s="136"/>
      <c r="AK5" s="136"/>
      <c r="AL5" s="136"/>
      <c r="AM5" s="136"/>
      <c r="AN5" s="136"/>
      <c r="AO5" s="136"/>
    </row>
    <row customFormat="1" r="6" s="5" spans="1:41" x14ac:dyDescent="0.2">
      <c r="A6" s="55" t="s">
        <v>878</v>
      </c>
      <c r="B6" s="56" t="s">
        <v>4</v>
      </c>
      <c r="C6" s="56" t="s">
        <v>5</v>
      </c>
      <c r="D6" s="56" t="s">
        <v>6</v>
      </c>
      <c r="E6" s="56" t="s">
        <v>7</v>
      </c>
      <c r="F6" s="56" t="s">
        <v>8</v>
      </c>
      <c r="G6" s="56" t="s">
        <v>9</v>
      </c>
      <c r="H6" s="56" t="s">
        <v>10</v>
      </c>
      <c r="I6" s="57" t="s">
        <v>11</v>
      </c>
      <c r="J6" s="58" t="s">
        <v>12</v>
      </c>
      <c r="K6" s="2"/>
      <c r="L6" s="2"/>
      <c r="N6" s="55" t="s">
        <v>879</v>
      </c>
      <c r="O6" s="56" t="s">
        <v>4</v>
      </c>
      <c r="P6" s="56" t="s">
        <v>5</v>
      </c>
      <c r="Q6" s="56" t="s">
        <v>6</v>
      </c>
      <c r="R6" s="56" t="s">
        <v>7</v>
      </c>
      <c r="S6" s="56" t="s">
        <v>8</v>
      </c>
      <c r="T6" s="56" t="s">
        <v>9</v>
      </c>
      <c r="U6" s="56" t="s">
        <v>10</v>
      </c>
      <c r="V6" s="57" t="s">
        <v>11</v>
      </c>
      <c r="W6" s="58" t="s">
        <v>12</v>
      </c>
      <c r="X6" s="2"/>
      <c r="Y6" s="2"/>
      <c r="AA6" s="55" t="s">
        <v>100</v>
      </c>
      <c r="AB6" s="56" t="s">
        <v>4</v>
      </c>
      <c r="AC6" s="56" t="s">
        <v>5</v>
      </c>
      <c r="AD6" s="56" t="s">
        <v>6</v>
      </c>
      <c r="AE6" s="56" t="s">
        <v>7</v>
      </c>
      <c r="AF6" s="56" t="s">
        <v>8</v>
      </c>
      <c r="AG6" s="56" t="s">
        <v>9</v>
      </c>
      <c r="AH6" s="56" t="s">
        <v>10</v>
      </c>
      <c r="AI6" s="57" t="s">
        <v>11</v>
      </c>
      <c r="AJ6" s="58" t="s">
        <v>12</v>
      </c>
      <c r="AK6" s="2"/>
      <c r="AL6" s="2"/>
    </row>
    <row customFormat="1" r="7" s="5" spans="1:41" x14ac:dyDescent="0.2">
      <c r="A7" s="44" t="s">
        <v>16</v>
      </c>
      <c r="B7" s="31" t="n">
        <v>0.6</v>
      </c>
      <c r="C7" s="31" t="n">
        <v>0.7</v>
      </c>
      <c r="D7" s="31" t="n">
        <v>0.8</v>
      </c>
      <c r="E7" s="31" t="n">
        <v>0.8</v>
      </c>
      <c r="F7" s="31" t="n">
        <v>0.7</v>
      </c>
      <c r="G7" s="31" t="n">
        <v>0.5</v>
      </c>
      <c r="H7" s="31" t="n">
        <v>0.3</v>
      </c>
      <c r="I7" s="32" t="n">
        <v>0.7</v>
      </c>
      <c r="J7" s="45" t="n">
        <v>0.6</v>
      </c>
      <c r="K7" s="6"/>
      <c r="L7" s="6"/>
      <c r="N7" s="44" t="s">
        <v>16</v>
      </c>
      <c r="O7" s="31" t="n">
        <v>0.5</v>
      </c>
      <c r="P7" s="31" t="n">
        <v>0.5</v>
      </c>
      <c r="Q7" s="31" t="n">
        <v>0.4</v>
      </c>
      <c r="R7" s="31" t="n">
        <v>0.5</v>
      </c>
      <c r="S7" s="31" t="n">
        <v>0.4</v>
      </c>
      <c r="T7" s="31" t="n">
        <v>0.4</v>
      </c>
      <c r="U7" s="31" t="n">
        <v>0.3</v>
      </c>
      <c r="V7" s="32" t="n">
        <v>0.5</v>
      </c>
      <c r="W7" s="45" t="n">
        <v>0.4</v>
      </c>
      <c r="X7" s="6"/>
      <c r="Y7" s="6"/>
      <c r="AA7" s="44" t="s">
        <v>16</v>
      </c>
      <c r="AB7" s="31" t="n">
        <v>0.5</v>
      </c>
      <c r="AC7" s="31" t="n">
        <v>0.6</v>
      </c>
      <c r="AD7" s="31" t="n">
        <v>0.6</v>
      </c>
      <c r="AE7" s="31" t="n">
        <v>0.7</v>
      </c>
      <c r="AF7" s="31" t="n">
        <v>0.7</v>
      </c>
      <c r="AG7" s="31" t="n">
        <v>0.4</v>
      </c>
      <c r="AH7" s="31" t="n">
        <v>0.4</v>
      </c>
      <c r="AI7" s="32" t="n">
        <v>0.6</v>
      </c>
      <c r="AJ7" s="45" t="n">
        <v>0.6</v>
      </c>
      <c r="AK7" s="6"/>
      <c r="AL7" s="6"/>
    </row>
    <row customFormat="1" r="8" s="5" spans="1:41" x14ac:dyDescent="0.2">
      <c r="A8" s="46" t="s">
        <v>17</v>
      </c>
      <c r="B8" s="31" t="n">
        <v>2.7</v>
      </c>
      <c r="C8" s="31" t="n">
        <v>2.7</v>
      </c>
      <c r="D8" s="31" t="n">
        <v>2.6</v>
      </c>
      <c r="E8" s="31" t="n">
        <v>2.8</v>
      </c>
      <c r="F8" s="31" t="n">
        <v>2.4</v>
      </c>
      <c r="G8" s="31" t="n">
        <v>1.4</v>
      </c>
      <c r="H8" s="31" t="n">
        <v>0.9</v>
      </c>
      <c r="I8" s="32" t="n">
        <v>2.6</v>
      </c>
      <c r="J8" s="45" t="n">
        <v>2.2</v>
      </c>
      <c r="K8" s="6"/>
      <c r="L8" s="6"/>
      <c r="N8" s="46" t="s">
        <v>17</v>
      </c>
      <c r="O8" s="31" t="n">
        <v>1.9</v>
      </c>
      <c r="P8" s="31" t="n">
        <v>1.9</v>
      </c>
      <c r="Q8" s="31" t="n">
        <v>1.8</v>
      </c>
      <c r="R8" s="31" t="n">
        <v>1.9</v>
      </c>
      <c r="S8" s="31" t="n">
        <v>1.6</v>
      </c>
      <c r="T8" s="31" t="n">
        <v>1.0</v>
      </c>
      <c r="U8" s="31" t="n">
        <v>1.2</v>
      </c>
      <c r="V8" s="32" t="n">
        <v>1.8</v>
      </c>
      <c r="W8" s="45" t="n">
        <v>1.6</v>
      </c>
      <c r="X8" s="6"/>
      <c r="Y8" s="6"/>
      <c r="AA8" s="46" t="s">
        <v>17</v>
      </c>
      <c r="AB8" s="31" t="n">
        <v>1.5</v>
      </c>
      <c r="AC8" s="31" t="n">
        <v>1.6</v>
      </c>
      <c r="AD8" s="31" t="n">
        <v>1.8</v>
      </c>
      <c r="AE8" s="31" t="n">
        <v>1.8</v>
      </c>
      <c r="AF8" s="31" t="n">
        <v>1.4</v>
      </c>
      <c r="AG8" s="31" t="n">
        <v>1.1</v>
      </c>
      <c r="AH8" s="31" t="n">
        <v>1.0</v>
      </c>
      <c r="AI8" s="32" t="n">
        <v>1.6</v>
      </c>
      <c r="AJ8" s="45" t="n">
        <v>1.5</v>
      </c>
      <c r="AK8" s="6"/>
      <c r="AL8" s="6"/>
    </row>
    <row customFormat="1" r="9" s="5" spans="1:41" x14ac:dyDescent="0.2">
      <c r="A9" s="46" t="s">
        <v>18</v>
      </c>
      <c r="B9" s="31" t="n">
        <v>4.1</v>
      </c>
      <c r="C9" s="31" t="n">
        <v>4.3</v>
      </c>
      <c r="D9" s="31" t="n">
        <v>4.1</v>
      </c>
      <c r="E9" s="31" t="n">
        <v>4.2</v>
      </c>
      <c r="F9" s="31" t="n">
        <v>3.6</v>
      </c>
      <c r="G9" s="31" t="n">
        <v>2.4</v>
      </c>
      <c r="H9" s="31" t="n">
        <v>2.1</v>
      </c>
      <c r="I9" s="32" t="n">
        <v>4.1</v>
      </c>
      <c r="J9" s="45" t="n">
        <v>3.5</v>
      </c>
      <c r="K9" s="6"/>
      <c r="L9" s="6"/>
      <c r="N9" s="46" t="s">
        <v>18</v>
      </c>
      <c r="O9" s="31" t="n">
        <v>2.4</v>
      </c>
      <c r="P9" s="31" t="n">
        <v>2.5</v>
      </c>
      <c r="Q9" s="31" t="n">
        <v>2.6</v>
      </c>
      <c r="R9" s="31" t="n">
        <v>2.5</v>
      </c>
      <c r="S9" s="31" t="n">
        <v>2.3</v>
      </c>
      <c r="T9" s="31" t="n">
        <v>1.7</v>
      </c>
      <c r="U9" s="31" t="n">
        <v>2.0</v>
      </c>
      <c r="V9" s="32" t="n">
        <v>2.5</v>
      </c>
      <c r="W9" s="45" t="n">
        <v>2.3</v>
      </c>
      <c r="X9" s="6"/>
      <c r="Y9" s="6"/>
      <c r="AA9" s="46" t="s">
        <v>18</v>
      </c>
      <c r="AB9" s="31" t="n">
        <v>2.2</v>
      </c>
      <c r="AC9" s="31" t="n">
        <v>2.2</v>
      </c>
      <c r="AD9" s="31" t="n">
        <v>2.2</v>
      </c>
      <c r="AE9" s="31" t="n">
        <v>2.6</v>
      </c>
      <c r="AF9" s="31" t="n">
        <v>1.8</v>
      </c>
      <c r="AG9" s="31" t="n">
        <v>1.8</v>
      </c>
      <c r="AH9" s="31" t="n">
        <v>1.7</v>
      </c>
      <c r="AI9" s="32" t="n">
        <v>2.2</v>
      </c>
      <c r="AJ9" s="45" t="n">
        <v>2.1</v>
      </c>
      <c r="AK9" s="6"/>
      <c r="AL9" s="6"/>
    </row>
    <row customFormat="1" r="10" s="5" spans="1:41" x14ac:dyDescent="0.2">
      <c r="A10" s="46" t="s">
        <v>19</v>
      </c>
      <c r="B10" s="31" t="n">
        <v>3.0</v>
      </c>
      <c r="C10" s="31" t="n">
        <v>3.0</v>
      </c>
      <c r="D10" s="31" t="n">
        <v>3.3</v>
      </c>
      <c r="E10" s="31" t="n">
        <v>3.1</v>
      </c>
      <c r="F10" s="31" t="n">
        <v>2.9</v>
      </c>
      <c r="G10" s="31" t="n">
        <v>2.6</v>
      </c>
      <c r="H10" s="31" t="n">
        <v>4.4</v>
      </c>
      <c r="I10" s="32" t="n">
        <v>3.1</v>
      </c>
      <c r="J10" s="45" t="n">
        <v>3.2</v>
      </c>
      <c r="K10" s="6"/>
      <c r="L10" s="6"/>
      <c r="N10" s="46" t="s">
        <v>19</v>
      </c>
      <c r="O10" s="31" t="n">
        <v>1.7</v>
      </c>
      <c r="P10" s="31" t="n">
        <v>1.6</v>
      </c>
      <c r="Q10" s="31" t="n">
        <v>1.7</v>
      </c>
      <c r="R10" s="31" t="n">
        <v>1.6</v>
      </c>
      <c r="S10" s="31" t="n">
        <v>1.7</v>
      </c>
      <c r="T10" s="31" t="n">
        <v>1.4</v>
      </c>
      <c r="U10" s="31" t="n">
        <v>2.1</v>
      </c>
      <c r="V10" s="32" t="n">
        <v>1.7</v>
      </c>
      <c r="W10" s="45" t="n">
        <v>1.7</v>
      </c>
      <c r="X10" s="6"/>
      <c r="Y10" s="6"/>
      <c r="AA10" s="46" t="s">
        <v>19</v>
      </c>
      <c r="AB10" s="31" t="n">
        <v>1.9</v>
      </c>
      <c r="AC10" s="31" t="n">
        <v>1.9</v>
      </c>
      <c r="AD10" s="31" t="n">
        <v>1.8</v>
      </c>
      <c r="AE10" s="31" t="n">
        <v>2.3</v>
      </c>
      <c r="AF10" s="31" t="n">
        <v>1.9</v>
      </c>
      <c r="AG10" s="31" t="n">
        <v>2.2</v>
      </c>
      <c r="AH10" s="31" t="n">
        <v>1.4</v>
      </c>
      <c r="AI10" s="32" t="n">
        <v>2.0</v>
      </c>
      <c r="AJ10" s="45" t="n">
        <v>1.9</v>
      </c>
      <c r="AK10" s="6"/>
      <c r="AL10" s="6"/>
    </row>
    <row customFormat="1" r="11" s="5" spans="1:41" x14ac:dyDescent="0.2">
      <c r="A11" s="46" t="s">
        <v>20</v>
      </c>
      <c r="B11" s="31" t="n">
        <v>1.9</v>
      </c>
      <c r="C11" s="31" t="n">
        <v>2.0</v>
      </c>
      <c r="D11" s="31" t="n">
        <v>2.1</v>
      </c>
      <c r="E11" s="31" t="n">
        <v>2.1</v>
      </c>
      <c r="F11" s="31" t="n">
        <v>2.1</v>
      </c>
      <c r="G11" s="31" t="n">
        <v>2.1</v>
      </c>
      <c r="H11" s="31" t="n">
        <v>4.5</v>
      </c>
      <c r="I11" s="32" t="n">
        <v>2.0</v>
      </c>
      <c r="J11" s="45" t="n">
        <v>2.5</v>
      </c>
      <c r="K11" s="6"/>
      <c r="L11" s="6"/>
      <c r="N11" s="46" t="s">
        <v>20</v>
      </c>
      <c r="O11" s="31" t="n">
        <v>0.9</v>
      </c>
      <c r="P11" s="31" t="n">
        <v>1.0</v>
      </c>
      <c r="Q11" s="31" t="n">
        <v>1.0</v>
      </c>
      <c r="R11" s="31" t="n">
        <v>1.0</v>
      </c>
      <c r="S11" s="31" t="n">
        <v>1.3</v>
      </c>
      <c r="T11" s="31" t="n">
        <v>1.1</v>
      </c>
      <c r="U11" s="31" t="n">
        <v>2.0</v>
      </c>
      <c r="V11" s="32" t="n">
        <v>1.0</v>
      </c>
      <c r="W11" s="45" t="n">
        <v>1.2</v>
      </c>
      <c r="X11" s="6"/>
      <c r="Y11" s="6"/>
      <c r="AA11" s="46" t="s">
        <v>20</v>
      </c>
      <c r="AB11" s="31" t="n">
        <v>1.6</v>
      </c>
      <c r="AC11" s="31" t="n">
        <v>1.6</v>
      </c>
      <c r="AD11" s="31" t="n">
        <v>1.5</v>
      </c>
      <c r="AE11" s="31" t="n">
        <v>1.8</v>
      </c>
      <c r="AF11" s="31" t="n">
        <v>1.6</v>
      </c>
      <c r="AG11" s="31" t="n">
        <v>2.3</v>
      </c>
      <c r="AH11" s="31" t="n">
        <v>1.8</v>
      </c>
      <c r="AI11" s="32" t="n">
        <v>1.6</v>
      </c>
      <c r="AJ11" s="45" t="n">
        <v>1.7</v>
      </c>
      <c r="AK11" s="6"/>
      <c r="AL11" s="6"/>
    </row>
    <row customFormat="1" r="12" s="5" spans="1:41" x14ac:dyDescent="0.2">
      <c r="A12" s="46" t="s">
        <v>21</v>
      </c>
      <c r="B12" s="31" t="n">
        <v>1.6</v>
      </c>
      <c r="C12" s="31" t="n">
        <v>1.7</v>
      </c>
      <c r="D12" s="31" t="n">
        <v>1.5</v>
      </c>
      <c r="E12" s="31" t="n">
        <v>1.5</v>
      </c>
      <c r="F12" s="31" t="n">
        <v>1.5</v>
      </c>
      <c r="G12" s="31" t="n">
        <v>1.7</v>
      </c>
      <c r="H12" s="31" t="n">
        <v>3.3</v>
      </c>
      <c r="I12" s="32" t="n">
        <v>1.5</v>
      </c>
      <c r="J12" s="45" t="n">
        <v>1.8</v>
      </c>
      <c r="K12" s="6"/>
      <c r="L12" s="6"/>
      <c r="N12" s="46" t="s">
        <v>21</v>
      </c>
      <c r="O12" s="31" t="n">
        <v>0.5</v>
      </c>
      <c r="P12" s="31" t="n">
        <v>0.5</v>
      </c>
      <c r="Q12" s="31" t="n">
        <v>0.6</v>
      </c>
      <c r="R12" s="31" t="n">
        <v>0.4</v>
      </c>
      <c r="S12" s="31" t="n">
        <v>0.8</v>
      </c>
      <c r="T12" s="31" t="n">
        <v>0.4</v>
      </c>
      <c r="U12" s="31" t="n">
        <v>1.0</v>
      </c>
      <c r="V12" s="32" t="n">
        <v>0.6</v>
      </c>
      <c r="W12" s="45" t="n">
        <v>0.6</v>
      </c>
      <c r="X12" s="6"/>
      <c r="Y12" s="6"/>
      <c r="AA12" s="46" t="s">
        <v>21</v>
      </c>
      <c r="AB12" s="31" t="n">
        <v>0.9</v>
      </c>
      <c r="AC12" s="31" t="n">
        <v>0.8</v>
      </c>
      <c r="AD12" s="31" t="n">
        <v>0.8</v>
      </c>
      <c r="AE12" s="31" t="n">
        <v>0.8</v>
      </c>
      <c r="AF12" s="31" t="n">
        <v>0.7</v>
      </c>
      <c r="AG12" s="31" t="n">
        <v>2.4</v>
      </c>
      <c r="AH12" s="31" t="n">
        <v>1.6</v>
      </c>
      <c r="AI12" s="32" t="n">
        <v>0.8</v>
      </c>
      <c r="AJ12" s="45" t="n">
        <v>1.1</v>
      </c>
      <c r="AK12" s="6"/>
      <c r="AL12" s="6"/>
    </row>
    <row customFormat="1" r="13" s="5" spans="1:41" x14ac:dyDescent="0.2">
      <c r="A13" s="46" t="s">
        <v>22</v>
      </c>
      <c r="B13" s="31" t="n">
        <v>1.1</v>
      </c>
      <c r="C13" s="31" t="n">
        <v>1.3</v>
      </c>
      <c r="D13" s="31" t="n">
        <v>1.3</v>
      </c>
      <c r="E13" s="31" t="n">
        <v>1.2</v>
      </c>
      <c r="F13" s="31" t="n">
        <v>1.0</v>
      </c>
      <c r="G13" s="31" t="n">
        <v>1.4</v>
      </c>
      <c r="H13" s="31" t="n">
        <v>2.8</v>
      </c>
      <c r="I13" s="32" t="n">
        <v>1.2</v>
      </c>
      <c r="J13" s="45" t="n">
        <v>1.5</v>
      </c>
      <c r="K13" s="6"/>
      <c r="L13" s="6"/>
      <c r="N13" s="46" t="s">
        <v>22</v>
      </c>
      <c r="O13" s="31" t="n">
        <v>0.5</v>
      </c>
      <c r="P13" s="31" t="n">
        <v>0.5</v>
      </c>
      <c r="Q13" s="31" t="n">
        <v>0.5</v>
      </c>
      <c r="R13" s="31" t="n">
        <v>0.4</v>
      </c>
      <c r="S13" s="31" t="n">
        <v>0.9</v>
      </c>
      <c r="T13" s="31" t="n">
        <v>0.4</v>
      </c>
      <c r="U13" s="31" t="n">
        <v>0.6</v>
      </c>
      <c r="V13" s="32" t="n">
        <v>0.5</v>
      </c>
      <c r="W13" s="45" t="n">
        <v>0.5</v>
      </c>
      <c r="X13" s="6"/>
      <c r="Y13" s="6"/>
      <c r="AA13" s="46" t="s">
        <v>22</v>
      </c>
      <c r="AB13" s="31" t="n">
        <v>0.6</v>
      </c>
      <c r="AC13" s="31" t="n">
        <v>0.6</v>
      </c>
      <c r="AD13" s="31" t="n">
        <v>0.6</v>
      </c>
      <c r="AE13" s="31" t="n">
        <v>0.7</v>
      </c>
      <c r="AF13" s="31" t="n">
        <v>0.8</v>
      </c>
      <c r="AG13" s="31" t="n">
        <v>2.1</v>
      </c>
      <c r="AH13" s="31" t="n">
        <v>1.3</v>
      </c>
      <c r="AI13" s="32" t="n">
        <v>0.7</v>
      </c>
      <c r="AJ13" s="45" t="n">
        <v>1.0</v>
      </c>
      <c r="AK13" s="6"/>
      <c r="AL13" s="6"/>
    </row>
    <row customFormat="1" r="14" s="5" spans="1:41" x14ac:dyDescent="0.2">
      <c r="A14" s="46" t="s">
        <v>23</v>
      </c>
      <c r="B14" s="31" t="n">
        <v>1.5</v>
      </c>
      <c r="C14" s="31" t="n">
        <v>1.7</v>
      </c>
      <c r="D14" s="31" t="n">
        <v>1.9</v>
      </c>
      <c r="E14" s="31" t="n">
        <v>1.7</v>
      </c>
      <c r="F14" s="31" t="n">
        <v>1.7</v>
      </c>
      <c r="G14" s="31" t="n">
        <v>1.0</v>
      </c>
      <c r="H14" s="31" t="n">
        <v>3.2</v>
      </c>
      <c r="I14" s="32" t="n">
        <v>1.7</v>
      </c>
      <c r="J14" s="45" t="n">
        <v>1.8</v>
      </c>
      <c r="K14" s="6"/>
      <c r="L14" s="6"/>
      <c r="N14" s="46" t="s">
        <v>23</v>
      </c>
      <c r="O14" s="31" t="n">
        <v>0.5</v>
      </c>
      <c r="P14" s="31" t="n">
        <v>0.6</v>
      </c>
      <c r="Q14" s="31" t="n">
        <v>0.5</v>
      </c>
      <c r="R14" s="31" t="n">
        <v>0.5</v>
      </c>
      <c r="S14" s="31" t="n">
        <v>0.7</v>
      </c>
      <c r="T14" s="31" t="n">
        <v>0.5</v>
      </c>
      <c r="U14" s="31" t="n">
        <v>0.8</v>
      </c>
      <c r="V14" s="32" t="n">
        <v>0.6</v>
      </c>
      <c r="W14" s="45" t="n">
        <v>0.6</v>
      </c>
      <c r="X14" s="6"/>
      <c r="Y14" s="6"/>
      <c r="AA14" s="46" t="s">
        <v>23</v>
      </c>
      <c r="AB14" s="31" t="n">
        <v>0.7</v>
      </c>
      <c r="AC14" s="31" t="n">
        <v>0.5</v>
      </c>
      <c r="AD14" s="31" t="n">
        <v>0.6</v>
      </c>
      <c r="AE14" s="31" t="n">
        <v>0.7</v>
      </c>
      <c r="AF14" s="31" t="n">
        <v>0.7</v>
      </c>
      <c r="AG14" s="31" t="n">
        <v>2.2</v>
      </c>
      <c r="AH14" s="31" t="n">
        <v>1.1</v>
      </c>
      <c r="AI14" s="32" t="n">
        <v>0.6</v>
      </c>
      <c r="AJ14" s="45" t="n">
        <v>0.9</v>
      </c>
      <c r="AK14" s="6"/>
      <c r="AL14" s="6"/>
    </row>
    <row customFormat="1" r="15" s="5" spans="1:41" x14ac:dyDescent="0.2">
      <c r="A15" s="46" t="s">
        <v>24</v>
      </c>
      <c r="B15" s="31" t="n">
        <v>1.4</v>
      </c>
      <c r="C15" s="31" t="n">
        <v>1.7</v>
      </c>
      <c r="D15" s="31" t="n">
        <v>1.7</v>
      </c>
      <c r="E15" s="31" t="n">
        <v>1.6</v>
      </c>
      <c r="F15" s="31" t="n">
        <v>1.8</v>
      </c>
      <c r="G15" s="31" t="n">
        <v>1.0</v>
      </c>
      <c r="H15" s="31" t="n">
        <v>2.8</v>
      </c>
      <c r="I15" s="32" t="n">
        <v>1.6</v>
      </c>
      <c r="J15" s="45" t="n">
        <v>1.7</v>
      </c>
      <c r="K15" s="6"/>
      <c r="L15" s="6"/>
      <c r="N15" s="46" t="s">
        <v>24</v>
      </c>
      <c r="O15" s="31" t="n">
        <v>0.4</v>
      </c>
      <c r="P15" s="31" t="n">
        <v>0.5</v>
      </c>
      <c r="Q15" s="31" t="n">
        <v>0.2</v>
      </c>
      <c r="R15" s="31" t="n">
        <v>0.4</v>
      </c>
      <c r="S15" s="31" t="n">
        <v>0.4</v>
      </c>
      <c r="T15" s="31" t="n">
        <v>0.5</v>
      </c>
      <c r="U15" s="31" t="n">
        <v>0.3</v>
      </c>
      <c r="V15" s="32" t="n">
        <v>0.4</v>
      </c>
      <c r="W15" s="45" t="n">
        <v>0.4</v>
      </c>
      <c r="X15" s="6"/>
      <c r="Y15" s="6"/>
      <c r="AA15" s="46" t="s">
        <v>24</v>
      </c>
      <c r="AB15" s="31" t="n">
        <v>0.7</v>
      </c>
      <c r="AC15" s="31" t="n">
        <v>0.5</v>
      </c>
      <c r="AD15" s="31" t="n">
        <v>0.5</v>
      </c>
      <c r="AE15" s="31" t="n">
        <v>0.8</v>
      </c>
      <c r="AF15" s="31" t="n">
        <v>0.7</v>
      </c>
      <c r="AG15" s="31" t="n">
        <v>2.1</v>
      </c>
      <c r="AH15" s="31" t="n">
        <v>0.8</v>
      </c>
      <c r="AI15" s="32" t="n">
        <v>0.6</v>
      </c>
      <c r="AJ15" s="45" t="n">
        <v>0.9</v>
      </c>
      <c r="AK15" s="6"/>
      <c r="AL15" s="6"/>
    </row>
    <row customFormat="1" r="16" s="5" spans="1:41" x14ac:dyDescent="0.2">
      <c r="A16" s="46" t="s">
        <v>25</v>
      </c>
      <c r="B16" s="31" t="n">
        <v>1.1</v>
      </c>
      <c r="C16" s="31" t="n">
        <v>1.4</v>
      </c>
      <c r="D16" s="31" t="n">
        <v>1.3</v>
      </c>
      <c r="E16" s="31" t="n">
        <v>1.2</v>
      </c>
      <c r="F16" s="31" t="n">
        <v>1.4</v>
      </c>
      <c r="G16" s="31" t="n">
        <v>1.2</v>
      </c>
      <c r="H16" s="31" t="n">
        <v>1.5</v>
      </c>
      <c r="I16" s="32" t="n">
        <v>1.3</v>
      </c>
      <c r="J16" s="45" t="n">
        <v>1.3</v>
      </c>
      <c r="K16" s="6"/>
      <c r="L16" s="6"/>
      <c r="N16" s="46" t="s">
        <v>25</v>
      </c>
      <c r="O16" s="31" t="n">
        <v>0.4</v>
      </c>
      <c r="P16" s="31" t="n">
        <v>0.5</v>
      </c>
      <c r="Q16" s="31" t="n">
        <v>0.4</v>
      </c>
      <c r="R16" s="31" t="n">
        <v>0.4</v>
      </c>
      <c r="S16" s="31" t="n">
        <v>0.4</v>
      </c>
      <c r="T16" s="31" t="n">
        <v>0.3</v>
      </c>
      <c r="U16" s="31" t="n">
        <v>0.6</v>
      </c>
      <c r="V16" s="32" t="n">
        <v>0.4</v>
      </c>
      <c r="W16" s="45" t="n">
        <v>0.4</v>
      </c>
      <c r="X16" s="6"/>
      <c r="Y16" s="6"/>
      <c r="AA16" s="46" t="s">
        <v>25</v>
      </c>
      <c r="AB16" s="31" t="n">
        <v>0.8</v>
      </c>
      <c r="AC16" s="31" t="n">
        <v>0.6</v>
      </c>
      <c r="AD16" s="31" t="n">
        <v>0.6</v>
      </c>
      <c r="AE16" s="31" t="n">
        <v>0.7</v>
      </c>
      <c r="AF16" s="31" t="n">
        <v>0.8</v>
      </c>
      <c r="AG16" s="31" t="n">
        <v>1.5</v>
      </c>
      <c r="AH16" s="31" t="n">
        <v>0.8</v>
      </c>
      <c r="AI16" s="32" t="n">
        <v>0.7</v>
      </c>
      <c r="AJ16" s="45" t="n">
        <v>0.8</v>
      </c>
      <c r="AK16" s="6"/>
      <c r="AL16" s="6"/>
    </row>
    <row customFormat="1" r="17" s="5" spans="1:38" x14ac:dyDescent="0.2">
      <c r="A17" s="46" t="s">
        <v>26</v>
      </c>
      <c r="B17" s="31" t="n">
        <v>0.9</v>
      </c>
      <c r="C17" s="31" t="n">
        <v>1.0</v>
      </c>
      <c r="D17" s="31" t="n">
        <v>1.1</v>
      </c>
      <c r="E17" s="31" t="n">
        <v>1.2</v>
      </c>
      <c r="F17" s="31" t="n">
        <v>1.1</v>
      </c>
      <c r="G17" s="31" t="n">
        <v>0.7</v>
      </c>
      <c r="H17" s="31" t="n">
        <v>1.2</v>
      </c>
      <c r="I17" s="32" t="n">
        <v>1.0</v>
      </c>
      <c r="J17" s="45" t="n">
        <v>1.0</v>
      </c>
      <c r="K17" s="6"/>
      <c r="L17" s="6"/>
      <c r="N17" s="46" t="s">
        <v>26</v>
      </c>
      <c r="O17" s="31" t="n">
        <v>0.5</v>
      </c>
      <c r="P17" s="31" t="n">
        <v>0.7</v>
      </c>
      <c r="Q17" s="31" t="n">
        <v>0.4</v>
      </c>
      <c r="R17" s="31" t="n">
        <v>0.5</v>
      </c>
      <c r="S17" s="31" t="n">
        <v>0.5</v>
      </c>
      <c r="T17" s="31" t="n">
        <v>0.4</v>
      </c>
      <c r="U17" s="31" t="n">
        <v>0.8</v>
      </c>
      <c r="V17" s="32" t="n">
        <v>0.5</v>
      </c>
      <c r="W17" s="45" t="n">
        <v>0.6</v>
      </c>
      <c r="X17" s="6"/>
      <c r="Y17" s="6"/>
      <c r="AA17" s="46" t="s">
        <v>26</v>
      </c>
      <c r="AB17" s="31" t="n">
        <v>0.8</v>
      </c>
      <c r="AC17" s="31" t="n">
        <v>0.6</v>
      </c>
      <c r="AD17" s="31" t="n">
        <v>0.6</v>
      </c>
      <c r="AE17" s="31" t="n">
        <v>0.7</v>
      </c>
      <c r="AF17" s="31" t="n">
        <v>0.6</v>
      </c>
      <c r="AG17" s="31" t="n">
        <v>1.0</v>
      </c>
      <c r="AH17" s="31" t="n">
        <v>0.8</v>
      </c>
      <c r="AI17" s="32" t="n">
        <v>0.7</v>
      </c>
      <c r="AJ17" s="45" t="n">
        <v>0.7</v>
      </c>
      <c r="AK17" s="6"/>
      <c r="AL17" s="6"/>
    </row>
    <row customFormat="1" r="18" s="5" spans="1:38" x14ac:dyDescent="0.2">
      <c r="A18" s="46" t="s">
        <v>27</v>
      </c>
      <c r="B18" s="31" t="n">
        <v>0.9</v>
      </c>
      <c r="C18" s="31" t="n">
        <v>1.2</v>
      </c>
      <c r="D18" s="31" t="n">
        <v>1.3</v>
      </c>
      <c r="E18" s="31" t="n">
        <v>1.1</v>
      </c>
      <c r="F18" s="31" t="n">
        <v>1.0</v>
      </c>
      <c r="G18" s="31" t="n">
        <v>0.9</v>
      </c>
      <c r="H18" s="31" t="n">
        <v>1.6</v>
      </c>
      <c r="I18" s="32" t="n">
        <v>1.1</v>
      </c>
      <c r="J18" s="45" t="n">
        <v>1.1</v>
      </c>
      <c r="K18" s="6"/>
      <c r="L18" s="6"/>
      <c r="N18" s="46" t="s">
        <v>27</v>
      </c>
      <c r="O18" s="31" t="n">
        <v>0.7</v>
      </c>
      <c r="P18" s="31" t="n">
        <v>0.9</v>
      </c>
      <c r="Q18" s="31" t="n">
        <v>0.6</v>
      </c>
      <c r="R18" s="31" t="n">
        <v>0.7</v>
      </c>
      <c r="S18" s="31" t="n">
        <v>0.7</v>
      </c>
      <c r="T18" s="31" t="n">
        <v>1.0</v>
      </c>
      <c r="U18" s="31" t="n">
        <v>1.0</v>
      </c>
      <c r="V18" s="32" t="n">
        <v>0.7</v>
      </c>
      <c r="W18" s="45" t="n">
        <v>0.8</v>
      </c>
      <c r="X18" s="6"/>
      <c r="Y18" s="6"/>
      <c r="AA18" s="46" t="s">
        <v>27</v>
      </c>
      <c r="AB18" s="31" t="n">
        <v>0.7</v>
      </c>
      <c r="AC18" s="31" t="n">
        <v>0.5</v>
      </c>
      <c r="AD18" s="31" t="n">
        <v>0.5</v>
      </c>
      <c r="AE18" s="31" t="n">
        <v>0.7</v>
      </c>
      <c r="AF18" s="31" t="n">
        <v>0.7</v>
      </c>
      <c r="AG18" s="31" t="n">
        <v>1.1</v>
      </c>
      <c r="AH18" s="31" t="n">
        <v>0.7</v>
      </c>
      <c r="AI18" s="32" t="n">
        <v>0.6</v>
      </c>
      <c r="AJ18" s="45" t="n">
        <v>0.7</v>
      </c>
      <c r="AK18" s="6"/>
      <c r="AL18" s="6"/>
    </row>
    <row customFormat="1" r="19" s="5" spans="1:38" x14ac:dyDescent="0.2">
      <c r="A19" s="46" t="s">
        <v>28</v>
      </c>
      <c r="B19" s="31" t="n">
        <v>1.5</v>
      </c>
      <c r="C19" s="31" t="n">
        <v>1.6</v>
      </c>
      <c r="D19" s="31" t="n">
        <v>1.8</v>
      </c>
      <c r="E19" s="31" t="n">
        <v>1.7</v>
      </c>
      <c r="F19" s="31" t="n">
        <v>1.6</v>
      </c>
      <c r="G19" s="31" t="n">
        <v>1.1</v>
      </c>
      <c r="H19" s="31" t="n">
        <v>2.2</v>
      </c>
      <c r="I19" s="32" t="n">
        <v>1.6</v>
      </c>
      <c r="J19" s="45" t="n">
        <v>1.7</v>
      </c>
      <c r="K19" s="6"/>
      <c r="L19" s="6"/>
      <c r="N19" s="46" t="s">
        <v>28</v>
      </c>
      <c r="O19" s="31" t="n">
        <v>0.6</v>
      </c>
      <c r="P19" s="31" t="n">
        <v>0.7</v>
      </c>
      <c r="Q19" s="31" t="n">
        <v>0.6</v>
      </c>
      <c r="R19" s="31" t="n">
        <v>0.6</v>
      </c>
      <c r="S19" s="31" t="n">
        <v>0.8</v>
      </c>
      <c r="T19" s="31" t="n">
        <v>2.1</v>
      </c>
      <c r="U19" s="31" t="n">
        <v>1.5</v>
      </c>
      <c r="V19" s="32" t="n">
        <v>0.7</v>
      </c>
      <c r="W19" s="45" t="n">
        <v>1.0</v>
      </c>
      <c r="X19" s="6"/>
      <c r="Y19" s="6"/>
      <c r="AA19" s="46" t="s">
        <v>28</v>
      </c>
      <c r="AB19" s="31" t="n">
        <v>0.9</v>
      </c>
      <c r="AC19" s="31" t="n">
        <v>0.8</v>
      </c>
      <c r="AD19" s="31" t="n">
        <v>0.7</v>
      </c>
      <c r="AE19" s="31" t="n">
        <v>0.8</v>
      </c>
      <c r="AF19" s="31" t="n">
        <v>0.8</v>
      </c>
      <c r="AG19" s="31" t="n">
        <v>1.2</v>
      </c>
      <c r="AH19" s="31" t="n">
        <v>0.9</v>
      </c>
      <c r="AI19" s="32" t="n">
        <v>0.8</v>
      </c>
      <c r="AJ19" s="45" t="n">
        <v>0.8</v>
      </c>
      <c r="AK19" s="6"/>
      <c r="AL19" s="6"/>
    </row>
    <row customFormat="1" r="20" s="5" spans="1:38" x14ac:dyDescent="0.2">
      <c r="A20" s="46" t="s">
        <v>29</v>
      </c>
      <c r="B20" s="31" t="n">
        <v>3.2</v>
      </c>
      <c r="C20" s="31" t="n">
        <v>3.2</v>
      </c>
      <c r="D20" s="31" t="n">
        <v>2.9</v>
      </c>
      <c r="E20" s="31" t="n">
        <v>3.0</v>
      </c>
      <c r="F20" s="31" t="n">
        <v>3.0</v>
      </c>
      <c r="G20" s="31" t="n">
        <v>3.4</v>
      </c>
      <c r="H20" s="31" t="n">
        <v>2.9</v>
      </c>
      <c r="I20" s="32" t="n">
        <v>3.1</v>
      </c>
      <c r="J20" s="45" t="n">
        <v>3.1</v>
      </c>
      <c r="K20" s="51" t="s">
        <v>15</v>
      </c>
      <c r="L20" s="52" t="s">
        <v>877</v>
      </c>
      <c r="N20" s="46" t="s">
        <v>29</v>
      </c>
      <c r="O20" s="31" t="n">
        <v>1.1</v>
      </c>
      <c r="P20" s="31" t="n">
        <v>1.4</v>
      </c>
      <c r="Q20" s="31" t="n">
        <v>1.0</v>
      </c>
      <c r="R20" s="31" t="n">
        <v>1.1</v>
      </c>
      <c r="S20" s="31" t="n">
        <v>1.5</v>
      </c>
      <c r="T20" s="31" t="n">
        <v>2.3</v>
      </c>
      <c r="U20" s="31" t="n">
        <v>2.9</v>
      </c>
      <c r="V20" s="32" t="n">
        <v>1.2</v>
      </c>
      <c r="W20" s="45" t="n">
        <v>1.6</v>
      </c>
      <c r="X20" s="51" t="s">
        <v>15</v>
      </c>
      <c r="Y20" s="52" t="s">
        <v>877</v>
      </c>
      <c r="AA20" s="46" t="s">
        <v>29</v>
      </c>
      <c r="AB20" s="31" t="n">
        <v>1.5</v>
      </c>
      <c r="AC20" s="31" t="n">
        <v>1.2</v>
      </c>
      <c r="AD20" s="31" t="n">
        <v>1.4</v>
      </c>
      <c r="AE20" s="31" t="n">
        <v>1.3</v>
      </c>
      <c r="AF20" s="31" t="n">
        <v>1.5</v>
      </c>
      <c r="AG20" s="31" t="n">
        <v>1.3</v>
      </c>
      <c r="AH20" s="31" t="n">
        <v>1.5</v>
      </c>
      <c r="AI20" s="32" t="n">
        <v>1.4</v>
      </c>
      <c r="AJ20" s="45" t="n">
        <v>1.4</v>
      </c>
      <c r="AK20" s="51" t="s">
        <v>15</v>
      </c>
      <c r="AL20" s="52" t="s">
        <v>877</v>
      </c>
    </row>
    <row customFormat="1" r="21" s="5" spans="1:38" x14ac:dyDescent="0.2">
      <c r="A21" s="46" t="s">
        <v>31</v>
      </c>
      <c r="B21" s="31" t="n">
        <v>4.1</v>
      </c>
      <c r="C21" s="31" t="n">
        <v>4.2</v>
      </c>
      <c r="D21" s="31" t="n">
        <v>3.6</v>
      </c>
      <c r="E21" s="31" t="n">
        <v>4.1</v>
      </c>
      <c r="F21" s="31" t="n">
        <v>2.6</v>
      </c>
      <c r="G21" s="31" t="n">
        <v>3.7</v>
      </c>
      <c r="H21" s="31" t="n">
        <v>5.7</v>
      </c>
      <c r="I21" s="32" t="n">
        <v>3.8</v>
      </c>
      <c r="J21" s="45" t="n">
        <v>4.1</v>
      </c>
      <c r="K21" s="53"/>
      <c r="L21" s="45"/>
      <c r="N21" s="46" t="s">
        <v>31</v>
      </c>
      <c r="O21" s="31" t="n">
        <v>2.1</v>
      </c>
      <c r="P21" s="31" t="n">
        <v>2.0</v>
      </c>
      <c r="Q21" s="31" t="n">
        <v>1.7</v>
      </c>
      <c r="R21" s="31" t="n">
        <v>2.0</v>
      </c>
      <c r="S21" s="31" t="n">
        <v>2.8</v>
      </c>
      <c r="T21" s="31" t="n">
        <v>2.4</v>
      </c>
      <c r="U21" s="31" t="n">
        <v>2.1</v>
      </c>
      <c r="V21" s="32" t="n">
        <v>2.1</v>
      </c>
      <c r="W21" s="45" t="n">
        <v>2.1</v>
      </c>
      <c r="X21" s="53"/>
      <c r="Y21" s="45"/>
      <c r="AA21" s="46" t="s">
        <v>31</v>
      </c>
      <c r="AB21" s="31" t="n">
        <v>3.7</v>
      </c>
      <c r="AC21" s="31" t="n">
        <v>2.8</v>
      </c>
      <c r="AD21" s="31" t="n">
        <v>3.0</v>
      </c>
      <c r="AE21" s="31" t="n">
        <v>2.0</v>
      </c>
      <c r="AF21" s="31" t="n">
        <v>3.0</v>
      </c>
      <c r="AG21" s="31" t="n">
        <v>2.0</v>
      </c>
      <c r="AH21" s="31" t="n">
        <v>4.1</v>
      </c>
      <c r="AI21" s="32" t="n">
        <v>2.9</v>
      </c>
      <c r="AJ21" s="45" t="n">
        <v>3.0</v>
      </c>
      <c r="AK21" s="53"/>
      <c r="AL21" s="45"/>
    </row>
    <row customFormat="1" r="22" s="5" spans="1:38" x14ac:dyDescent="0.2">
      <c r="A22" s="46" t="s">
        <v>32</v>
      </c>
      <c r="B22" s="31" t="n">
        <v>4.4</v>
      </c>
      <c r="C22" s="31" t="n">
        <v>3.5</v>
      </c>
      <c r="D22" s="31" t="n">
        <v>3.9</v>
      </c>
      <c r="E22" s="31" t="n">
        <v>4.8</v>
      </c>
      <c r="F22" s="31" t="n">
        <v>2.8</v>
      </c>
      <c r="G22" s="31" t="n">
        <v>3.1</v>
      </c>
      <c r="H22" s="31" t="n">
        <v>7.1</v>
      </c>
      <c r="I22" s="32" t="n">
        <v>3.9</v>
      </c>
      <c r="J22" s="45" t="n">
        <v>4.3</v>
      </c>
      <c r="K22" s="53"/>
      <c r="L22" s="45"/>
      <c r="N22" s="46" t="s">
        <v>32</v>
      </c>
      <c r="O22" s="31" t="n">
        <v>2.8</v>
      </c>
      <c r="P22" s="31" t="n">
        <v>2.4</v>
      </c>
      <c r="Q22" s="31" t="n">
        <v>2.1</v>
      </c>
      <c r="R22" s="31" t="n">
        <v>2.5</v>
      </c>
      <c r="S22" s="31" t="n">
        <v>3.0</v>
      </c>
      <c r="T22" s="31" t="n">
        <v>2.7</v>
      </c>
      <c r="U22" s="31" t="n">
        <v>1.9</v>
      </c>
      <c r="V22" s="32" t="n">
        <v>2.6</v>
      </c>
      <c r="W22" s="45" t="n">
        <v>2.5</v>
      </c>
      <c r="X22" s="53"/>
      <c r="Y22" s="45"/>
      <c r="AA22" s="46" t="s">
        <v>32</v>
      </c>
      <c r="AB22" s="31" t="n">
        <v>4.2</v>
      </c>
      <c r="AC22" s="31" t="n">
        <v>4.4</v>
      </c>
      <c r="AD22" s="31" t="n">
        <v>3.4</v>
      </c>
      <c r="AE22" s="31" t="n">
        <v>2.4</v>
      </c>
      <c r="AF22" s="31" t="n">
        <v>3.6</v>
      </c>
      <c r="AG22" s="31" t="n">
        <v>2.6</v>
      </c>
      <c r="AH22" s="31" t="n">
        <v>4.2</v>
      </c>
      <c r="AI22" s="32" t="n">
        <v>3.7</v>
      </c>
      <c r="AJ22" s="45" t="n">
        <v>3.6</v>
      </c>
      <c r="AK22" s="53"/>
      <c r="AL22" s="45"/>
    </row>
    <row customFormat="1" r="23" s="5" spans="1:38" x14ac:dyDescent="0.2">
      <c r="A23" s="46" t="s">
        <v>33</v>
      </c>
      <c r="B23" s="31" t="n">
        <v>3.8</v>
      </c>
      <c r="C23" s="31" t="n">
        <v>3.1</v>
      </c>
      <c r="D23" s="31" t="n">
        <v>3.7</v>
      </c>
      <c r="E23" s="31" t="n">
        <v>3.9</v>
      </c>
      <c r="F23" s="31" t="n">
        <v>4.4</v>
      </c>
      <c r="G23" s="31" t="n">
        <v>2.2</v>
      </c>
      <c r="H23" s="31" t="n">
        <v>5.3</v>
      </c>
      <c r="I23" s="32" t="n">
        <v>3.8</v>
      </c>
      <c r="J23" s="45" t="n">
        <v>3.8</v>
      </c>
      <c r="K23" s="53"/>
      <c r="L23" s="45"/>
      <c r="N23" s="46" t="s">
        <v>33</v>
      </c>
      <c r="O23" s="31" t="n">
        <v>2.6</v>
      </c>
      <c r="P23" s="31" t="n">
        <v>2.4</v>
      </c>
      <c r="Q23" s="31" t="n">
        <v>2.0</v>
      </c>
      <c r="R23" s="31" t="n">
        <v>2.2</v>
      </c>
      <c r="S23" s="31" t="n">
        <v>3.0</v>
      </c>
      <c r="T23" s="31" t="n">
        <v>2.9</v>
      </c>
      <c r="U23" s="31" t="n">
        <v>2.0</v>
      </c>
      <c r="V23" s="32" t="n">
        <v>2.4</v>
      </c>
      <c r="W23" s="45" t="n">
        <v>2.4</v>
      </c>
      <c r="X23" s="53"/>
      <c r="Y23" s="45"/>
      <c r="AA23" s="46" t="s">
        <v>33</v>
      </c>
      <c r="AB23" s="31" t="n">
        <v>3.5</v>
      </c>
      <c r="AC23" s="31" t="n">
        <v>5.0</v>
      </c>
      <c r="AD23" s="31" t="n">
        <v>3.1</v>
      </c>
      <c r="AE23" s="31" t="n">
        <v>2.4</v>
      </c>
      <c r="AF23" s="31" t="n">
        <v>2.6</v>
      </c>
      <c r="AG23" s="31" t="n">
        <v>2.6</v>
      </c>
      <c r="AH23" s="31" t="n">
        <v>5.0</v>
      </c>
      <c r="AI23" s="32" t="n">
        <v>3.4</v>
      </c>
      <c r="AJ23" s="45" t="n">
        <v>3.6</v>
      </c>
      <c r="AK23" s="53"/>
      <c r="AL23" s="45"/>
    </row>
    <row customFormat="1" r="24" s="5" spans="1:38" x14ac:dyDescent="0.2">
      <c r="A24" s="46" t="s">
        <v>34</v>
      </c>
      <c r="B24" s="31" t="n">
        <v>4.4</v>
      </c>
      <c r="C24" s="31" t="n">
        <v>2.4</v>
      </c>
      <c r="D24" s="31" t="n">
        <v>1.0</v>
      </c>
      <c r="E24" s="31" t="n">
        <v>2.8</v>
      </c>
      <c r="F24" s="31" t="n">
        <v>4.8</v>
      </c>
      <c r="G24" s="31" t="n">
        <v>1.8</v>
      </c>
      <c r="H24" s="31" t="n">
        <v>2.6</v>
      </c>
      <c r="I24" s="32" t="n">
        <v>3.1</v>
      </c>
      <c r="J24" s="45" t="n">
        <v>2.9</v>
      </c>
      <c r="K24" s="53"/>
      <c r="L24" s="45"/>
      <c r="N24" s="46" t="s">
        <v>34</v>
      </c>
      <c r="O24" s="31" t="n">
        <v>2.9</v>
      </c>
      <c r="P24" s="31" t="n">
        <v>3.8</v>
      </c>
      <c r="Q24" s="31" t="n">
        <v>4.0</v>
      </c>
      <c r="R24" s="31" t="n">
        <v>3.3</v>
      </c>
      <c r="S24" s="31" t="n">
        <v>3.2</v>
      </c>
      <c r="T24" s="31" t="n">
        <v>2.0</v>
      </c>
      <c r="U24" s="31" t="n">
        <v>1.2</v>
      </c>
      <c r="V24" s="32" t="n">
        <v>3.4</v>
      </c>
      <c r="W24" s="45" t="n">
        <v>2.9</v>
      </c>
      <c r="X24" s="53"/>
      <c r="Y24" s="45"/>
      <c r="AA24" s="46" t="s">
        <v>34</v>
      </c>
      <c r="AB24" s="31" t="n">
        <v>2.6</v>
      </c>
      <c r="AC24" s="31" t="n">
        <v>2.4</v>
      </c>
      <c r="AD24" s="31" t="n">
        <v>3.6</v>
      </c>
      <c r="AE24" s="31" t="n">
        <v>2.1</v>
      </c>
      <c r="AF24" s="31" t="n">
        <v>1.5</v>
      </c>
      <c r="AG24" s="31" t="n">
        <v>2.6</v>
      </c>
      <c r="AH24" s="31" t="n">
        <v>3.2</v>
      </c>
      <c r="AI24" s="32" t="n">
        <v>2.4</v>
      </c>
      <c r="AJ24" s="45" t="n">
        <v>2.6</v>
      </c>
      <c r="AK24" s="53"/>
      <c r="AL24" s="45"/>
    </row>
    <row customFormat="1" r="25" s="5" spans="1:38" x14ac:dyDescent="0.2">
      <c r="A25" s="46" t="s">
        <v>35</v>
      </c>
      <c r="B25" s="31" t="n">
        <v>2.9</v>
      </c>
      <c r="C25" s="31" t="n">
        <v>2.1</v>
      </c>
      <c r="D25" s="31" t="n">
        <v>1.5</v>
      </c>
      <c r="E25" s="31" t="n">
        <v>2.5</v>
      </c>
      <c r="F25" s="31" t="n">
        <v>2.3</v>
      </c>
      <c r="G25" s="31" t="n">
        <v>1.8</v>
      </c>
      <c r="H25" s="31" t="n">
        <v>1.5</v>
      </c>
      <c r="I25" s="32" t="n">
        <v>2.3</v>
      </c>
      <c r="J25" s="45" t="n">
        <v>2.1</v>
      </c>
      <c r="K25" s="53"/>
      <c r="L25" s="45"/>
      <c r="N25" s="46" t="s">
        <v>35</v>
      </c>
      <c r="O25" s="31" t="n">
        <v>1.8</v>
      </c>
      <c r="P25" s="31" t="n">
        <v>2.2</v>
      </c>
      <c r="Q25" s="31" t="n">
        <v>1.8</v>
      </c>
      <c r="R25" s="31" t="n">
        <v>2.6</v>
      </c>
      <c r="S25" s="31" t="n">
        <v>2.1</v>
      </c>
      <c r="T25" s="31" t="n">
        <v>0.8</v>
      </c>
      <c r="U25" s="31" t="n">
        <v>1.3</v>
      </c>
      <c r="V25" s="32" t="n">
        <v>2.1</v>
      </c>
      <c r="W25" s="45" t="n">
        <v>1.8</v>
      </c>
      <c r="X25" s="53"/>
      <c r="Y25" s="45"/>
      <c r="AA25" s="46" t="s">
        <v>35</v>
      </c>
      <c r="AB25" s="31" t="n">
        <v>1.6</v>
      </c>
      <c r="AC25" s="31" t="n">
        <v>1.3</v>
      </c>
      <c r="AD25" s="31" t="n">
        <v>1.9</v>
      </c>
      <c r="AE25" s="31" t="n">
        <v>1.5</v>
      </c>
      <c r="AF25" s="31" t="n">
        <v>1.5</v>
      </c>
      <c r="AG25" s="31" t="n">
        <v>2.6</v>
      </c>
      <c r="AH25" s="31" t="n">
        <v>2.0</v>
      </c>
      <c r="AI25" s="32" t="n">
        <v>1.6</v>
      </c>
      <c r="AJ25" s="45" t="n">
        <v>1.8</v>
      </c>
      <c r="AK25" s="53"/>
      <c r="AL25" s="45"/>
    </row>
    <row customFormat="1" r="26" s="5" spans="1:38" x14ac:dyDescent="0.2">
      <c r="A26" s="46" t="s">
        <v>36</v>
      </c>
      <c r="B26" s="31" t="n">
        <v>1.4</v>
      </c>
      <c r="C26" s="31" t="n">
        <v>1.1</v>
      </c>
      <c r="D26" s="31" t="n">
        <v>1.1</v>
      </c>
      <c r="E26" s="31" t="n">
        <v>1.6</v>
      </c>
      <c r="F26" s="31" t="n">
        <v>1.4</v>
      </c>
      <c r="G26" s="31" t="n">
        <v>1.6</v>
      </c>
      <c r="H26" s="31" t="n">
        <v>1.3</v>
      </c>
      <c r="I26" s="32" t="n">
        <v>1.3</v>
      </c>
      <c r="J26" s="45" t="n">
        <v>1.4</v>
      </c>
      <c r="K26" s="53"/>
      <c r="L26" s="45"/>
      <c r="N26" s="46" t="s">
        <v>36</v>
      </c>
      <c r="O26" s="31" t="n">
        <v>1.1</v>
      </c>
      <c r="P26" s="31" t="n">
        <v>1.4</v>
      </c>
      <c r="Q26" s="31" t="n">
        <v>0.7</v>
      </c>
      <c r="R26" s="31" t="n">
        <v>1.7</v>
      </c>
      <c r="S26" s="31" t="n">
        <v>1.2</v>
      </c>
      <c r="T26" s="31" t="n">
        <v>0.4</v>
      </c>
      <c r="U26" s="31" t="n">
        <v>0.8</v>
      </c>
      <c r="V26" s="32" t="n">
        <v>1.2</v>
      </c>
      <c r="W26" s="45" t="n">
        <v>1.1</v>
      </c>
      <c r="X26" s="53"/>
      <c r="Y26" s="45"/>
      <c r="AA26" s="46" t="s">
        <v>36</v>
      </c>
      <c r="AB26" s="31" t="n">
        <v>0.7</v>
      </c>
      <c r="AC26" s="31" t="n">
        <v>0.7</v>
      </c>
      <c r="AD26" s="31" t="n">
        <v>1.2</v>
      </c>
      <c r="AE26" s="31" t="n">
        <v>0.8</v>
      </c>
      <c r="AF26" s="31" t="n">
        <v>1.1</v>
      </c>
      <c r="AG26" s="31" t="n">
        <v>1.3</v>
      </c>
      <c r="AH26" s="31" t="n">
        <v>0.5</v>
      </c>
      <c r="AI26" s="32" t="n">
        <v>0.9</v>
      </c>
      <c r="AJ26" s="45" t="n">
        <v>0.9</v>
      </c>
      <c r="AK26" s="53"/>
      <c r="AL26" s="45"/>
    </row>
    <row customFormat="1" r="27" s="5" spans="1:38" x14ac:dyDescent="0.2">
      <c r="A27" s="46" t="s">
        <v>37</v>
      </c>
      <c r="B27" s="31" t="n">
        <v>0.7</v>
      </c>
      <c r="C27" s="31" t="n">
        <v>0.6</v>
      </c>
      <c r="D27" s="31" t="n">
        <v>0.6</v>
      </c>
      <c r="E27" s="31" t="n">
        <v>0.7</v>
      </c>
      <c r="F27" s="31" t="n">
        <v>0.6</v>
      </c>
      <c r="G27" s="31" t="n">
        <v>0.6</v>
      </c>
      <c r="H27" s="31" t="n">
        <v>0.6</v>
      </c>
      <c r="I27" s="32" t="n">
        <v>0.7</v>
      </c>
      <c r="J27" s="45" t="n">
        <v>0.6</v>
      </c>
      <c r="K27" s="53"/>
      <c r="L27" s="45"/>
      <c r="N27" s="46" t="s">
        <v>37</v>
      </c>
      <c r="O27" s="31" t="n">
        <v>0.5</v>
      </c>
      <c r="P27" s="31" t="n">
        <v>0.7</v>
      </c>
      <c r="Q27" s="31" t="n">
        <v>0.4</v>
      </c>
      <c r="R27" s="31" t="n">
        <v>0.8</v>
      </c>
      <c r="S27" s="31" t="n">
        <v>0.7</v>
      </c>
      <c r="T27" s="31" t="n">
        <v>0.3</v>
      </c>
      <c r="U27" s="31" t="n">
        <v>0.3</v>
      </c>
      <c r="V27" s="32" t="n">
        <v>0.6</v>
      </c>
      <c r="W27" s="45" t="n">
        <v>0.5</v>
      </c>
      <c r="X27" s="53"/>
      <c r="Y27" s="45"/>
      <c r="AA27" s="46" t="s">
        <v>37</v>
      </c>
      <c r="AB27" s="31" t="n">
        <v>0.4</v>
      </c>
      <c r="AC27" s="31" t="n">
        <v>0.3</v>
      </c>
      <c r="AD27" s="31" t="n">
        <v>0.7</v>
      </c>
      <c r="AE27" s="31" t="n">
        <v>0.3</v>
      </c>
      <c r="AF27" s="31" t="n">
        <v>0.5</v>
      </c>
      <c r="AG27" s="31" t="n">
        <v>0.9</v>
      </c>
      <c r="AH27" s="31" t="n">
        <v>0.4</v>
      </c>
      <c r="AI27" s="32" t="n">
        <v>0.4</v>
      </c>
      <c r="AJ27" s="45" t="n">
        <v>0.5</v>
      </c>
      <c r="AK27" s="53"/>
      <c r="AL27" s="45"/>
    </row>
    <row customFormat="1" r="28" s="5" spans="1:38" x14ac:dyDescent="0.2">
      <c r="A28" s="46" t="s">
        <v>38</v>
      </c>
      <c r="B28" s="31" t="n">
        <v>0.5</v>
      </c>
      <c r="C28" s="31" t="n">
        <v>0.3</v>
      </c>
      <c r="D28" s="31" t="n">
        <v>0.5</v>
      </c>
      <c r="E28" s="31" t="n">
        <v>0.5</v>
      </c>
      <c r="F28" s="31" t="n">
        <v>0.4</v>
      </c>
      <c r="G28" s="31" t="n">
        <v>0.4</v>
      </c>
      <c r="H28" s="31" t="n">
        <v>0.3</v>
      </c>
      <c r="I28" s="32" t="n">
        <v>0.4</v>
      </c>
      <c r="J28" s="45" t="n">
        <v>0.4</v>
      </c>
      <c r="K28" s="53"/>
      <c r="L28" s="45"/>
      <c r="N28" s="46" t="s">
        <v>38</v>
      </c>
      <c r="O28" s="31" t="n">
        <v>0.4</v>
      </c>
      <c r="P28" s="31" t="n">
        <v>0.4</v>
      </c>
      <c r="Q28" s="31" t="n">
        <v>0.2</v>
      </c>
      <c r="R28" s="31" t="n">
        <v>0.5</v>
      </c>
      <c r="S28" s="31" t="n">
        <v>0.3</v>
      </c>
      <c r="T28" s="31" t="n">
        <v>0.2</v>
      </c>
      <c r="U28" s="31" t="n">
        <v>0.2</v>
      </c>
      <c r="V28" s="32" t="n">
        <v>0.4</v>
      </c>
      <c r="W28" s="45" t="n">
        <v>0.3</v>
      </c>
      <c r="X28" s="53"/>
      <c r="Y28" s="45"/>
      <c r="AA28" s="46" t="s">
        <v>38</v>
      </c>
      <c r="AB28" s="31" t="n">
        <v>0.3</v>
      </c>
      <c r="AC28" s="31" t="n">
        <v>0.3</v>
      </c>
      <c r="AD28" s="31" t="n">
        <v>0.4</v>
      </c>
      <c r="AE28" s="31" t="n">
        <v>0.3</v>
      </c>
      <c r="AF28" s="31" t="n">
        <v>0.3</v>
      </c>
      <c r="AG28" s="31" t="n">
        <v>0.5</v>
      </c>
      <c r="AH28" s="31" t="n">
        <v>0.3</v>
      </c>
      <c r="AI28" s="32" t="n">
        <v>0.3</v>
      </c>
      <c r="AJ28" s="45" t="n">
        <v>0.3</v>
      </c>
      <c r="AK28" s="53"/>
      <c r="AL28" s="45"/>
    </row>
    <row customFormat="1" r="29" s="5" spans="1:38" x14ac:dyDescent="0.2">
      <c r="A29" s="46" t="s">
        <v>39</v>
      </c>
      <c r="B29" s="31" t="n">
        <v>0.3</v>
      </c>
      <c r="C29" s="31" t="n">
        <v>0.2</v>
      </c>
      <c r="D29" s="31" t="n">
        <v>0.3</v>
      </c>
      <c r="E29" s="31" t="n">
        <v>0.2</v>
      </c>
      <c r="F29" s="31" t="n">
        <v>0.2</v>
      </c>
      <c r="G29" s="31" t="n">
        <v>0.2</v>
      </c>
      <c r="H29" s="31" t="n">
        <v>0.3</v>
      </c>
      <c r="I29" s="32" t="n">
        <v>0.3</v>
      </c>
      <c r="J29" s="45" t="n">
        <v>0.3</v>
      </c>
      <c r="K29" s="53"/>
      <c r="L29" s="45"/>
      <c r="N29" s="46" t="s">
        <v>39</v>
      </c>
      <c r="O29" s="31" t="n">
        <v>0.3</v>
      </c>
      <c r="P29" s="31" t="n">
        <v>0.3</v>
      </c>
      <c r="Q29" s="31" t="n">
        <v>0.2</v>
      </c>
      <c r="R29" s="31" t="n">
        <v>0.4</v>
      </c>
      <c r="S29" s="31" t="n">
        <v>0.3</v>
      </c>
      <c r="T29" s="31" t="n">
        <v>0.2</v>
      </c>
      <c r="U29" s="31" t="n">
        <v>0.2</v>
      </c>
      <c r="V29" s="32" t="n">
        <v>0.3</v>
      </c>
      <c r="W29" s="45" t="n">
        <v>0.3</v>
      </c>
      <c r="X29" s="53"/>
      <c r="Y29" s="45"/>
      <c r="AA29" s="46" t="s">
        <v>39</v>
      </c>
      <c r="AB29" s="31" t="n">
        <v>0.2</v>
      </c>
      <c r="AC29" s="31" t="n">
        <v>0.2</v>
      </c>
      <c r="AD29" s="31" t="n">
        <v>0.4</v>
      </c>
      <c r="AE29" s="31" t="n">
        <v>0.3</v>
      </c>
      <c r="AF29" s="31" t="n">
        <v>0.3</v>
      </c>
      <c r="AG29" s="31" t="n">
        <v>0.4</v>
      </c>
      <c r="AH29" s="31" t="n">
        <v>0.2</v>
      </c>
      <c r="AI29" s="32" t="n">
        <v>0.3</v>
      </c>
      <c r="AJ29" s="45" t="n">
        <v>0.3</v>
      </c>
      <c r="AK29" s="53"/>
      <c r="AL29" s="45"/>
    </row>
    <row customFormat="1" r="30" s="5" spans="1:38" x14ac:dyDescent="0.2">
      <c r="A30" s="47" t="s">
        <v>40</v>
      </c>
      <c r="B30" s="48" t="n">
        <v>0.3</v>
      </c>
      <c r="C30" s="48" t="n">
        <v>0.2</v>
      </c>
      <c r="D30" s="48" t="n">
        <v>0.3</v>
      </c>
      <c r="E30" s="48" t="n">
        <v>0.3</v>
      </c>
      <c r="F30" s="48" t="n">
        <v>0.2</v>
      </c>
      <c r="G30" s="48" t="n">
        <v>0.1</v>
      </c>
      <c r="H30" s="48" t="n">
        <v>0.3</v>
      </c>
      <c r="I30" s="49" t="n">
        <v>0.3</v>
      </c>
      <c r="J30" s="50" t="n">
        <v>0.3</v>
      </c>
      <c r="K30" s="54"/>
      <c r="L30" s="50"/>
      <c r="N30" s="47" t="s">
        <v>40</v>
      </c>
      <c r="O30" s="48" t="n">
        <v>0.2</v>
      </c>
      <c r="P30" s="48" t="n">
        <v>0.1</v>
      </c>
      <c r="Q30" s="48" t="n">
        <v>0.1</v>
      </c>
      <c r="R30" s="48" t="n">
        <v>0.3</v>
      </c>
      <c r="S30" s="48" t="n">
        <v>0.3</v>
      </c>
      <c r="T30" s="48" t="n">
        <v>0.2</v>
      </c>
      <c r="U30" s="48" t="n">
        <v>0.1</v>
      </c>
      <c r="V30" s="49" t="n">
        <v>0.2</v>
      </c>
      <c r="W30" s="50" t="n">
        <v>0.2</v>
      </c>
      <c r="X30" s="54"/>
      <c r="Y30" s="50"/>
      <c r="AA30" s="47" t="s">
        <v>40</v>
      </c>
      <c r="AB30" s="48" t="n">
        <v>0.3</v>
      </c>
      <c r="AC30" s="48" t="n">
        <v>0.3</v>
      </c>
      <c r="AD30" s="48" t="n">
        <v>0.4</v>
      </c>
      <c r="AE30" s="48" t="n">
        <v>0.4</v>
      </c>
      <c r="AF30" s="48" t="n">
        <v>0.3</v>
      </c>
      <c r="AG30" s="48" t="n">
        <v>0.3</v>
      </c>
      <c r="AH30" s="48" t="n">
        <v>0.3</v>
      </c>
      <c r="AI30" s="49" t="n">
        <v>0.3</v>
      </c>
      <c r="AJ30" s="50" t="n">
        <v>0.3</v>
      </c>
      <c r="AK30" s="54"/>
      <c r="AL30" s="50"/>
    </row>
    <row customFormat="1" r="31" s="5" spans="1:38" x14ac:dyDescent="0.2"/>
    <row customFormat="1" r="32" s="5" spans="1:38" x14ac:dyDescent="0.2">
      <c r="A32" s="55" t="s">
        <v>880</v>
      </c>
      <c r="B32" s="56" t="s">
        <v>4</v>
      </c>
      <c r="C32" s="56" t="s">
        <v>5</v>
      </c>
      <c r="D32" s="56" t="s">
        <v>6</v>
      </c>
      <c r="E32" s="56" t="s">
        <v>7</v>
      </c>
      <c r="F32" s="56" t="s">
        <v>8</v>
      </c>
      <c r="G32" s="56" t="s">
        <v>9</v>
      </c>
      <c r="H32" s="56" t="s">
        <v>10</v>
      </c>
      <c r="I32" s="57" t="s">
        <v>11</v>
      </c>
      <c r="J32" s="58" t="s">
        <v>12</v>
      </c>
      <c r="K32" s="2"/>
      <c r="L32" s="2"/>
      <c r="N32" s="55" t="s">
        <v>881</v>
      </c>
      <c r="O32" s="56" t="s">
        <v>4</v>
      </c>
      <c r="P32" s="56" t="s">
        <v>5</v>
      </c>
      <c r="Q32" s="56" t="s">
        <v>6</v>
      </c>
      <c r="R32" s="56" t="s">
        <v>7</v>
      </c>
      <c r="S32" s="56" t="s">
        <v>8</v>
      </c>
      <c r="T32" s="56" t="s">
        <v>9</v>
      </c>
      <c r="U32" s="56" t="s">
        <v>10</v>
      </c>
      <c r="V32" s="57" t="s">
        <v>11</v>
      </c>
      <c r="W32" s="58" t="s">
        <v>12</v>
      </c>
      <c r="X32" s="2"/>
      <c r="Y32" s="2"/>
      <c r="AA32" s="55" t="s">
        <v>882</v>
      </c>
      <c r="AB32" s="56" t="s">
        <v>4</v>
      </c>
      <c r="AC32" s="56" t="s">
        <v>5</v>
      </c>
      <c r="AD32" s="56" t="s">
        <v>6</v>
      </c>
      <c r="AE32" s="56" t="s">
        <v>7</v>
      </c>
      <c r="AF32" s="56" t="s">
        <v>8</v>
      </c>
      <c r="AG32" s="56" t="s">
        <v>9</v>
      </c>
      <c r="AH32" s="56" t="s">
        <v>10</v>
      </c>
      <c r="AI32" s="57" t="s">
        <v>11</v>
      </c>
      <c r="AJ32" s="58" t="s">
        <v>12</v>
      </c>
      <c r="AK32" s="2"/>
      <c r="AL32" s="2"/>
    </row>
    <row customFormat="1" r="33" s="5" spans="1:38" x14ac:dyDescent="0.2">
      <c r="A33" s="44" t="s">
        <v>16</v>
      </c>
      <c r="B33" s="31" t="n">
        <v>0.1</v>
      </c>
      <c r="C33" s="31" t="n">
        <v>0.1</v>
      </c>
      <c r="D33" s="31" t="n">
        <v>0.1</v>
      </c>
      <c r="E33" s="31" t="n">
        <v>0.1</v>
      </c>
      <c r="F33" s="31" t="n">
        <v>0.1</v>
      </c>
      <c r="G33" s="31" t="n">
        <v>0.0</v>
      </c>
      <c r="H33" s="31" t="n">
        <v>0.1</v>
      </c>
      <c r="I33" s="32" t="n">
        <v>0.1</v>
      </c>
      <c r="J33" s="45" t="n">
        <v>0.1</v>
      </c>
      <c r="K33" s="6"/>
      <c r="L33" s="6"/>
      <c r="N33" s="44" t="s">
        <v>16</v>
      </c>
      <c r="O33" s="31" t="n">
        <v>1.5</v>
      </c>
      <c r="P33" s="31" t="n">
        <v>1.4</v>
      </c>
      <c r="Q33" s="31" t="n">
        <v>1.4</v>
      </c>
      <c r="R33" s="31" t="n">
        <v>1.4</v>
      </c>
      <c r="S33" s="31" t="n">
        <v>1.1</v>
      </c>
      <c r="T33" s="31" t="n">
        <v>0.5</v>
      </c>
      <c r="U33" s="31" t="n">
        <v>0.4</v>
      </c>
      <c r="V33" s="32" t="n">
        <v>1.4</v>
      </c>
      <c r="W33" s="45" t="n">
        <v>1.1</v>
      </c>
      <c r="X33" s="6"/>
      <c r="Y33" s="6"/>
      <c r="AA33" s="44" t="s">
        <v>16</v>
      </c>
      <c r="AB33" s="31" t="n">
        <v>3.5</v>
      </c>
      <c r="AC33" s="31" t="n">
        <v>3.6</v>
      </c>
      <c r="AD33" s="31" t="n">
        <v>3.6</v>
      </c>
      <c r="AE33" s="31" t="n">
        <v>3.7</v>
      </c>
      <c r="AF33" s="31" t="n">
        <v>3.1</v>
      </c>
      <c r="AG33" s="31" t="n">
        <v>2.0</v>
      </c>
      <c r="AH33" s="31" t="n">
        <v>1.7</v>
      </c>
      <c r="AI33" s="32" t="n">
        <v>3.5</v>
      </c>
      <c r="AJ33" s="45" t="n">
        <v>3.0</v>
      </c>
      <c r="AK33" s="6"/>
      <c r="AL33" s="6"/>
    </row>
    <row customFormat="1" r="34" s="5" spans="1:38" x14ac:dyDescent="0.2">
      <c r="A34" s="46" t="s">
        <v>17</v>
      </c>
      <c r="B34" s="31" t="n">
        <v>0.3</v>
      </c>
      <c r="C34" s="31" t="n">
        <v>0.3</v>
      </c>
      <c r="D34" s="31" t="n">
        <v>0.3</v>
      </c>
      <c r="E34" s="31" t="n">
        <v>0.4</v>
      </c>
      <c r="F34" s="31" t="n">
        <v>0.2</v>
      </c>
      <c r="G34" s="31" t="n">
        <v>0.0</v>
      </c>
      <c r="H34" s="31" t="n">
        <v>0.1</v>
      </c>
      <c r="I34" s="32" t="n">
        <v>0.3</v>
      </c>
      <c r="J34" s="45" t="n">
        <v>0.2</v>
      </c>
      <c r="K34" s="6"/>
      <c r="L34" s="6"/>
      <c r="N34" s="46" t="s">
        <v>17</v>
      </c>
      <c r="O34" s="31" t="n">
        <v>3.8</v>
      </c>
      <c r="P34" s="31" t="n">
        <v>3.8</v>
      </c>
      <c r="Q34" s="31" t="n">
        <v>4.0</v>
      </c>
      <c r="R34" s="31" t="n">
        <v>4.0</v>
      </c>
      <c r="S34" s="31" t="n">
        <v>3.3</v>
      </c>
      <c r="T34" s="31" t="n">
        <v>1.4</v>
      </c>
      <c r="U34" s="31" t="n">
        <v>0.7</v>
      </c>
      <c r="V34" s="32" t="n">
        <v>3.8</v>
      </c>
      <c r="W34" s="45" t="n">
        <v>3.0</v>
      </c>
      <c r="X34" s="6"/>
      <c r="Y34" s="6"/>
      <c r="AA34" s="46" t="s">
        <v>17</v>
      </c>
      <c r="AB34" s="31" t="n">
        <v>12.4</v>
      </c>
      <c r="AC34" s="31" t="n">
        <v>12.5</v>
      </c>
      <c r="AD34" s="31" t="n">
        <v>12.4</v>
      </c>
      <c r="AE34" s="31" t="n">
        <v>13.0</v>
      </c>
      <c r="AF34" s="31" t="n">
        <v>10.6</v>
      </c>
      <c r="AG34" s="31" t="n">
        <v>5.6</v>
      </c>
      <c r="AH34" s="31" t="n">
        <v>4.2</v>
      </c>
      <c r="AI34" s="32" t="n">
        <v>12.2</v>
      </c>
      <c r="AJ34" s="45" t="n">
        <v>10.1</v>
      </c>
      <c r="AK34" s="6"/>
      <c r="AL34" s="6"/>
    </row>
    <row customFormat="1" r="35" s="5" spans="1:38" x14ac:dyDescent="0.2">
      <c r="A35" s="46" t="s">
        <v>18</v>
      </c>
      <c r="B35" s="31" t="n">
        <v>0.3</v>
      </c>
      <c r="C35" s="31" t="n">
        <v>0.3</v>
      </c>
      <c r="D35" s="31" t="n">
        <v>0.3</v>
      </c>
      <c r="E35" s="31" t="n">
        <v>0.3</v>
      </c>
      <c r="F35" s="31" t="n">
        <v>0.3</v>
      </c>
      <c r="G35" s="31" t="n">
        <v>0.2</v>
      </c>
      <c r="H35" s="31" t="n">
        <v>0.5</v>
      </c>
      <c r="I35" s="32" t="n">
        <v>0.3</v>
      </c>
      <c r="J35" s="45" t="n">
        <v>0.3</v>
      </c>
      <c r="K35" s="6"/>
      <c r="L35" s="6"/>
      <c r="N35" s="46" t="s">
        <v>18</v>
      </c>
      <c r="O35" s="31" t="n">
        <v>5.4</v>
      </c>
      <c r="P35" s="31" t="n">
        <v>5.6</v>
      </c>
      <c r="Q35" s="31" t="n">
        <v>5.7</v>
      </c>
      <c r="R35" s="31" t="n">
        <v>5.4</v>
      </c>
      <c r="S35" s="31" t="n">
        <v>5.1</v>
      </c>
      <c r="T35" s="31" t="n">
        <v>2.2</v>
      </c>
      <c r="U35" s="31" t="n">
        <v>1.2</v>
      </c>
      <c r="V35" s="32" t="n">
        <v>5.4</v>
      </c>
      <c r="W35" s="45" t="n">
        <v>4.3</v>
      </c>
      <c r="X35" s="6"/>
      <c r="Y35" s="6"/>
      <c r="AA35" s="46" t="s">
        <v>18</v>
      </c>
      <c r="AB35" s="31" t="n">
        <v>19.1</v>
      </c>
      <c r="AC35" s="31" t="n">
        <v>19.2</v>
      </c>
      <c r="AD35" s="31" t="n">
        <v>19.5</v>
      </c>
      <c r="AE35" s="31" t="n">
        <v>19.7</v>
      </c>
      <c r="AF35" s="31" t="n">
        <v>16.9</v>
      </c>
      <c r="AG35" s="31" t="n">
        <v>10.3</v>
      </c>
      <c r="AH35" s="31" t="n">
        <v>8.6</v>
      </c>
      <c r="AI35" s="32" t="n">
        <v>18.9</v>
      </c>
      <c r="AJ35" s="45" t="n">
        <v>16.1</v>
      </c>
      <c r="AK35" s="6"/>
      <c r="AL35" s="6"/>
    </row>
    <row customFormat="1" r="36" s="5" spans="1:38" x14ac:dyDescent="0.2">
      <c r="A36" s="46" t="s">
        <v>19</v>
      </c>
      <c r="B36" s="31" t="n">
        <v>0.3</v>
      </c>
      <c r="C36" s="31" t="n">
        <v>0.3</v>
      </c>
      <c r="D36" s="31" t="n">
        <v>0.2</v>
      </c>
      <c r="E36" s="31" t="n">
        <v>0.2</v>
      </c>
      <c r="F36" s="31" t="n">
        <v>0.2</v>
      </c>
      <c r="G36" s="31" t="n">
        <v>0.3</v>
      </c>
      <c r="H36" s="31" t="n">
        <v>1.2</v>
      </c>
      <c r="I36" s="32" t="n">
        <v>0.2</v>
      </c>
      <c r="J36" s="45" t="n">
        <v>0.4</v>
      </c>
      <c r="K36" s="6"/>
      <c r="L36" s="6"/>
      <c r="N36" s="46" t="s">
        <v>19</v>
      </c>
      <c r="O36" s="31" t="n">
        <v>2.2</v>
      </c>
      <c r="P36" s="31" t="n">
        <v>2.5</v>
      </c>
      <c r="Q36" s="31" t="n">
        <v>2.5</v>
      </c>
      <c r="R36" s="31" t="n">
        <v>2.3</v>
      </c>
      <c r="S36" s="31" t="n">
        <v>2.4</v>
      </c>
      <c r="T36" s="31" t="n">
        <v>2.3</v>
      </c>
      <c r="U36" s="31" t="n">
        <v>0.9</v>
      </c>
      <c r="V36" s="32" t="n">
        <v>2.4</v>
      </c>
      <c r="W36" s="45" t="n">
        <v>2.1</v>
      </c>
      <c r="X36" s="6"/>
      <c r="Y36" s="6"/>
      <c r="AA36" s="46" t="s">
        <v>19</v>
      </c>
      <c r="AB36" s="31" t="n">
        <v>12.6</v>
      </c>
      <c r="AC36" s="31" t="n">
        <v>13.0</v>
      </c>
      <c r="AD36" s="31" t="n">
        <v>13.3</v>
      </c>
      <c r="AE36" s="31" t="n">
        <v>12.8</v>
      </c>
      <c r="AF36" s="31" t="n">
        <v>12.7</v>
      </c>
      <c r="AG36" s="31" t="n">
        <v>12.1</v>
      </c>
      <c r="AH36" s="31" t="n">
        <v>11.4</v>
      </c>
      <c r="AI36" s="32" t="n">
        <v>12.9</v>
      </c>
      <c r="AJ36" s="45" t="n">
        <v>12.5</v>
      </c>
      <c r="AK36" s="6"/>
      <c r="AL36" s="6"/>
    </row>
    <row customFormat="1" r="37" s="5" spans="1:38" x14ac:dyDescent="0.2">
      <c r="A37" s="46" t="s">
        <v>20</v>
      </c>
      <c r="B37" s="31" t="n">
        <v>0.1</v>
      </c>
      <c r="C37" s="31" t="n">
        <v>0.1</v>
      </c>
      <c r="D37" s="31" t="n">
        <v>0.1</v>
      </c>
      <c r="E37" s="31" t="n">
        <v>0.1</v>
      </c>
      <c r="F37" s="31" t="n">
        <v>0.1</v>
      </c>
      <c r="G37" s="31" t="n">
        <v>0.7</v>
      </c>
      <c r="H37" s="31" t="n">
        <v>0.6</v>
      </c>
      <c r="I37" s="32" t="n">
        <v>0.1</v>
      </c>
      <c r="J37" s="45" t="n">
        <v>0.2</v>
      </c>
      <c r="K37" s="6"/>
      <c r="L37" s="6"/>
      <c r="N37" s="46" t="s">
        <v>20</v>
      </c>
      <c r="O37" s="31" t="n">
        <v>1.0</v>
      </c>
      <c r="P37" s="31" t="n">
        <v>1.1</v>
      </c>
      <c r="Q37" s="31" t="n">
        <v>1.1</v>
      </c>
      <c r="R37" s="31" t="n">
        <v>1.1</v>
      </c>
      <c r="S37" s="31" t="n">
        <v>1.2</v>
      </c>
      <c r="T37" s="31" t="n">
        <v>2.1</v>
      </c>
      <c r="U37" s="31" t="n">
        <v>0.4</v>
      </c>
      <c r="V37" s="32" t="n">
        <v>1.1</v>
      </c>
      <c r="W37" s="45" t="n">
        <v>1.1</v>
      </c>
      <c r="X37" s="6"/>
      <c r="Y37" s="6"/>
      <c r="AA37" s="46" t="s">
        <v>20</v>
      </c>
      <c r="AB37" s="31" t="n">
        <v>6.5</v>
      </c>
      <c r="AC37" s="31" t="n">
        <v>6.9</v>
      </c>
      <c r="AD37" s="31" t="n">
        <v>6.9</v>
      </c>
      <c r="AE37" s="31" t="n">
        <v>7.0</v>
      </c>
      <c r="AF37" s="31" t="n">
        <v>7.9</v>
      </c>
      <c r="AG37" s="31" t="n">
        <v>11.1</v>
      </c>
      <c r="AH37" s="31" t="n">
        <v>10.5</v>
      </c>
      <c r="AI37" s="32" t="n">
        <v>7.0</v>
      </c>
      <c r="AJ37" s="45" t="n">
        <v>8.1</v>
      </c>
      <c r="AK37" s="6"/>
      <c r="AL37" s="6"/>
    </row>
    <row customFormat="1" r="38" s="5" spans="1:38" x14ac:dyDescent="0.2">
      <c r="A38" s="46" t="s">
        <v>21</v>
      </c>
      <c r="B38" s="31" t="n">
        <v>0.0</v>
      </c>
      <c r="C38" s="31" t="n">
        <v>0.1</v>
      </c>
      <c r="D38" s="31" t="n">
        <v>0.0</v>
      </c>
      <c r="E38" s="31" t="n">
        <v>0.0</v>
      </c>
      <c r="F38" s="31" t="n">
        <v>0.1</v>
      </c>
      <c r="G38" s="31" t="n">
        <v>0.5</v>
      </c>
      <c r="H38" s="31" t="n">
        <v>0.1</v>
      </c>
      <c r="I38" s="32" t="n">
        <v>0.0</v>
      </c>
      <c r="J38" s="45" t="n">
        <v>0.1</v>
      </c>
      <c r="K38" s="6"/>
      <c r="L38" s="6"/>
      <c r="N38" s="46" t="s">
        <v>21</v>
      </c>
      <c r="O38" s="31" t="n">
        <v>0.7</v>
      </c>
      <c r="P38" s="31" t="n">
        <v>0.9</v>
      </c>
      <c r="Q38" s="31" t="n">
        <v>0.8</v>
      </c>
      <c r="R38" s="31" t="n">
        <v>0.9</v>
      </c>
      <c r="S38" s="31" t="n">
        <v>0.9</v>
      </c>
      <c r="T38" s="31" t="n">
        <v>1.4</v>
      </c>
      <c r="U38" s="31" t="n">
        <v>1.3</v>
      </c>
      <c r="V38" s="32" t="n">
        <v>0.8</v>
      </c>
      <c r="W38" s="45" t="n">
        <v>1.0</v>
      </c>
      <c r="X38" s="6"/>
      <c r="Y38" s="6"/>
      <c r="AA38" s="46" t="s">
        <v>21</v>
      </c>
      <c r="AB38" s="31" t="n">
        <v>4.1</v>
      </c>
      <c r="AC38" s="31" t="n">
        <v>4.5</v>
      </c>
      <c r="AD38" s="31" t="n">
        <v>4.4</v>
      </c>
      <c r="AE38" s="31" t="n">
        <v>4.2</v>
      </c>
      <c r="AF38" s="31" t="n">
        <v>4.9</v>
      </c>
      <c r="AG38" s="31" t="n">
        <v>8.2</v>
      </c>
      <c r="AH38" s="31" t="n">
        <v>8.5</v>
      </c>
      <c r="AI38" s="32" t="n">
        <v>4.4</v>
      </c>
      <c r="AJ38" s="45" t="n">
        <v>5.6</v>
      </c>
      <c r="AK38" s="6"/>
      <c r="AL38" s="6"/>
    </row>
    <row customFormat="1" r="39" s="5" spans="1:38" x14ac:dyDescent="0.2">
      <c r="A39" s="46" t="s">
        <v>22</v>
      </c>
      <c r="B39" s="31" t="n">
        <v>0.1</v>
      </c>
      <c r="C39" s="31" t="n">
        <v>0.1</v>
      </c>
      <c r="D39" s="31" t="n">
        <v>0.0</v>
      </c>
      <c r="E39" s="31" t="n">
        <v>0.0</v>
      </c>
      <c r="F39" s="31" t="n">
        <v>0.0</v>
      </c>
      <c r="G39" s="31" t="n">
        <v>0.3</v>
      </c>
      <c r="H39" s="31" t="n">
        <v>0.2</v>
      </c>
      <c r="I39" s="32" t="n">
        <v>0.0</v>
      </c>
      <c r="J39" s="45" t="n">
        <v>0.1</v>
      </c>
      <c r="K39" s="6"/>
      <c r="L39" s="6"/>
      <c r="N39" s="46" t="s">
        <v>22</v>
      </c>
      <c r="O39" s="31" t="n">
        <v>0.7</v>
      </c>
      <c r="P39" s="31" t="n">
        <v>0.7</v>
      </c>
      <c r="Q39" s="31" t="n">
        <v>0.5</v>
      </c>
      <c r="R39" s="31" t="n">
        <v>0.6</v>
      </c>
      <c r="S39" s="31" t="n">
        <v>0.8</v>
      </c>
      <c r="T39" s="31" t="n">
        <v>0.9</v>
      </c>
      <c r="U39" s="31" t="n">
        <v>1.1</v>
      </c>
      <c r="V39" s="32" t="n">
        <v>0.7</v>
      </c>
      <c r="W39" s="45" t="n">
        <v>0.8</v>
      </c>
      <c r="X39" s="6"/>
      <c r="Y39" s="6"/>
      <c r="AA39" s="46" t="s">
        <v>22</v>
      </c>
      <c r="AB39" s="31" t="n">
        <v>3.4</v>
      </c>
      <c r="AC39" s="31" t="n">
        <v>3.9</v>
      </c>
      <c r="AD39" s="31" t="n">
        <v>3.5</v>
      </c>
      <c r="AE39" s="31" t="n">
        <v>3.5</v>
      </c>
      <c r="AF39" s="31" t="n">
        <v>4.3</v>
      </c>
      <c r="AG39" s="31" t="n">
        <v>6.5</v>
      </c>
      <c r="AH39" s="31" t="n">
        <v>7.3</v>
      </c>
      <c r="AI39" s="32" t="n">
        <v>3.7</v>
      </c>
      <c r="AJ39" s="45" t="n">
        <v>4.7</v>
      </c>
      <c r="AK39" s="6"/>
      <c r="AL39" s="6"/>
    </row>
    <row customFormat="1" r="40" s="5" spans="1:38" x14ac:dyDescent="0.2">
      <c r="A40" s="46" t="s">
        <v>23</v>
      </c>
      <c r="B40" s="31" t="n">
        <v>0.2</v>
      </c>
      <c r="C40" s="31" t="n">
        <v>0.2</v>
      </c>
      <c r="D40" s="31" t="n">
        <v>0.3</v>
      </c>
      <c r="E40" s="31" t="n">
        <v>0.2</v>
      </c>
      <c r="F40" s="31" t="n">
        <v>0.3</v>
      </c>
      <c r="G40" s="31" t="n">
        <v>0.3</v>
      </c>
      <c r="H40" s="31" t="n">
        <v>0.4</v>
      </c>
      <c r="I40" s="32" t="n">
        <v>0.2</v>
      </c>
      <c r="J40" s="45" t="n">
        <v>0.3</v>
      </c>
      <c r="K40" s="6"/>
      <c r="L40" s="6"/>
      <c r="N40" s="46" t="s">
        <v>23</v>
      </c>
      <c r="O40" s="31" t="n">
        <v>1.1</v>
      </c>
      <c r="P40" s="31" t="n">
        <v>1.0</v>
      </c>
      <c r="Q40" s="31" t="n">
        <v>0.8</v>
      </c>
      <c r="R40" s="31" t="n">
        <v>0.9</v>
      </c>
      <c r="S40" s="31" t="n">
        <v>1.0</v>
      </c>
      <c r="T40" s="31" t="n">
        <v>1.2</v>
      </c>
      <c r="U40" s="31" t="n">
        <v>1.1</v>
      </c>
      <c r="V40" s="32" t="n">
        <v>1.0</v>
      </c>
      <c r="W40" s="45" t="n">
        <v>1.0</v>
      </c>
      <c r="X40" s="6"/>
      <c r="Y40" s="6"/>
      <c r="AA40" s="46" t="s">
        <v>23</v>
      </c>
      <c r="AB40" s="31" t="n">
        <v>4.7</v>
      </c>
      <c r="AC40" s="31" t="n">
        <v>5.0</v>
      </c>
      <c r="AD40" s="31" t="n">
        <v>4.8</v>
      </c>
      <c r="AE40" s="31" t="n">
        <v>4.7</v>
      </c>
      <c r="AF40" s="31" t="n">
        <v>5.3</v>
      </c>
      <c r="AG40" s="31" t="n">
        <v>7.0</v>
      </c>
      <c r="AH40" s="31" t="n">
        <v>8.4</v>
      </c>
      <c r="AI40" s="32" t="n">
        <v>4.9</v>
      </c>
      <c r="AJ40" s="45" t="n">
        <v>5.7</v>
      </c>
      <c r="AK40" s="6"/>
      <c r="AL40" s="6"/>
    </row>
    <row customFormat="1" r="41" s="5" spans="1:38" x14ac:dyDescent="0.2">
      <c r="A41" s="46" t="s">
        <v>24</v>
      </c>
      <c r="B41" s="31" t="n">
        <v>0.2</v>
      </c>
      <c r="C41" s="31" t="n">
        <v>0.2</v>
      </c>
      <c r="D41" s="31" t="n">
        <v>0.2</v>
      </c>
      <c r="E41" s="31" t="n">
        <v>0.2</v>
      </c>
      <c r="F41" s="31" t="n">
        <v>0.2</v>
      </c>
      <c r="G41" s="31" t="n">
        <v>0.2</v>
      </c>
      <c r="H41" s="31" t="n">
        <v>0.6</v>
      </c>
      <c r="I41" s="32" t="n">
        <v>0.2</v>
      </c>
      <c r="J41" s="45" t="n">
        <v>0.3</v>
      </c>
      <c r="K41" s="6"/>
      <c r="L41" s="6"/>
      <c r="N41" s="46" t="s">
        <v>24</v>
      </c>
      <c r="O41" s="31" t="n">
        <v>0.9</v>
      </c>
      <c r="P41" s="31" t="n">
        <v>0.8</v>
      </c>
      <c r="Q41" s="31" t="n">
        <v>0.8</v>
      </c>
      <c r="R41" s="31" t="n">
        <v>0.8</v>
      </c>
      <c r="S41" s="31" t="n">
        <v>0.9</v>
      </c>
      <c r="T41" s="31" t="n">
        <v>1.0</v>
      </c>
      <c r="U41" s="31" t="n">
        <v>1.2</v>
      </c>
      <c r="V41" s="32" t="n">
        <v>0.8</v>
      </c>
      <c r="W41" s="45" t="n">
        <v>0.9</v>
      </c>
      <c r="X41" s="6"/>
      <c r="Y41" s="6"/>
      <c r="AA41" s="46" t="s">
        <v>24</v>
      </c>
      <c r="AB41" s="31" t="n">
        <v>4.1</v>
      </c>
      <c r="AC41" s="31" t="n">
        <v>4.4</v>
      </c>
      <c r="AD41" s="31" t="n">
        <v>3.9</v>
      </c>
      <c r="AE41" s="31" t="n">
        <v>4.2</v>
      </c>
      <c r="AF41" s="31" t="n">
        <v>4.7</v>
      </c>
      <c r="AG41" s="31" t="n">
        <v>6.3</v>
      </c>
      <c r="AH41" s="31" t="n">
        <v>7.3</v>
      </c>
      <c r="AI41" s="32" t="n">
        <v>4.3</v>
      </c>
      <c r="AJ41" s="45" t="n">
        <v>5.0</v>
      </c>
      <c r="AK41" s="6"/>
      <c r="AL41" s="6"/>
    </row>
    <row customFormat="1" r="42" s="5" spans="1:38" x14ac:dyDescent="0.2">
      <c r="A42" s="46" t="s">
        <v>25</v>
      </c>
      <c r="B42" s="31" t="n">
        <v>0.2</v>
      </c>
      <c r="C42" s="31" t="n">
        <v>0.2</v>
      </c>
      <c r="D42" s="31" t="n">
        <v>0.2</v>
      </c>
      <c r="E42" s="31" t="n">
        <v>0.2</v>
      </c>
      <c r="F42" s="31" t="n">
        <v>0.2</v>
      </c>
      <c r="G42" s="31" t="n">
        <v>0.2</v>
      </c>
      <c r="H42" s="31" t="n">
        <v>0.5</v>
      </c>
      <c r="I42" s="32" t="n">
        <v>0.2</v>
      </c>
      <c r="J42" s="45" t="n">
        <v>0.2</v>
      </c>
      <c r="K42" s="6"/>
      <c r="L42" s="6"/>
      <c r="N42" s="46" t="s">
        <v>25</v>
      </c>
      <c r="O42" s="31" t="n">
        <v>0.5</v>
      </c>
      <c r="P42" s="31" t="n">
        <v>0.4</v>
      </c>
      <c r="Q42" s="31" t="n">
        <v>0.5</v>
      </c>
      <c r="R42" s="31" t="n">
        <v>0.5</v>
      </c>
      <c r="S42" s="31" t="n">
        <v>0.4</v>
      </c>
      <c r="T42" s="31" t="n">
        <v>0.4</v>
      </c>
      <c r="U42" s="31" t="n">
        <v>1.4</v>
      </c>
      <c r="V42" s="32" t="n">
        <v>0.5</v>
      </c>
      <c r="W42" s="45" t="n">
        <v>0.6</v>
      </c>
      <c r="X42" s="6"/>
      <c r="Y42" s="6"/>
      <c r="AA42" s="46" t="s">
        <v>25</v>
      </c>
      <c r="AB42" s="31" t="n">
        <v>3.5</v>
      </c>
      <c r="AC42" s="31" t="n">
        <v>3.7</v>
      </c>
      <c r="AD42" s="31" t="n">
        <v>3.2</v>
      </c>
      <c r="AE42" s="31" t="n">
        <v>3.4</v>
      </c>
      <c r="AF42" s="31" t="n">
        <v>3.9</v>
      </c>
      <c r="AG42" s="31" t="n">
        <v>5.3</v>
      </c>
      <c r="AH42" s="31" t="n">
        <v>6.4</v>
      </c>
      <c r="AI42" s="32" t="n">
        <v>3.5</v>
      </c>
      <c r="AJ42" s="45" t="n">
        <v>4.2</v>
      </c>
      <c r="AK42" s="6"/>
      <c r="AL42" s="6"/>
    </row>
    <row customFormat="1" r="43" s="5" spans="1:38" x14ac:dyDescent="0.2">
      <c r="A43" s="46" t="s">
        <v>26</v>
      </c>
      <c r="B43" s="31" t="n">
        <v>0.2</v>
      </c>
      <c r="C43" s="31" t="n">
        <v>0.2</v>
      </c>
      <c r="D43" s="31" t="n">
        <v>0.2</v>
      </c>
      <c r="E43" s="31" t="n">
        <v>0.2</v>
      </c>
      <c r="F43" s="31" t="n">
        <v>0.3</v>
      </c>
      <c r="G43" s="31" t="n">
        <v>0.3</v>
      </c>
      <c r="H43" s="31" t="n">
        <v>0.5</v>
      </c>
      <c r="I43" s="32" t="n">
        <v>0.2</v>
      </c>
      <c r="J43" s="45" t="n">
        <v>0.3</v>
      </c>
      <c r="K43" s="6"/>
      <c r="L43" s="6"/>
      <c r="N43" s="46" t="s">
        <v>26</v>
      </c>
      <c r="O43" s="31" t="n">
        <v>0.4</v>
      </c>
      <c r="P43" s="31" t="n">
        <v>0.4</v>
      </c>
      <c r="Q43" s="31" t="n">
        <v>0.5</v>
      </c>
      <c r="R43" s="31" t="n">
        <v>0.4</v>
      </c>
      <c r="S43" s="31" t="n">
        <v>0.4</v>
      </c>
      <c r="T43" s="31" t="n">
        <v>0.7</v>
      </c>
      <c r="U43" s="31" t="n">
        <v>1.3</v>
      </c>
      <c r="V43" s="32" t="n">
        <v>0.4</v>
      </c>
      <c r="W43" s="45" t="n">
        <v>0.6</v>
      </c>
      <c r="X43" s="6"/>
      <c r="Y43" s="6"/>
      <c r="AA43" s="46" t="s">
        <v>26</v>
      </c>
      <c r="AB43" s="31" t="n">
        <v>3.3</v>
      </c>
      <c r="AC43" s="31" t="n">
        <v>3.4</v>
      </c>
      <c r="AD43" s="31" t="n">
        <v>3.3</v>
      </c>
      <c r="AE43" s="31" t="n">
        <v>3.5</v>
      </c>
      <c r="AF43" s="31" t="n">
        <v>3.5</v>
      </c>
      <c r="AG43" s="31" t="n">
        <v>4.7</v>
      </c>
      <c r="AH43" s="31" t="n">
        <v>5.9</v>
      </c>
      <c r="AI43" s="32" t="n">
        <v>3.4</v>
      </c>
      <c r="AJ43" s="45" t="n">
        <v>4.0</v>
      </c>
      <c r="AK43" s="6"/>
      <c r="AL43" s="6"/>
    </row>
    <row customFormat="1" r="44" s="5" spans="1:38" x14ac:dyDescent="0.2">
      <c r="A44" s="46" t="s">
        <v>27</v>
      </c>
      <c r="B44" s="31" t="n">
        <v>0.1</v>
      </c>
      <c r="C44" s="31" t="n">
        <v>0.1</v>
      </c>
      <c r="D44" s="31" t="n">
        <v>0.1</v>
      </c>
      <c r="E44" s="31" t="n">
        <v>0.2</v>
      </c>
      <c r="F44" s="31" t="n">
        <v>0.1</v>
      </c>
      <c r="G44" s="31" t="n">
        <v>0.1</v>
      </c>
      <c r="H44" s="31" t="n">
        <v>0.3</v>
      </c>
      <c r="I44" s="32" t="n">
        <v>0.1</v>
      </c>
      <c r="J44" s="45" t="n">
        <v>0.2</v>
      </c>
      <c r="K44" s="6"/>
      <c r="L44" s="6"/>
      <c r="N44" s="46" t="s">
        <v>27</v>
      </c>
      <c r="O44" s="31" t="n">
        <v>0.6</v>
      </c>
      <c r="P44" s="31" t="n">
        <v>0.4</v>
      </c>
      <c r="Q44" s="31" t="n">
        <v>0.6</v>
      </c>
      <c r="R44" s="31" t="n">
        <v>0.6</v>
      </c>
      <c r="S44" s="31" t="n">
        <v>0.7</v>
      </c>
      <c r="T44" s="31" t="n">
        <v>0.6</v>
      </c>
      <c r="U44" s="31" t="n">
        <v>0.8</v>
      </c>
      <c r="V44" s="32" t="n">
        <v>0.6</v>
      </c>
      <c r="W44" s="45" t="n">
        <v>0.6</v>
      </c>
      <c r="X44" s="6"/>
      <c r="Y44" s="6"/>
      <c r="AA44" s="46" t="s">
        <v>27</v>
      </c>
      <c r="AB44" s="31" t="n">
        <v>3.7</v>
      </c>
      <c r="AC44" s="31" t="n">
        <v>4.0</v>
      </c>
      <c r="AD44" s="31" t="n">
        <v>4.0</v>
      </c>
      <c r="AE44" s="31" t="n">
        <v>3.9</v>
      </c>
      <c r="AF44" s="31" t="n">
        <v>4.2</v>
      </c>
      <c r="AG44" s="31" t="n">
        <v>5.4</v>
      </c>
      <c r="AH44" s="31" t="n">
        <v>6.5</v>
      </c>
      <c r="AI44" s="32" t="n">
        <v>3.9</v>
      </c>
      <c r="AJ44" s="45" t="n">
        <v>4.6</v>
      </c>
      <c r="AK44" s="6"/>
      <c r="AL44" s="6"/>
    </row>
    <row customFormat="1" r="45" s="5" spans="1:38" x14ac:dyDescent="0.2">
      <c r="A45" s="46" t="s">
        <v>28</v>
      </c>
      <c r="B45" s="31" t="n">
        <v>0.3</v>
      </c>
      <c r="C45" s="31" t="n">
        <v>0.2</v>
      </c>
      <c r="D45" s="31" t="n">
        <v>0.2</v>
      </c>
      <c r="E45" s="31" t="n">
        <v>0.3</v>
      </c>
      <c r="F45" s="31" t="n">
        <v>0.2</v>
      </c>
      <c r="G45" s="31" t="n">
        <v>0.2</v>
      </c>
      <c r="H45" s="31" t="n">
        <v>0.3</v>
      </c>
      <c r="I45" s="32" t="n">
        <v>0.2</v>
      </c>
      <c r="J45" s="45" t="n">
        <v>0.2</v>
      </c>
      <c r="K45" s="6"/>
      <c r="L45" s="6"/>
      <c r="N45" s="46" t="s">
        <v>28</v>
      </c>
      <c r="O45" s="31" t="n">
        <v>0.8</v>
      </c>
      <c r="P45" s="31" t="n">
        <v>0.7</v>
      </c>
      <c r="Q45" s="31" t="n">
        <v>0.9</v>
      </c>
      <c r="R45" s="31" t="n">
        <v>0.9</v>
      </c>
      <c r="S45" s="31" t="n">
        <v>1.1</v>
      </c>
      <c r="T45" s="31" t="n">
        <v>1.2</v>
      </c>
      <c r="U45" s="31" t="n">
        <v>1.3</v>
      </c>
      <c r="V45" s="32" t="n">
        <v>0.9</v>
      </c>
      <c r="W45" s="45" t="n">
        <v>1.0</v>
      </c>
      <c r="X45" s="6"/>
      <c r="Y45" s="6"/>
      <c r="AA45" s="46" t="s">
        <v>28</v>
      </c>
      <c r="AB45" s="31" t="n">
        <v>5.6</v>
      </c>
      <c r="AC45" s="31" t="n">
        <v>5.5</v>
      </c>
      <c r="AD45" s="31" t="n">
        <v>6.0</v>
      </c>
      <c r="AE45" s="31" t="n">
        <v>5.9</v>
      </c>
      <c r="AF45" s="31" t="n">
        <v>6.2</v>
      </c>
      <c r="AG45" s="31" t="n">
        <v>8.1</v>
      </c>
      <c r="AH45" s="31" t="n">
        <v>8.9</v>
      </c>
      <c r="AI45" s="32" t="n">
        <v>5.8</v>
      </c>
      <c r="AJ45" s="45" t="n">
        <v>6.6</v>
      </c>
      <c r="AK45" s="6"/>
      <c r="AL45" s="6"/>
    </row>
    <row customFormat="1" r="46" s="5" spans="1:38" x14ac:dyDescent="0.2">
      <c r="A46" s="46" t="s">
        <v>29</v>
      </c>
      <c r="B46" s="31" t="n">
        <v>0.9</v>
      </c>
      <c r="C46" s="31" t="n">
        <v>0.6</v>
      </c>
      <c r="D46" s="31" t="n">
        <v>0.8</v>
      </c>
      <c r="E46" s="31" t="n">
        <v>0.9</v>
      </c>
      <c r="F46" s="31" t="n">
        <v>1.0</v>
      </c>
      <c r="G46" s="31" t="n">
        <v>0.6</v>
      </c>
      <c r="H46" s="31" t="n">
        <v>0.5</v>
      </c>
      <c r="I46" s="32" t="n">
        <v>0.8</v>
      </c>
      <c r="J46" s="45" t="n">
        <v>0.8</v>
      </c>
      <c r="K46" s="51" t="s">
        <v>15</v>
      </c>
      <c r="L46" s="52" t="s">
        <v>877</v>
      </c>
      <c r="N46" s="46" t="s">
        <v>29</v>
      </c>
      <c r="O46" s="31" t="n">
        <v>1.5</v>
      </c>
      <c r="P46" s="31" t="n">
        <v>1.3</v>
      </c>
      <c r="Q46" s="31" t="n">
        <v>1.8</v>
      </c>
      <c r="R46" s="31" t="n">
        <v>1.7</v>
      </c>
      <c r="S46" s="31" t="n">
        <v>1.9</v>
      </c>
      <c r="T46" s="31" t="n">
        <v>1.8</v>
      </c>
      <c r="U46" s="31" t="n">
        <v>5.3</v>
      </c>
      <c r="V46" s="32" t="n">
        <v>1.6</v>
      </c>
      <c r="W46" s="45" t="n">
        <v>2.2</v>
      </c>
      <c r="X46" s="51" t="s">
        <v>15</v>
      </c>
      <c r="Y46" s="52" t="s">
        <v>877</v>
      </c>
      <c r="AA46" s="46" t="s">
        <v>29</v>
      </c>
      <c r="AB46" s="31" t="n">
        <v>11.0</v>
      </c>
      <c r="AC46" s="31" t="n">
        <v>10.7</v>
      </c>
      <c r="AD46" s="31" t="n">
        <v>11.1</v>
      </c>
      <c r="AE46" s="31" t="n">
        <v>10.5</v>
      </c>
      <c r="AF46" s="31" t="n">
        <v>11.4</v>
      </c>
      <c r="AG46" s="31" t="n">
        <v>12.0</v>
      </c>
      <c r="AH46" s="31" t="n">
        <v>15.8</v>
      </c>
      <c r="AI46" s="32" t="n">
        <v>10.9</v>
      </c>
      <c r="AJ46" s="45" t="n">
        <v>11.8</v>
      </c>
      <c r="AK46" s="51" t="s">
        <v>15</v>
      </c>
      <c r="AL46" s="52" t="s">
        <v>877</v>
      </c>
    </row>
    <row customFormat="1" r="47" s="5" spans="1:38" x14ac:dyDescent="0.2">
      <c r="A47" s="46" t="s">
        <v>31</v>
      </c>
      <c r="B47" s="31" t="n">
        <v>1.3</v>
      </c>
      <c r="C47" s="31" t="n">
        <v>1.4</v>
      </c>
      <c r="D47" s="31" t="n">
        <v>1.2</v>
      </c>
      <c r="E47" s="31" t="n">
        <v>1.2</v>
      </c>
      <c r="F47" s="31" t="n">
        <v>1.3</v>
      </c>
      <c r="G47" s="31" t="n">
        <v>1.6</v>
      </c>
      <c r="H47" s="31" t="n">
        <v>1.7</v>
      </c>
      <c r="I47" s="32" t="n">
        <v>1.3</v>
      </c>
      <c r="J47" s="45" t="n">
        <v>1.4</v>
      </c>
      <c r="K47" s="53"/>
      <c r="L47" s="45"/>
      <c r="N47" s="46" t="s">
        <v>31</v>
      </c>
      <c r="O47" s="31" t="n">
        <v>2.3</v>
      </c>
      <c r="P47" s="31" t="n">
        <v>1.5</v>
      </c>
      <c r="Q47" s="31" t="n">
        <v>2.6</v>
      </c>
      <c r="R47" s="31" t="n">
        <v>2.8</v>
      </c>
      <c r="S47" s="31" t="n">
        <v>2.1</v>
      </c>
      <c r="T47" s="31" t="n">
        <v>3.7</v>
      </c>
      <c r="U47" s="31" t="n">
        <v>3.7</v>
      </c>
      <c r="V47" s="32" t="n">
        <v>2.2</v>
      </c>
      <c r="W47" s="45" t="n">
        <v>2.6</v>
      </c>
      <c r="X47" s="53"/>
      <c r="Y47" s="45"/>
      <c r="AA47" s="46" t="s">
        <v>31</v>
      </c>
      <c r="AB47" s="31" t="n">
        <v>16.3</v>
      </c>
      <c r="AC47" s="31" t="n">
        <v>15.4</v>
      </c>
      <c r="AD47" s="31" t="n">
        <v>15.6</v>
      </c>
      <c r="AE47" s="31" t="n">
        <v>15.0</v>
      </c>
      <c r="AF47" s="31" t="n">
        <v>14.9</v>
      </c>
      <c r="AG47" s="31" t="n">
        <v>16.2</v>
      </c>
      <c r="AH47" s="31" t="n">
        <v>20.7</v>
      </c>
      <c r="AI47" s="32" t="n">
        <v>15.5</v>
      </c>
      <c r="AJ47" s="45" t="n">
        <v>16.4</v>
      </c>
      <c r="AK47" s="53"/>
      <c r="AL47" s="45"/>
    </row>
    <row customFormat="1" r="48" s="5" spans="1:38" x14ac:dyDescent="0.2">
      <c r="A48" s="46" t="s">
        <v>32</v>
      </c>
      <c r="B48" s="31" t="n">
        <v>1.2</v>
      </c>
      <c r="C48" s="31" t="n">
        <v>1.9</v>
      </c>
      <c r="D48" s="31" t="n">
        <v>1.1</v>
      </c>
      <c r="E48" s="31" t="n">
        <v>1.5</v>
      </c>
      <c r="F48" s="31" t="n">
        <v>1.3</v>
      </c>
      <c r="G48" s="31" t="n">
        <v>1.7</v>
      </c>
      <c r="H48" s="31" t="n">
        <v>1.8</v>
      </c>
      <c r="I48" s="32" t="n">
        <v>1.4</v>
      </c>
      <c r="J48" s="45" t="n">
        <v>1.5</v>
      </c>
      <c r="K48" s="53"/>
      <c r="L48" s="45"/>
      <c r="N48" s="46" t="s">
        <v>32</v>
      </c>
      <c r="O48" s="31" t="n">
        <v>2.6</v>
      </c>
      <c r="P48" s="31" t="n">
        <v>1.6</v>
      </c>
      <c r="Q48" s="31" t="n">
        <v>2.9</v>
      </c>
      <c r="R48" s="31" t="n">
        <v>3.7</v>
      </c>
      <c r="S48" s="31" t="n">
        <v>2.1</v>
      </c>
      <c r="T48" s="31" t="n">
        <v>4.7</v>
      </c>
      <c r="U48" s="31" t="n">
        <v>3.2</v>
      </c>
      <c r="V48" s="32" t="n">
        <v>2.5</v>
      </c>
      <c r="W48" s="45" t="n">
        <v>2.9</v>
      </c>
      <c r="X48" s="53"/>
      <c r="Y48" s="45"/>
      <c r="AA48" s="46" t="s">
        <v>32</v>
      </c>
      <c r="AB48" s="31" t="n">
        <v>17.4</v>
      </c>
      <c r="AC48" s="31" t="n">
        <v>16.2</v>
      </c>
      <c r="AD48" s="31" t="n">
        <v>15.4</v>
      </c>
      <c r="AE48" s="31" t="n">
        <v>16.8</v>
      </c>
      <c r="AF48" s="31" t="n">
        <v>15.6</v>
      </c>
      <c r="AG48" s="31" t="n">
        <v>17.0</v>
      </c>
      <c r="AH48" s="31" t="n">
        <v>21.3</v>
      </c>
      <c r="AI48" s="32" t="n">
        <v>16.3</v>
      </c>
      <c r="AJ48" s="45" t="n">
        <v>17.2</v>
      </c>
      <c r="AK48" s="53"/>
      <c r="AL48" s="45"/>
    </row>
    <row customFormat="1" r="49" s="5" spans="1:38" x14ac:dyDescent="0.2">
      <c r="A49" s="46" t="s">
        <v>33</v>
      </c>
      <c r="B49" s="31" t="n">
        <v>1.0</v>
      </c>
      <c r="C49" s="31" t="n">
        <v>1.0</v>
      </c>
      <c r="D49" s="31" t="n">
        <v>1.0</v>
      </c>
      <c r="E49" s="31" t="n">
        <v>1.4</v>
      </c>
      <c r="F49" s="31" t="n">
        <v>1.1</v>
      </c>
      <c r="G49" s="31" t="n">
        <v>2.0</v>
      </c>
      <c r="H49" s="31" t="n">
        <v>2.0</v>
      </c>
      <c r="I49" s="32" t="n">
        <v>1.1</v>
      </c>
      <c r="J49" s="45" t="n">
        <v>1.4</v>
      </c>
      <c r="K49" s="53"/>
      <c r="L49" s="45"/>
      <c r="N49" s="46" t="s">
        <v>33</v>
      </c>
      <c r="O49" s="31" t="n">
        <v>2.4</v>
      </c>
      <c r="P49" s="31" t="n">
        <v>1.0</v>
      </c>
      <c r="Q49" s="31" t="n">
        <v>2.4</v>
      </c>
      <c r="R49" s="31" t="n">
        <v>2.9</v>
      </c>
      <c r="S49" s="31" t="n">
        <v>1.5</v>
      </c>
      <c r="T49" s="31" t="n">
        <v>4.1</v>
      </c>
      <c r="U49" s="31" t="n">
        <v>1.9</v>
      </c>
      <c r="V49" s="32" t="n">
        <v>2.0</v>
      </c>
      <c r="W49" s="45" t="n">
        <v>2.3</v>
      </c>
      <c r="X49" s="53"/>
      <c r="Y49" s="45"/>
      <c r="AA49" s="46" t="s">
        <v>33</v>
      </c>
      <c r="AB49" s="31" t="n">
        <v>16.3</v>
      </c>
      <c r="AC49" s="31" t="n">
        <v>15.3</v>
      </c>
      <c r="AD49" s="31" t="n">
        <v>15.0</v>
      </c>
      <c r="AE49" s="31" t="n">
        <v>15.6</v>
      </c>
      <c r="AF49" s="31" t="n">
        <v>15.1</v>
      </c>
      <c r="AG49" s="31" t="n">
        <v>15.7</v>
      </c>
      <c r="AH49" s="31" t="n">
        <v>18.2</v>
      </c>
      <c r="AI49" s="32" t="n">
        <v>15.5</v>
      </c>
      <c r="AJ49" s="45" t="n">
        <v>15.9</v>
      </c>
      <c r="AK49" s="53"/>
      <c r="AL49" s="45"/>
    </row>
    <row customFormat="1" r="50" s="5" spans="1:38" x14ac:dyDescent="0.2">
      <c r="A50" s="46" t="s">
        <v>34</v>
      </c>
      <c r="B50" s="31" t="n">
        <v>0.9</v>
      </c>
      <c r="C50" s="31" t="n">
        <v>1.1</v>
      </c>
      <c r="D50" s="31" t="n">
        <v>1.0</v>
      </c>
      <c r="E50" s="31" t="n">
        <v>0.8</v>
      </c>
      <c r="F50" s="31" t="n">
        <v>0.6</v>
      </c>
      <c r="G50" s="31" t="n">
        <v>0.9</v>
      </c>
      <c r="H50" s="31" t="n">
        <v>2.2</v>
      </c>
      <c r="I50" s="32" t="n">
        <v>0.9</v>
      </c>
      <c r="J50" s="45" t="n">
        <v>1.1</v>
      </c>
      <c r="K50" s="53"/>
      <c r="L50" s="45"/>
      <c r="N50" s="46" t="s">
        <v>34</v>
      </c>
      <c r="O50" s="31" t="n">
        <v>1.4</v>
      </c>
      <c r="P50" s="31" t="n">
        <v>1.9</v>
      </c>
      <c r="Q50" s="31" t="n">
        <v>1.1</v>
      </c>
      <c r="R50" s="31" t="n">
        <v>1.7</v>
      </c>
      <c r="S50" s="31" t="n">
        <v>1.7</v>
      </c>
      <c r="T50" s="31" t="n">
        <v>3.9</v>
      </c>
      <c r="U50" s="31" t="n">
        <v>2.4</v>
      </c>
      <c r="V50" s="32" t="n">
        <v>1.6</v>
      </c>
      <c r="W50" s="45" t="n">
        <v>2.0</v>
      </c>
      <c r="X50" s="53"/>
      <c r="Y50" s="45"/>
      <c r="AA50" s="46" t="s">
        <v>34</v>
      </c>
      <c r="AB50" s="31" t="n">
        <v>13.7</v>
      </c>
      <c r="AC50" s="31" t="n">
        <v>13.5</v>
      </c>
      <c r="AD50" s="31" t="n">
        <v>12.7</v>
      </c>
      <c r="AE50" s="31" t="n">
        <v>12.5</v>
      </c>
      <c r="AF50" s="31" t="n">
        <v>13.9</v>
      </c>
      <c r="AG50" s="31" t="n">
        <v>12.9</v>
      </c>
      <c r="AH50" s="31" t="n">
        <v>13.5</v>
      </c>
      <c r="AI50" s="32" t="n">
        <v>13.3</v>
      </c>
      <c r="AJ50" s="45" t="n">
        <v>13.3</v>
      </c>
      <c r="AK50" s="53"/>
      <c r="AL50" s="45"/>
    </row>
    <row customFormat="1" r="51" s="5" spans="1:38" x14ac:dyDescent="0.2">
      <c r="A51" s="46" t="s">
        <v>35</v>
      </c>
      <c r="B51" s="31" t="n">
        <v>0.3</v>
      </c>
      <c r="C51" s="31" t="n">
        <v>0.6</v>
      </c>
      <c r="D51" s="31" t="n">
        <v>0.7</v>
      </c>
      <c r="E51" s="31" t="n">
        <v>0.4</v>
      </c>
      <c r="F51" s="31" t="n">
        <v>0.9</v>
      </c>
      <c r="G51" s="31" t="n">
        <v>0.4</v>
      </c>
      <c r="H51" s="31" t="n">
        <v>0.9</v>
      </c>
      <c r="I51" s="32" t="n">
        <v>0.6</v>
      </c>
      <c r="J51" s="45" t="n">
        <v>0.6</v>
      </c>
      <c r="K51" s="53"/>
      <c r="L51" s="45"/>
      <c r="N51" s="46" t="s">
        <v>35</v>
      </c>
      <c r="O51" s="31" t="n">
        <v>0.9</v>
      </c>
      <c r="P51" s="31" t="n">
        <v>0.8</v>
      </c>
      <c r="Q51" s="31" t="n">
        <v>0.8</v>
      </c>
      <c r="R51" s="31" t="n">
        <v>1.1</v>
      </c>
      <c r="S51" s="31" t="n">
        <v>1.4</v>
      </c>
      <c r="T51" s="31" t="n">
        <v>1.8</v>
      </c>
      <c r="U51" s="31" t="n">
        <v>1.3</v>
      </c>
      <c r="V51" s="32" t="n">
        <v>1.0</v>
      </c>
      <c r="W51" s="45" t="n">
        <v>1.1</v>
      </c>
      <c r="X51" s="53"/>
      <c r="Y51" s="45"/>
      <c r="AA51" s="46" t="s">
        <v>35</v>
      </c>
      <c r="AB51" s="31" t="n">
        <v>8.4</v>
      </c>
      <c r="AC51" s="31" t="n">
        <v>8.1</v>
      </c>
      <c r="AD51" s="31" t="n">
        <v>7.9</v>
      </c>
      <c r="AE51" s="31" t="n">
        <v>9.0</v>
      </c>
      <c r="AF51" s="31" t="n">
        <v>9.5</v>
      </c>
      <c r="AG51" s="31" t="n">
        <v>8.5</v>
      </c>
      <c r="AH51" s="31" t="n">
        <v>8.4</v>
      </c>
      <c r="AI51" s="32" t="n">
        <v>8.6</v>
      </c>
      <c r="AJ51" s="45" t="n">
        <v>8.5</v>
      </c>
      <c r="AK51" s="53"/>
      <c r="AL51" s="45"/>
    </row>
    <row customFormat="1" r="52" s="5" spans="1:38" x14ac:dyDescent="0.2">
      <c r="A52" s="46" t="s">
        <v>36</v>
      </c>
      <c r="B52" s="31" t="n">
        <v>0.2</v>
      </c>
      <c r="C52" s="31" t="n">
        <v>0.3</v>
      </c>
      <c r="D52" s="31" t="n">
        <v>0.3</v>
      </c>
      <c r="E52" s="31" t="n">
        <v>0.3</v>
      </c>
      <c r="F52" s="31" t="n">
        <v>0.3</v>
      </c>
      <c r="G52" s="31" t="n">
        <v>0.3</v>
      </c>
      <c r="H52" s="31" t="n">
        <v>0.6</v>
      </c>
      <c r="I52" s="32" t="n">
        <v>0.3</v>
      </c>
      <c r="J52" s="45" t="n">
        <v>0.3</v>
      </c>
      <c r="K52" s="53"/>
      <c r="L52" s="45"/>
      <c r="N52" s="46" t="s">
        <v>36</v>
      </c>
      <c r="O52" s="31" t="n">
        <v>0.6</v>
      </c>
      <c r="P52" s="31" t="n">
        <v>0.6</v>
      </c>
      <c r="Q52" s="31" t="n">
        <v>0.5</v>
      </c>
      <c r="R52" s="31" t="n">
        <v>0.6</v>
      </c>
      <c r="S52" s="31" t="n">
        <v>0.7</v>
      </c>
      <c r="T52" s="31" t="n">
        <v>0.9</v>
      </c>
      <c r="U52" s="31" t="n">
        <v>0.8</v>
      </c>
      <c r="V52" s="32" t="n">
        <v>0.6</v>
      </c>
      <c r="W52" s="45" t="n">
        <v>0.7</v>
      </c>
      <c r="X52" s="53"/>
      <c r="Y52" s="45"/>
      <c r="AA52" s="46" t="s">
        <v>36</v>
      </c>
      <c r="AB52" s="31" t="n">
        <v>4.8</v>
      </c>
      <c r="AC52" s="31" t="n">
        <v>4.9</v>
      </c>
      <c r="AD52" s="31" t="n">
        <v>4.6</v>
      </c>
      <c r="AE52" s="31" t="n">
        <v>5.9</v>
      </c>
      <c r="AF52" s="31" t="n">
        <v>5.6</v>
      </c>
      <c r="AG52" s="31" t="n">
        <v>5.7</v>
      </c>
      <c r="AH52" s="31" t="n">
        <v>5.0</v>
      </c>
      <c r="AI52" s="32" t="n">
        <v>5.1</v>
      </c>
      <c r="AJ52" s="45" t="n">
        <v>5.2</v>
      </c>
      <c r="AK52" s="53"/>
      <c r="AL52" s="45"/>
    </row>
    <row customFormat="1" r="53" s="5" spans="1:38" x14ac:dyDescent="0.2">
      <c r="A53" s="46" t="s">
        <v>37</v>
      </c>
      <c r="B53" s="31" t="n">
        <v>0.1</v>
      </c>
      <c r="C53" s="31" t="n">
        <v>0.2</v>
      </c>
      <c r="D53" s="31" t="n">
        <v>0.2</v>
      </c>
      <c r="E53" s="31" t="n">
        <v>0.1</v>
      </c>
      <c r="F53" s="31" t="n">
        <v>0.1</v>
      </c>
      <c r="G53" s="31" t="n">
        <v>0.4</v>
      </c>
      <c r="H53" s="31" t="n">
        <v>0.5</v>
      </c>
      <c r="I53" s="32" t="n">
        <v>0.1</v>
      </c>
      <c r="J53" s="45" t="n">
        <v>0.2</v>
      </c>
      <c r="K53" s="53"/>
      <c r="L53" s="45"/>
      <c r="N53" s="46" t="s">
        <v>37</v>
      </c>
      <c r="O53" s="31" t="n">
        <v>0.4</v>
      </c>
      <c r="P53" s="31" t="n">
        <v>0.4</v>
      </c>
      <c r="Q53" s="31" t="n">
        <v>0.2</v>
      </c>
      <c r="R53" s="31" t="n">
        <v>0.3</v>
      </c>
      <c r="S53" s="31" t="n">
        <v>0.4</v>
      </c>
      <c r="T53" s="31" t="n">
        <v>0.5</v>
      </c>
      <c r="U53" s="31" t="n">
        <v>0.5</v>
      </c>
      <c r="V53" s="32" t="n">
        <v>0.3</v>
      </c>
      <c r="W53" s="45" t="n">
        <v>0.4</v>
      </c>
      <c r="X53" s="53"/>
      <c r="Y53" s="45"/>
      <c r="AA53" s="46" t="s">
        <v>37</v>
      </c>
      <c r="AB53" s="31" t="n">
        <v>2.6</v>
      </c>
      <c r="AC53" s="31" t="n">
        <v>2.7</v>
      </c>
      <c r="AD53" s="31" t="n">
        <v>2.7</v>
      </c>
      <c r="AE53" s="31" t="n">
        <v>2.8</v>
      </c>
      <c r="AF53" s="31" t="n">
        <v>3.0</v>
      </c>
      <c r="AG53" s="31" t="n">
        <v>3.7</v>
      </c>
      <c r="AH53" s="31" t="n">
        <v>2.9</v>
      </c>
      <c r="AI53" s="32" t="n">
        <v>2.7</v>
      </c>
      <c r="AJ53" s="45" t="n">
        <v>2.9</v>
      </c>
      <c r="AK53" s="53"/>
      <c r="AL53" s="45"/>
    </row>
    <row customFormat="1" r="54" s="5" spans="1:38" x14ac:dyDescent="0.2">
      <c r="A54" s="46" t="s">
        <v>38</v>
      </c>
      <c r="B54" s="31" t="n">
        <v>0.1</v>
      </c>
      <c r="C54" s="31" t="n">
        <v>0.1</v>
      </c>
      <c r="D54" s="31" t="n">
        <v>0.1</v>
      </c>
      <c r="E54" s="31" t="n">
        <v>0.0</v>
      </c>
      <c r="F54" s="31" t="n">
        <v>0.0</v>
      </c>
      <c r="G54" s="31" t="n">
        <v>0.3</v>
      </c>
      <c r="H54" s="31" t="n">
        <v>0.3</v>
      </c>
      <c r="I54" s="32" t="n">
        <v>0.1</v>
      </c>
      <c r="J54" s="45" t="n">
        <v>0.1</v>
      </c>
      <c r="K54" s="53"/>
      <c r="L54" s="45"/>
      <c r="N54" s="46" t="s">
        <v>38</v>
      </c>
      <c r="O54" s="31" t="n">
        <v>0.3</v>
      </c>
      <c r="P54" s="31" t="n">
        <v>0.3</v>
      </c>
      <c r="Q54" s="31" t="n">
        <v>0.2</v>
      </c>
      <c r="R54" s="31" t="n">
        <v>0.2</v>
      </c>
      <c r="S54" s="31" t="n">
        <v>0.3</v>
      </c>
      <c r="T54" s="31" t="n">
        <v>0.3</v>
      </c>
      <c r="U54" s="31" t="n">
        <v>0.3</v>
      </c>
      <c r="V54" s="32" t="n">
        <v>0.2</v>
      </c>
      <c r="W54" s="45" t="n">
        <v>0.3</v>
      </c>
      <c r="X54" s="53"/>
      <c r="Y54" s="45"/>
      <c r="AA54" s="46" t="s">
        <v>38</v>
      </c>
      <c r="AB54" s="31" t="n">
        <v>1.7</v>
      </c>
      <c r="AC54" s="31" t="n">
        <v>1.7</v>
      </c>
      <c r="AD54" s="31" t="n">
        <v>1.7</v>
      </c>
      <c r="AE54" s="31" t="n">
        <v>1.7</v>
      </c>
      <c r="AF54" s="31" t="n">
        <v>1.8</v>
      </c>
      <c r="AG54" s="31" t="n">
        <v>2.6</v>
      </c>
      <c r="AH54" s="31" t="n">
        <v>1.7</v>
      </c>
      <c r="AI54" s="32" t="n">
        <v>1.7</v>
      </c>
      <c r="AJ54" s="45" t="n">
        <v>1.8</v>
      </c>
      <c r="AK54" s="53"/>
      <c r="AL54" s="45"/>
    </row>
    <row customFormat="1" r="55" s="5" spans="1:38" x14ac:dyDescent="0.2">
      <c r="A55" s="46" t="s">
        <v>39</v>
      </c>
      <c r="B55" s="31" t="n">
        <v>0.1</v>
      </c>
      <c r="C55" s="31" t="n">
        <v>0.1</v>
      </c>
      <c r="D55" s="31" t="n">
        <v>0.1</v>
      </c>
      <c r="E55" s="31" t="n">
        <v>0.1</v>
      </c>
      <c r="F55" s="31" t="n">
        <v>0.0</v>
      </c>
      <c r="G55" s="31" t="n">
        <v>0.2</v>
      </c>
      <c r="H55" s="31" t="n">
        <v>0.2</v>
      </c>
      <c r="I55" s="32" t="n">
        <v>0.1</v>
      </c>
      <c r="J55" s="45" t="n">
        <v>0.1</v>
      </c>
      <c r="K55" s="53"/>
      <c r="L55" s="45"/>
      <c r="N55" s="46" t="s">
        <v>39</v>
      </c>
      <c r="O55" s="31" t="n">
        <v>0.2</v>
      </c>
      <c r="P55" s="31" t="n">
        <v>0.2</v>
      </c>
      <c r="Q55" s="31" t="n">
        <v>0.2</v>
      </c>
      <c r="R55" s="31" t="n">
        <v>0.1</v>
      </c>
      <c r="S55" s="31" t="n">
        <v>0.2</v>
      </c>
      <c r="T55" s="31" t="n">
        <v>0.3</v>
      </c>
      <c r="U55" s="31" t="n">
        <v>0.2</v>
      </c>
      <c r="V55" s="32" t="n">
        <v>0.2</v>
      </c>
      <c r="W55" s="45" t="n">
        <v>0.2</v>
      </c>
      <c r="X55" s="53"/>
      <c r="Y55" s="45"/>
      <c r="AA55" s="46" t="s">
        <v>39</v>
      </c>
      <c r="AB55" s="31" t="n">
        <v>1.3</v>
      </c>
      <c r="AC55" s="31" t="n">
        <v>1.3</v>
      </c>
      <c r="AD55" s="31" t="n">
        <v>1.3</v>
      </c>
      <c r="AE55" s="31" t="n">
        <v>1.2</v>
      </c>
      <c r="AF55" s="31" t="n">
        <v>1.4</v>
      </c>
      <c r="AG55" s="31" t="n">
        <v>1.9</v>
      </c>
      <c r="AH55" s="31" t="n">
        <v>1.0</v>
      </c>
      <c r="AI55" s="32" t="n">
        <v>1.3</v>
      </c>
      <c r="AJ55" s="45" t="n">
        <v>1.3</v>
      </c>
      <c r="AK55" s="53"/>
      <c r="AL55" s="45"/>
    </row>
    <row customFormat="1" r="56" s="5" spans="1:38" x14ac:dyDescent="0.2">
      <c r="A56" s="47" t="s">
        <v>40</v>
      </c>
      <c r="B56" s="48" t="n">
        <v>0.0</v>
      </c>
      <c r="C56" s="48" t="n">
        <v>0.1</v>
      </c>
      <c r="D56" s="48" t="n">
        <v>0.1</v>
      </c>
      <c r="E56" s="48" t="n">
        <v>0.1</v>
      </c>
      <c r="F56" s="48" t="n">
        <v>0.0</v>
      </c>
      <c r="G56" s="48" t="n">
        <v>0.0</v>
      </c>
      <c r="H56" s="48" t="n">
        <v>0.2</v>
      </c>
      <c r="I56" s="49" t="n">
        <v>0.0</v>
      </c>
      <c r="J56" s="50" t="n">
        <v>0.1</v>
      </c>
      <c r="K56" s="54"/>
      <c r="L56" s="50"/>
      <c r="N56" s="47" t="s">
        <v>40</v>
      </c>
      <c r="O56" s="48" t="n">
        <v>0.2</v>
      </c>
      <c r="P56" s="48" t="n">
        <v>0.3</v>
      </c>
      <c r="Q56" s="48" t="n">
        <v>0.3</v>
      </c>
      <c r="R56" s="48" t="n">
        <v>0.1</v>
      </c>
      <c r="S56" s="48" t="n">
        <v>0.2</v>
      </c>
      <c r="T56" s="48" t="n">
        <v>0.2</v>
      </c>
      <c r="U56" s="48" t="n">
        <v>0.3</v>
      </c>
      <c r="V56" s="49" t="n">
        <v>0.2</v>
      </c>
      <c r="W56" s="50" t="n">
        <v>0.2</v>
      </c>
      <c r="X56" s="54"/>
      <c r="Y56" s="50"/>
      <c r="AA56" s="47" t="s">
        <v>40</v>
      </c>
      <c r="AB56" s="48" t="n">
        <v>1.2</v>
      </c>
      <c r="AC56" s="48" t="n">
        <v>1.5</v>
      </c>
      <c r="AD56" s="48" t="n">
        <v>1.4</v>
      </c>
      <c r="AE56" s="48" t="n">
        <v>1.2</v>
      </c>
      <c r="AF56" s="48" t="n">
        <v>1.1</v>
      </c>
      <c r="AG56" s="48" t="n">
        <v>1.1</v>
      </c>
      <c r="AH56" s="48" t="n">
        <v>1.0</v>
      </c>
      <c r="AI56" s="49" t="n">
        <v>1.3</v>
      </c>
      <c r="AJ56" s="50" t="n">
        <v>1.2</v>
      </c>
      <c r="AK56" s="54"/>
      <c r="AL56" s="50"/>
    </row>
    <row customFormat="1" r="57" s="5" spans="1:38" x14ac:dyDescent="0.2"/>
    <row customFormat="1" r="58" s="5" spans="1:38" x14ac:dyDescent="0.2">
      <c r="A58" s="55" t="s">
        <v>883</v>
      </c>
      <c r="B58" s="56" t="s">
        <v>4</v>
      </c>
      <c r="C58" s="56" t="s">
        <v>5</v>
      </c>
      <c r="D58" s="56" t="s">
        <v>6</v>
      </c>
      <c r="E58" s="56" t="s">
        <v>7</v>
      </c>
      <c r="F58" s="56" t="s">
        <v>8</v>
      </c>
      <c r="G58" s="56" t="s">
        <v>9</v>
      </c>
      <c r="H58" s="56" t="s">
        <v>10</v>
      </c>
      <c r="I58" s="57" t="s">
        <v>11</v>
      </c>
      <c r="J58" s="58" t="s">
        <v>12</v>
      </c>
      <c r="K58" s="2"/>
      <c r="L58" s="2"/>
      <c r="N58" s="55" t="s">
        <v>884</v>
      </c>
      <c r="O58" s="56" t="s">
        <v>4</v>
      </c>
      <c r="P58" s="56" t="s">
        <v>5</v>
      </c>
      <c r="Q58" s="56" t="s">
        <v>6</v>
      </c>
      <c r="R58" s="56" t="s">
        <v>7</v>
      </c>
      <c r="S58" s="56" t="s">
        <v>8</v>
      </c>
      <c r="T58" s="56" t="s">
        <v>9</v>
      </c>
      <c r="U58" s="56" t="s">
        <v>10</v>
      </c>
      <c r="V58" s="57" t="s">
        <v>11</v>
      </c>
      <c r="W58" s="58" t="s">
        <v>12</v>
      </c>
      <c r="X58" s="2"/>
      <c r="Y58" s="2"/>
      <c r="AA58" s="24"/>
      <c r="AB58" s="11"/>
      <c r="AC58" s="11"/>
      <c r="AD58" s="11"/>
      <c r="AE58" s="11"/>
      <c r="AF58" s="11"/>
      <c r="AG58" s="11"/>
      <c r="AH58" s="11"/>
      <c r="AI58" s="2"/>
      <c r="AJ58" s="2"/>
      <c r="AK58" s="2"/>
      <c r="AL58" s="2"/>
    </row>
    <row customFormat="1" r="59" s="5" spans="1:38" x14ac:dyDescent="0.2">
      <c r="A59" s="44" t="s">
        <v>16</v>
      </c>
      <c r="B59" s="31" t="n">
        <v>3.2</v>
      </c>
      <c r="C59" s="31" t="n">
        <v>3.3</v>
      </c>
      <c r="D59" s="31" t="n">
        <v>3.3</v>
      </c>
      <c r="E59" s="31" t="n">
        <v>3.4</v>
      </c>
      <c r="F59" s="31" t="n">
        <v>2.9</v>
      </c>
      <c r="G59" s="31" t="n">
        <v>1.8</v>
      </c>
      <c r="H59" s="31" t="n">
        <v>1.5</v>
      </c>
      <c r="I59" s="32" t="n">
        <v>3.2</v>
      </c>
      <c r="J59" s="45" t="n">
        <v>2.8</v>
      </c>
      <c r="K59" s="6"/>
      <c r="L59" s="6"/>
      <c r="N59" s="44" t="s">
        <v>16</v>
      </c>
      <c r="O59" s="31" t="n">
        <v>3.1</v>
      </c>
      <c r="P59" s="31" t="n">
        <v>3.2</v>
      </c>
      <c r="Q59" s="31" t="n">
        <v>3.2</v>
      </c>
      <c r="R59" s="31" t="n">
        <v>3.3</v>
      </c>
      <c r="S59" s="31" t="n">
        <v>2.9</v>
      </c>
      <c r="T59" s="31" t="n">
        <v>1.8</v>
      </c>
      <c r="U59" s="31" t="n">
        <v>1.4</v>
      </c>
      <c r="V59" s="32" t="n">
        <v>3.1</v>
      </c>
      <c r="W59" s="45" t="n">
        <v>2.7</v>
      </c>
      <c r="X59" s="6"/>
      <c r="Y59" s="6"/>
      <c r="AA59" s="9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customFormat="1" r="60" s="5" spans="1:38" x14ac:dyDescent="0.2">
      <c r="A60" s="46" t="s">
        <v>17</v>
      </c>
      <c r="B60" s="31" t="n">
        <v>10.3</v>
      </c>
      <c r="C60" s="31" t="n">
        <v>10.3</v>
      </c>
      <c r="D60" s="31" t="n">
        <v>10.4</v>
      </c>
      <c r="E60" s="31" t="n">
        <v>10.8</v>
      </c>
      <c r="F60" s="31" t="n">
        <v>9.0</v>
      </c>
      <c r="G60" s="31" t="n">
        <v>4.9</v>
      </c>
      <c r="H60" s="31" t="n">
        <v>3.9</v>
      </c>
      <c r="I60" s="32" t="n">
        <v>10.2</v>
      </c>
      <c r="J60" s="45" t="n">
        <v>8.5</v>
      </c>
      <c r="K60" s="6"/>
      <c r="L60" s="6"/>
      <c r="N60" s="46" t="s">
        <v>17</v>
      </c>
      <c r="O60" s="31" t="n">
        <v>9.9</v>
      </c>
      <c r="P60" s="31" t="n">
        <v>10.0</v>
      </c>
      <c r="Q60" s="31" t="n">
        <v>10.1</v>
      </c>
      <c r="R60" s="31" t="n">
        <v>10.5</v>
      </c>
      <c r="S60" s="31" t="n">
        <v>8.7</v>
      </c>
      <c r="T60" s="31" t="n">
        <v>4.9</v>
      </c>
      <c r="U60" s="31" t="n">
        <v>3.8</v>
      </c>
      <c r="V60" s="32" t="n">
        <v>9.9</v>
      </c>
      <c r="W60" s="45" t="n">
        <v>8.2</v>
      </c>
      <c r="X60" s="6"/>
      <c r="Y60" s="6"/>
      <c r="AA60" s="9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customFormat="1" r="61" s="5" spans="1:38" x14ac:dyDescent="0.2">
      <c r="A61" s="46" t="s">
        <v>18</v>
      </c>
      <c r="B61" s="31" t="n">
        <v>14.5</v>
      </c>
      <c r="C61" s="31" t="n">
        <v>14.8</v>
      </c>
      <c r="D61" s="31" t="n">
        <v>14.9</v>
      </c>
      <c r="E61" s="31" t="n">
        <v>15.1</v>
      </c>
      <c r="F61" s="31" t="n">
        <v>13.1</v>
      </c>
      <c r="G61" s="31" t="n">
        <v>8.3</v>
      </c>
      <c r="H61" s="31" t="n">
        <v>7.4</v>
      </c>
      <c r="I61" s="32" t="n">
        <v>14.5</v>
      </c>
      <c r="J61" s="45" t="n">
        <v>12.5</v>
      </c>
      <c r="K61" s="6"/>
      <c r="L61" s="6"/>
      <c r="N61" s="46" t="s">
        <v>18</v>
      </c>
      <c r="O61" s="31" t="n">
        <v>14.2</v>
      </c>
      <c r="P61" s="31" t="n">
        <v>14.5</v>
      </c>
      <c r="Q61" s="31" t="n">
        <v>14.6</v>
      </c>
      <c r="R61" s="31" t="n">
        <v>14.8</v>
      </c>
      <c r="S61" s="31" t="n">
        <v>12.8</v>
      </c>
      <c r="T61" s="31" t="n">
        <v>8.1</v>
      </c>
      <c r="U61" s="31" t="n">
        <v>6.9</v>
      </c>
      <c r="V61" s="32" t="n">
        <v>14.2</v>
      </c>
      <c r="W61" s="45" t="n">
        <v>12.2</v>
      </c>
      <c r="X61" s="6"/>
      <c r="Y61" s="6"/>
      <c r="AA61" s="9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customFormat="1" r="62" s="5" spans="1:38" x14ac:dyDescent="0.2">
      <c r="A62" s="46" t="s">
        <v>19</v>
      </c>
      <c r="B62" s="31" t="n">
        <v>9.1</v>
      </c>
      <c r="C62" s="31" t="n">
        <v>9.3</v>
      </c>
      <c r="D62" s="31" t="n">
        <v>9.6</v>
      </c>
      <c r="E62" s="31" t="n">
        <v>9.5</v>
      </c>
      <c r="F62" s="31" t="n">
        <v>9.2</v>
      </c>
      <c r="G62" s="31" t="n">
        <v>8.9</v>
      </c>
      <c r="H62" s="31" t="n">
        <v>10.1</v>
      </c>
      <c r="I62" s="32" t="n">
        <v>9.3</v>
      </c>
      <c r="J62" s="45" t="n">
        <v>9.4</v>
      </c>
      <c r="K62" s="6"/>
      <c r="L62" s="6"/>
      <c r="N62" s="46" t="s">
        <v>19</v>
      </c>
      <c r="O62" s="31" t="n">
        <v>8.8</v>
      </c>
      <c r="P62" s="31" t="n">
        <v>9.1</v>
      </c>
      <c r="Q62" s="31" t="n">
        <v>9.4</v>
      </c>
      <c r="R62" s="31" t="n">
        <v>9.3</v>
      </c>
      <c r="S62" s="31" t="n">
        <v>9.0</v>
      </c>
      <c r="T62" s="31" t="n">
        <v>8.6</v>
      </c>
      <c r="U62" s="31" t="n">
        <v>8.9</v>
      </c>
      <c r="V62" s="32" t="n">
        <v>9.1</v>
      </c>
      <c r="W62" s="45" t="n">
        <v>9.0</v>
      </c>
      <c r="X62" s="6"/>
      <c r="Y62" s="6"/>
      <c r="AA62" s="9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customFormat="1" r="63" s="5" spans="1:38" x14ac:dyDescent="0.2">
      <c r="A63" s="46" t="s">
        <v>20</v>
      </c>
      <c r="B63" s="31" t="n">
        <v>5.6</v>
      </c>
      <c r="C63" s="31" t="n">
        <v>5.8</v>
      </c>
      <c r="D63" s="31" t="n">
        <v>5.8</v>
      </c>
      <c r="E63" s="31" t="n">
        <v>6.0</v>
      </c>
      <c r="F63" s="31" t="n">
        <v>6.3</v>
      </c>
      <c r="G63" s="31" t="n">
        <v>8.3</v>
      </c>
      <c r="H63" s="31" t="n">
        <v>9.3</v>
      </c>
      <c r="I63" s="32" t="n">
        <v>5.9</v>
      </c>
      <c r="J63" s="45" t="n">
        <v>6.7</v>
      </c>
      <c r="K63" s="6"/>
      <c r="L63" s="6"/>
      <c r="N63" s="46" t="s">
        <v>20</v>
      </c>
      <c r="O63" s="31" t="n">
        <v>5.5</v>
      </c>
      <c r="P63" s="31" t="n">
        <v>5.7</v>
      </c>
      <c r="Q63" s="31" t="n">
        <v>5.7</v>
      </c>
      <c r="R63" s="31" t="n">
        <v>6.0</v>
      </c>
      <c r="S63" s="31" t="n">
        <v>6.1</v>
      </c>
      <c r="T63" s="31" t="n">
        <v>7.6</v>
      </c>
      <c r="U63" s="31" t="n">
        <v>8.7</v>
      </c>
      <c r="V63" s="32" t="n">
        <v>5.8</v>
      </c>
      <c r="W63" s="45" t="n">
        <v>6.5</v>
      </c>
      <c r="X63" s="6"/>
      <c r="Y63" s="6"/>
      <c r="AA63" s="9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customFormat="1" r="64" s="5" spans="1:38" x14ac:dyDescent="0.2">
      <c r="A64" s="46" t="s">
        <v>21</v>
      </c>
      <c r="B64" s="31" t="n">
        <v>3.7</v>
      </c>
      <c r="C64" s="31" t="n">
        <v>3.9</v>
      </c>
      <c r="D64" s="31" t="n">
        <v>3.7</v>
      </c>
      <c r="E64" s="31" t="n">
        <v>3.6</v>
      </c>
      <c r="F64" s="31" t="n">
        <v>4.0</v>
      </c>
      <c r="G64" s="31" t="n">
        <v>6.3</v>
      </c>
      <c r="H64" s="31" t="n">
        <v>7.3</v>
      </c>
      <c r="I64" s="32" t="n">
        <v>3.8</v>
      </c>
      <c r="J64" s="45" t="n">
        <v>4.7</v>
      </c>
      <c r="K64" s="6"/>
      <c r="L64" s="6"/>
      <c r="N64" s="46" t="s">
        <v>21</v>
      </c>
      <c r="O64" s="31" t="n">
        <v>3.7</v>
      </c>
      <c r="P64" s="31" t="n">
        <v>3.8</v>
      </c>
      <c r="Q64" s="31" t="n">
        <v>3.7</v>
      </c>
      <c r="R64" s="31" t="n">
        <v>3.6</v>
      </c>
      <c r="S64" s="31" t="n">
        <v>3.9</v>
      </c>
      <c r="T64" s="31" t="n">
        <v>5.8</v>
      </c>
      <c r="U64" s="31" t="n">
        <v>7.1</v>
      </c>
      <c r="V64" s="32" t="n">
        <v>3.7</v>
      </c>
      <c r="W64" s="45" t="n">
        <v>4.5</v>
      </c>
      <c r="X64" s="6"/>
      <c r="Y64" s="6"/>
      <c r="AA64" s="9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customFormat="1" r="65" s="5" spans="1:38" x14ac:dyDescent="0.2">
      <c r="A65" s="46" t="s">
        <v>22</v>
      </c>
      <c r="B65" s="31" t="n">
        <v>3.0</v>
      </c>
      <c r="C65" s="31" t="n">
        <v>3.3</v>
      </c>
      <c r="D65" s="31" t="n">
        <v>2.9</v>
      </c>
      <c r="E65" s="31" t="n">
        <v>2.9</v>
      </c>
      <c r="F65" s="31" t="n">
        <v>3.5</v>
      </c>
      <c r="G65" s="31" t="n">
        <v>5.1</v>
      </c>
      <c r="H65" s="31" t="n">
        <v>6.0</v>
      </c>
      <c r="I65" s="32" t="n">
        <v>3.1</v>
      </c>
      <c r="J65" s="45" t="n">
        <v>3.8</v>
      </c>
      <c r="K65" s="6"/>
      <c r="L65" s="6"/>
      <c r="N65" s="46" t="s">
        <v>22</v>
      </c>
      <c r="O65" s="31" t="n">
        <v>2.9</v>
      </c>
      <c r="P65" s="31" t="n">
        <v>3.2</v>
      </c>
      <c r="Q65" s="31" t="n">
        <v>2.9</v>
      </c>
      <c r="R65" s="31" t="n">
        <v>2.9</v>
      </c>
      <c r="S65" s="31" t="n">
        <v>3.5</v>
      </c>
      <c r="T65" s="31" t="n">
        <v>4.7</v>
      </c>
      <c r="U65" s="31" t="n">
        <v>5.8</v>
      </c>
      <c r="V65" s="32" t="n">
        <v>3.1</v>
      </c>
      <c r="W65" s="45" t="n">
        <v>3.7</v>
      </c>
      <c r="X65" s="6"/>
      <c r="Y65" s="6"/>
      <c r="AA65" s="9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customFormat="1" r="66" s="5" spans="1:38" x14ac:dyDescent="0.2">
      <c r="A66" s="46" t="s">
        <v>23</v>
      </c>
      <c r="B66" s="31" t="n">
        <v>4.1</v>
      </c>
      <c r="C66" s="31" t="n">
        <v>4.0</v>
      </c>
      <c r="D66" s="31" t="n">
        <v>4.1</v>
      </c>
      <c r="E66" s="31" t="n">
        <v>3.9</v>
      </c>
      <c r="F66" s="31" t="n">
        <v>4.3</v>
      </c>
      <c r="G66" s="31" t="n">
        <v>5.2</v>
      </c>
      <c r="H66" s="31" t="n">
        <v>6.4</v>
      </c>
      <c r="I66" s="32" t="n">
        <v>4.1</v>
      </c>
      <c r="J66" s="45" t="n">
        <v>4.6</v>
      </c>
      <c r="K66" s="6"/>
      <c r="L66" s="6"/>
      <c r="N66" s="46" t="s">
        <v>23</v>
      </c>
      <c r="O66" s="31" t="n">
        <v>3.8</v>
      </c>
      <c r="P66" s="31" t="n">
        <v>3.8</v>
      </c>
      <c r="Q66" s="31" t="n">
        <v>3.9</v>
      </c>
      <c r="R66" s="31" t="n">
        <v>3.7</v>
      </c>
      <c r="S66" s="31" t="n">
        <v>4.0</v>
      </c>
      <c r="T66" s="31" t="n">
        <v>4.9</v>
      </c>
      <c r="U66" s="31" t="n">
        <v>6.1</v>
      </c>
      <c r="V66" s="32" t="n">
        <v>3.8</v>
      </c>
      <c r="W66" s="45" t="n">
        <v>4.3</v>
      </c>
      <c r="X66" s="6"/>
      <c r="Y66" s="6"/>
      <c r="AA66" s="9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customFormat="1" r="67" s="5" spans="1:38" x14ac:dyDescent="0.2">
      <c r="A67" s="46" t="s">
        <v>24</v>
      </c>
      <c r="B67" s="31" t="n">
        <v>3.7</v>
      </c>
      <c r="C67" s="31" t="n">
        <v>3.7</v>
      </c>
      <c r="D67" s="31" t="n">
        <v>3.5</v>
      </c>
      <c r="E67" s="31" t="n">
        <v>3.7</v>
      </c>
      <c r="F67" s="31" t="n">
        <v>4.0</v>
      </c>
      <c r="G67" s="31" t="n">
        <v>4.8</v>
      </c>
      <c r="H67" s="31" t="n">
        <v>5.7</v>
      </c>
      <c r="I67" s="32" t="n">
        <v>3.7</v>
      </c>
      <c r="J67" s="45" t="n">
        <v>4.2</v>
      </c>
      <c r="K67" s="6"/>
      <c r="L67" s="6"/>
      <c r="N67" s="46" t="s">
        <v>24</v>
      </c>
      <c r="O67" s="31" t="n">
        <v>3.5</v>
      </c>
      <c r="P67" s="31" t="n">
        <v>3.5</v>
      </c>
      <c r="Q67" s="31" t="n">
        <v>3.3</v>
      </c>
      <c r="R67" s="31" t="n">
        <v>3.5</v>
      </c>
      <c r="S67" s="31" t="n">
        <v>3.7</v>
      </c>
      <c r="T67" s="31" t="n">
        <v>4.6</v>
      </c>
      <c r="U67" s="31" t="n">
        <v>5.1</v>
      </c>
      <c r="V67" s="32" t="n">
        <v>3.5</v>
      </c>
      <c r="W67" s="45" t="n">
        <v>3.9</v>
      </c>
      <c r="X67" s="6"/>
      <c r="Y67" s="6"/>
      <c r="AA67" s="9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customFormat="1" r="68" s="5" spans="1:38" x14ac:dyDescent="0.2">
      <c r="A68" s="46" t="s">
        <v>25</v>
      </c>
      <c r="B68" s="31" t="n">
        <v>3.2</v>
      </c>
      <c r="C68" s="31" t="n">
        <v>3.1</v>
      </c>
      <c r="D68" s="31" t="n">
        <v>2.8</v>
      </c>
      <c r="E68" s="31" t="n">
        <v>3.0</v>
      </c>
      <c r="F68" s="31" t="n">
        <v>3.2</v>
      </c>
      <c r="G68" s="31" t="n">
        <v>3.6</v>
      </c>
      <c r="H68" s="31" t="n">
        <v>4.8</v>
      </c>
      <c r="I68" s="32" t="n">
        <v>3.1</v>
      </c>
      <c r="J68" s="45" t="n">
        <v>3.4</v>
      </c>
      <c r="K68" s="6"/>
      <c r="L68" s="6"/>
      <c r="N68" s="46" t="s">
        <v>25</v>
      </c>
      <c r="O68" s="31" t="n">
        <v>2.9</v>
      </c>
      <c r="P68" s="31" t="n">
        <v>2.9</v>
      </c>
      <c r="Q68" s="31" t="n">
        <v>2.7</v>
      </c>
      <c r="R68" s="31" t="n">
        <v>2.8</v>
      </c>
      <c r="S68" s="31" t="n">
        <v>2.9</v>
      </c>
      <c r="T68" s="31" t="n">
        <v>3.4</v>
      </c>
      <c r="U68" s="31" t="n">
        <v>4.3</v>
      </c>
      <c r="V68" s="32" t="n">
        <v>2.8</v>
      </c>
      <c r="W68" s="45" t="n">
        <v>3.2</v>
      </c>
      <c r="X68" s="6"/>
      <c r="Y68" s="6"/>
      <c r="AA68" s="9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customFormat="1" r="69" s="5" spans="1:38" x14ac:dyDescent="0.2">
      <c r="A69" s="46" t="s">
        <v>26</v>
      </c>
      <c r="B69" s="31" t="n">
        <v>2.9</v>
      </c>
      <c r="C69" s="31" t="n">
        <v>2.9</v>
      </c>
      <c r="D69" s="31" t="n">
        <v>2.8</v>
      </c>
      <c r="E69" s="31" t="n">
        <v>3.0</v>
      </c>
      <c r="F69" s="31" t="n">
        <v>2.9</v>
      </c>
      <c r="G69" s="31" t="n">
        <v>3.2</v>
      </c>
      <c r="H69" s="31" t="n">
        <v>4.5</v>
      </c>
      <c r="I69" s="32" t="n">
        <v>2.9</v>
      </c>
      <c r="J69" s="45" t="n">
        <v>3.2</v>
      </c>
      <c r="K69" s="6"/>
      <c r="L69" s="6"/>
      <c r="N69" s="46" t="s">
        <v>26</v>
      </c>
      <c r="O69" s="31" t="n">
        <v>2.7</v>
      </c>
      <c r="P69" s="31" t="n">
        <v>2.7</v>
      </c>
      <c r="Q69" s="31" t="n">
        <v>2.6</v>
      </c>
      <c r="R69" s="31" t="n">
        <v>2.8</v>
      </c>
      <c r="S69" s="31" t="n">
        <v>2.6</v>
      </c>
      <c r="T69" s="31" t="n">
        <v>2.8</v>
      </c>
      <c r="U69" s="31" t="n">
        <v>4.0</v>
      </c>
      <c r="V69" s="32" t="n">
        <v>2.7</v>
      </c>
      <c r="W69" s="45" t="n">
        <v>2.9</v>
      </c>
      <c r="X69" s="6"/>
      <c r="Y69" s="6"/>
      <c r="AA69" s="9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customFormat="1" r="70" s="5" spans="1:38" x14ac:dyDescent="0.2">
      <c r="A70" s="46" t="s">
        <v>27</v>
      </c>
      <c r="B70" s="31" t="n">
        <v>3.0</v>
      </c>
      <c r="C70" s="31" t="n">
        <v>3.2</v>
      </c>
      <c r="D70" s="31" t="n">
        <v>3.1</v>
      </c>
      <c r="E70" s="31" t="n">
        <v>3.2</v>
      </c>
      <c r="F70" s="31" t="n">
        <v>3.2</v>
      </c>
      <c r="G70" s="31" t="n">
        <v>3.6</v>
      </c>
      <c r="H70" s="31" t="n">
        <v>4.5</v>
      </c>
      <c r="I70" s="32" t="n">
        <v>3.1</v>
      </c>
      <c r="J70" s="45" t="n">
        <v>3.4</v>
      </c>
      <c r="K70" s="6"/>
      <c r="L70" s="6"/>
      <c r="N70" s="46" t="s">
        <v>27</v>
      </c>
      <c r="O70" s="31" t="n">
        <v>2.9</v>
      </c>
      <c r="P70" s="31" t="n">
        <v>3.1</v>
      </c>
      <c r="Q70" s="31" t="n">
        <v>3.0</v>
      </c>
      <c r="R70" s="31" t="n">
        <v>3.0</v>
      </c>
      <c r="S70" s="31" t="n">
        <v>3.1</v>
      </c>
      <c r="T70" s="31" t="n">
        <v>3.5</v>
      </c>
      <c r="U70" s="31" t="n">
        <v>4.1</v>
      </c>
      <c r="V70" s="32" t="n">
        <v>3.0</v>
      </c>
      <c r="W70" s="45" t="n">
        <v>3.3</v>
      </c>
      <c r="X70" s="6"/>
      <c r="Y70" s="6"/>
      <c r="AA70" s="9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customFormat="1" r="71" s="5" spans="1:38" x14ac:dyDescent="0.2">
      <c r="A71" s="46" t="s">
        <v>28</v>
      </c>
      <c r="B71" s="31" t="n">
        <v>4.1</v>
      </c>
      <c r="C71" s="31" t="n">
        <v>4.0</v>
      </c>
      <c r="D71" s="31" t="n">
        <v>4.2</v>
      </c>
      <c r="E71" s="31" t="n">
        <v>4.2</v>
      </c>
      <c r="F71" s="31" t="n">
        <v>4.5</v>
      </c>
      <c r="G71" s="31" t="n">
        <v>5.8</v>
      </c>
      <c r="H71" s="31" t="n">
        <v>6.3</v>
      </c>
      <c r="I71" s="32" t="n">
        <v>4.2</v>
      </c>
      <c r="J71" s="45" t="n">
        <v>4.7</v>
      </c>
      <c r="K71" s="6"/>
      <c r="L71" s="6"/>
      <c r="N71" s="46" t="s">
        <v>28</v>
      </c>
      <c r="O71" s="31" t="n">
        <v>3.8</v>
      </c>
      <c r="P71" s="31" t="n">
        <v>3.8</v>
      </c>
      <c r="Q71" s="31" t="n">
        <v>3.9</v>
      </c>
      <c r="R71" s="31" t="n">
        <v>3.9</v>
      </c>
      <c r="S71" s="31" t="n">
        <v>4.3</v>
      </c>
      <c r="T71" s="31" t="n">
        <v>5.6</v>
      </c>
      <c r="U71" s="31" t="n">
        <v>6.0</v>
      </c>
      <c r="V71" s="32" t="n">
        <v>3.9</v>
      </c>
      <c r="W71" s="45" t="n">
        <v>4.5</v>
      </c>
      <c r="X71" s="6"/>
      <c r="Y71" s="6"/>
      <c r="AA71" s="9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customFormat="1" r="72" s="5" spans="1:38" x14ac:dyDescent="0.2">
      <c r="A72" s="46" t="s">
        <v>29</v>
      </c>
      <c r="B72" s="31" t="n">
        <v>8.2</v>
      </c>
      <c r="C72" s="31" t="n">
        <v>7.7</v>
      </c>
      <c r="D72" s="31" t="n">
        <v>7.9</v>
      </c>
      <c r="E72" s="31" t="n">
        <v>7.9</v>
      </c>
      <c r="F72" s="31" t="n">
        <v>8.9</v>
      </c>
      <c r="G72" s="31" t="n">
        <v>9.3</v>
      </c>
      <c r="H72" s="31" t="n">
        <v>13.1</v>
      </c>
      <c r="I72" s="32" t="n">
        <v>8.1</v>
      </c>
      <c r="J72" s="45" t="n">
        <v>9.0</v>
      </c>
      <c r="K72" s="51" t="s">
        <v>15</v>
      </c>
      <c r="L72" s="52" t="s">
        <v>877</v>
      </c>
      <c r="N72" s="46" t="s">
        <v>29</v>
      </c>
      <c r="O72" s="31" t="n">
        <v>7.3</v>
      </c>
      <c r="P72" s="31" t="n">
        <v>7.1</v>
      </c>
      <c r="Q72" s="31" t="n">
        <v>7.0</v>
      </c>
      <c r="R72" s="31" t="n">
        <v>7.0</v>
      </c>
      <c r="S72" s="31" t="n">
        <v>7.9</v>
      </c>
      <c r="T72" s="31" t="n">
        <v>8.7</v>
      </c>
      <c r="U72" s="31" t="n">
        <v>12.5</v>
      </c>
      <c r="V72" s="32" t="n">
        <v>7.3</v>
      </c>
      <c r="W72" s="45" t="n">
        <v>8.3</v>
      </c>
      <c r="X72" s="51" t="s">
        <v>15</v>
      </c>
      <c r="Y72" s="52" t="s">
        <v>877</v>
      </c>
      <c r="AA72" s="9"/>
      <c r="AB72" s="6"/>
      <c r="AC72" s="6"/>
      <c r="AD72" s="6"/>
      <c r="AE72" s="6"/>
      <c r="AF72" s="6"/>
      <c r="AG72" s="6"/>
      <c r="AH72" s="6"/>
      <c r="AI72" s="6"/>
      <c r="AJ72" s="6"/>
      <c r="AK72" s="11"/>
      <c r="AL72" s="11"/>
    </row>
    <row customFormat="1" r="73" s="5" spans="1:38" x14ac:dyDescent="0.2">
      <c r="A73" s="46" t="s">
        <v>31</v>
      </c>
      <c r="B73" s="31" t="n">
        <v>13.5</v>
      </c>
      <c r="C73" s="31" t="n">
        <v>11.9</v>
      </c>
      <c r="D73" s="31" t="n">
        <v>12.1</v>
      </c>
      <c r="E73" s="31" t="n">
        <v>12.1</v>
      </c>
      <c r="F73" s="31" t="n">
        <v>11.8</v>
      </c>
      <c r="G73" s="31" t="n">
        <v>13.5</v>
      </c>
      <c r="H73" s="31" t="n">
        <v>17.2</v>
      </c>
      <c r="I73" s="32" t="n">
        <v>12.3</v>
      </c>
      <c r="J73" s="45" t="n">
        <v>13.3</v>
      </c>
      <c r="K73" s="53"/>
      <c r="L73" s="45"/>
      <c r="N73" s="46" t="s">
        <v>31</v>
      </c>
      <c r="O73" s="31" t="n">
        <v>12.2</v>
      </c>
      <c r="P73" s="31" t="n">
        <v>10.4</v>
      </c>
      <c r="Q73" s="31" t="n">
        <v>10.9</v>
      </c>
      <c r="R73" s="31" t="n">
        <v>10.9</v>
      </c>
      <c r="S73" s="31" t="n">
        <v>10.6</v>
      </c>
      <c r="T73" s="31" t="n">
        <v>11.9</v>
      </c>
      <c r="U73" s="31" t="n">
        <v>15.6</v>
      </c>
      <c r="V73" s="32" t="n">
        <v>11.0</v>
      </c>
      <c r="W73" s="45" t="n">
        <v>11.9</v>
      </c>
      <c r="X73" s="53"/>
      <c r="Y73" s="45"/>
      <c r="AA73" s="9"/>
      <c r="AB73" s="6"/>
      <c r="AC73" s="6"/>
      <c r="AD73" s="6"/>
      <c r="AE73" s="6"/>
      <c r="AF73" s="6"/>
      <c r="AG73" s="6"/>
      <c r="AH73" s="6"/>
      <c r="AI73" s="6"/>
      <c r="AJ73" s="6"/>
      <c r="AK73" s="23"/>
      <c r="AL73" s="6"/>
    </row>
    <row customFormat="1" r="74" s="5" spans="1:38" x14ac:dyDescent="0.2">
      <c r="A74" s="46" t="s">
        <v>32</v>
      </c>
      <c r="B74" s="31" t="n">
        <v>15.3</v>
      </c>
      <c r="C74" s="31" t="n">
        <v>13.8</v>
      </c>
      <c r="D74" s="31" t="n">
        <v>13.4</v>
      </c>
      <c r="E74" s="31" t="n">
        <v>14.9</v>
      </c>
      <c r="F74" s="31" t="n">
        <v>12.8</v>
      </c>
      <c r="G74" s="31" t="n">
        <v>14.8</v>
      </c>
      <c r="H74" s="31" t="n">
        <v>18.2</v>
      </c>
      <c r="I74" s="32" t="n">
        <v>14.1</v>
      </c>
      <c r="J74" s="45" t="n">
        <v>14.8</v>
      </c>
      <c r="K74" s="53"/>
      <c r="L74" s="45"/>
      <c r="N74" s="46" t="s">
        <v>32</v>
      </c>
      <c r="O74" s="31" t="n">
        <v>14.1</v>
      </c>
      <c r="P74" s="31" t="n">
        <v>11.9</v>
      </c>
      <c r="Q74" s="31" t="n">
        <v>12.3</v>
      </c>
      <c r="R74" s="31" t="n">
        <v>13.4</v>
      </c>
      <c r="S74" s="31" t="n">
        <v>11.5</v>
      </c>
      <c r="T74" s="31" t="n">
        <v>13.1</v>
      </c>
      <c r="U74" s="31" t="n">
        <v>16.4</v>
      </c>
      <c r="V74" s="32" t="n">
        <v>12.7</v>
      </c>
      <c r="W74" s="45" t="n">
        <v>13.3</v>
      </c>
      <c r="X74" s="53"/>
      <c r="Y74" s="45"/>
      <c r="AA74" s="9"/>
      <c r="AB74" s="6"/>
      <c r="AC74" s="6"/>
      <c r="AD74" s="6"/>
      <c r="AE74" s="6"/>
      <c r="AF74" s="6"/>
      <c r="AG74" s="6"/>
      <c r="AH74" s="6"/>
      <c r="AI74" s="6"/>
      <c r="AJ74" s="6"/>
      <c r="AK74" s="23"/>
      <c r="AL74" s="6"/>
    </row>
    <row customFormat="1" r="75" s="5" spans="1:38" x14ac:dyDescent="0.2">
      <c r="A75" s="46" t="s">
        <v>33</v>
      </c>
      <c r="B75" s="31" t="n">
        <v>13.3</v>
      </c>
      <c r="C75" s="31" t="n">
        <v>12.6</v>
      </c>
      <c r="D75" s="31" t="n">
        <v>12.3</v>
      </c>
      <c r="E75" s="31" t="n">
        <v>12.8</v>
      </c>
      <c r="F75" s="31" t="n">
        <v>12.6</v>
      </c>
      <c r="G75" s="31" t="n">
        <v>13.8</v>
      </c>
      <c r="H75" s="31" t="n">
        <v>16.3</v>
      </c>
      <c r="I75" s="32" t="n">
        <v>12.7</v>
      </c>
      <c r="J75" s="45" t="n">
        <v>13.4</v>
      </c>
      <c r="K75" s="53"/>
      <c r="L75" s="45"/>
      <c r="N75" s="46" t="s">
        <v>33</v>
      </c>
      <c r="O75" s="31" t="n">
        <v>12.3</v>
      </c>
      <c r="P75" s="31" t="n">
        <v>11.5</v>
      </c>
      <c r="Q75" s="31" t="n">
        <v>11.3</v>
      </c>
      <c r="R75" s="31" t="n">
        <v>11.4</v>
      </c>
      <c r="S75" s="31" t="n">
        <v>11.5</v>
      </c>
      <c r="T75" s="31" t="n">
        <v>11.8</v>
      </c>
      <c r="U75" s="31" t="n">
        <v>14.2</v>
      </c>
      <c r="V75" s="32" t="n">
        <v>11.6</v>
      </c>
      <c r="W75" s="45" t="n">
        <v>12.1</v>
      </c>
      <c r="X75" s="53"/>
      <c r="Y75" s="45"/>
      <c r="AA75" s="9"/>
      <c r="AB75" s="6"/>
      <c r="AC75" s="6"/>
      <c r="AD75" s="6"/>
      <c r="AE75" s="6"/>
      <c r="AF75" s="6"/>
      <c r="AG75" s="6"/>
      <c r="AH75" s="6"/>
      <c r="AI75" s="6"/>
      <c r="AJ75" s="6"/>
      <c r="AK75" s="23"/>
      <c r="AL75" s="6"/>
    </row>
    <row customFormat="1" r="76" s="5" spans="1:38" x14ac:dyDescent="0.2">
      <c r="A76" s="46" t="s">
        <v>34</v>
      </c>
      <c r="B76" s="31" t="n">
        <v>12.2</v>
      </c>
      <c r="C76" s="31" t="n">
        <v>11.6</v>
      </c>
      <c r="D76" s="31" t="n">
        <v>10.8</v>
      </c>
      <c r="E76" s="31" t="n">
        <v>10.7</v>
      </c>
      <c r="F76" s="31" t="n">
        <v>11.9</v>
      </c>
      <c r="G76" s="31" t="n">
        <v>11.2</v>
      </c>
      <c r="H76" s="31" t="n">
        <v>11.6</v>
      </c>
      <c r="I76" s="32" t="n">
        <v>11.5</v>
      </c>
      <c r="J76" s="45" t="n">
        <v>11.5</v>
      </c>
      <c r="K76" s="53"/>
      <c r="L76" s="45"/>
      <c r="N76" s="46" t="s">
        <v>34</v>
      </c>
      <c r="O76" s="31" t="n">
        <v>11.3</v>
      </c>
      <c r="P76" s="31" t="n">
        <v>10.5</v>
      </c>
      <c r="Q76" s="31" t="n">
        <v>9.8</v>
      </c>
      <c r="R76" s="31" t="n">
        <v>9.9</v>
      </c>
      <c r="S76" s="31" t="n">
        <v>11.3</v>
      </c>
      <c r="T76" s="31" t="n">
        <v>10.3</v>
      </c>
      <c r="U76" s="31" t="n">
        <v>9.5</v>
      </c>
      <c r="V76" s="32" t="n">
        <v>10.6</v>
      </c>
      <c r="W76" s="45" t="n">
        <v>10.4</v>
      </c>
      <c r="X76" s="53"/>
      <c r="Y76" s="45"/>
      <c r="AA76" s="9"/>
      <c r="AB76" s="6"/>
      <c r="AC76" s="6"/>
      <c r="AD76" s="6"/>
      <c r="AE76" s="6"/>
      <c r="AF76" s="6"/>
      <c r="AG76" s="6"/>
      <c r="AH76" s="6"/>
      <c r="AI76" s="6"/>
      <c r="AJ76" s="6"/>
      <c r="AK76" s="23"/>
      <c r="AL76" s="6"/>
    </row>
    <row customFormat="1" r="77" s="5" spans="1:38" x14ac:dyDescent="0.2">
      <c r="A77" s="46" t="s">
        <v>35</v>
      </c>
      <c r="B77" s="31" t="n">
        <v>7.5</v>
      </c>
      <c r="C77" s="31" t="n">
        <v>7.0</v>
      </c>
      <c r="D77" s="31" t="n">
        <v>6.7</v>
      </c>
      <c r="E77" s="31" t="n">
        <v>8.0</v>
      </c>
      <c r="F77" s="31" t="n">
        <v>8.1</v>
      </c>
      <c r="G77" s="31" t="n">
        <v>7.4</v>
      </c>
      <c r="H77" s="31" t="n">
        <v>7.0</v>
      </c>
      <c r="I77" s="32" t="n">
        <v>7.5</v>
      </c>
      <c r="J77" s="45" t="n">
        <v>7.4</v>
      </c>
      <c r="K77" s="53"/>
      <c r="L77" s="45"/>
      <c r="N77" s="46" t="s">
        <v>35</v>
      </c>
      <c r="O77" s="31" t="n">
        <v>7.2</v>
      </c>
      <c r="P77" s="31" t="n">
        <v>6.4</v>
      </c>
      <c r="Q77" s="31" t="n">
        <v>6.0</v>
      </c>
      <c r="R77" s="31" t="n">
        <v>7.6</v>
      </c>
      <c r="S77" s="31" t="n">
        <v>7.3</v>
      </c>
      <c r="T77" s="31" t="n">
        <v>7.0</v>
      </c>
      <c r="U77" s="31" t="n">
        <v>6.1</v>
      </c>
      <c r="V77" s="32" t="n">
        <v>6.9</v>
      </c>
      <c r="W77" s="45" t="n">
        <v>6.8</v>
      </c>
      <c r="X77" s="53"/>
      <c r="Y77" s="45"/>
      <c r="AA77" s="9"/>
      <c r="AB77" s="6"/>
      <c r="AC77" s="6"/>
      <c r="AD77" s="6"/>
      <c r="AE77" s="6"/>
      <c r="AF77" s="6"/>
      <c r="AG77" s="6"/>
      <c r="AH77" s="6"/>
      <c r="AI77" s="6"/>
      <c r="AJ77" s="6"/>
      <c r="AK77" s="23"/>
      <c r="AL77" s="6"/>
    </row>
    <row customFormat="1" r="78" s="5" spans="1:38" x14ac:dyDescent="0.2">
      <c r="A78" s="46" t="s">
        <v>36</v>
      </c>
      <c r="B78" s="31" t="n">
        <v>4.0</v>
      </c>
      <c r="C78" s="31" t="n">
        <v>4.1</v>
      </c>
      <c r="D78" s="31" t="n">
        <v>3.7</v>
      </c>
      <c r="E78" s="31" t="n">
        <v>5.0</v>
      </c>
      <c r="F78" s="31" t="n">
        <v>4.7</v>
      </c>
      <c r="G78" s="31" t="n">
        <v>4.5</v>
      </c>
      <c r="H78" s="31" t="n">
        <v>4.0</v>
      </c>
      <c r="I78" s="32" t="n">
        <v>4.3</v>
      </c>
      <c r="J78" s="45" t="n">
        <v>4.3</v>
      </c>
      <c r="K78" s="53"/>
      <c r="L78" s="45"/>
      <c r="N78" s="46" t="s">
        <v>36</v>
      </c>
      <c r="O78" s="31" t="n">
        <v>3.8</v>
      </c>
      <c r="P78" s="31" t="n">
        <v>3.8</v>
      </c>
      <c r="Q78" s="31" t="n">
        <v>3.4</v>
      </c>
      <c r="R78" s="31" t="n">
        <v>4.7</v>
      </c>
      <c r="S78" s="31" t="n">
        <v>4.4</v>
      </c>
      <c r="T78" s="31" t="n">
        <v>4.2</v>
      </c>
      <c r="U78" s="31" t="n">
        <v>3.4</v>
      </c>
      <c r="V78" s="32" t="n">
        <v>4.0</v>
      </c>
      <c r="W78" s="45" t="n">
        <v>3.9</v>
      </c>
      <c r="X78" s="53"/>
      <c r="Y78" s="45"/>
      <c r="AA78" s="9"/>
      <c r="AB78" s="6"/>
      <c r="AC78" s="6"/>
      <c r="AD78" s="6"/>
      <c r="AE78" s="6"/>
      <c r="AF78" s="6"/>
      <c r="AG78" s="6"/>
      <c r="AH78" s="6"/>
      <c r="AI78" s="6"/>
      <c r="AJ78" s="6"/>
      <c r="AK78" s="23"/>
      <c r="AL78" s="6"/>
    </row>
    <row customFormat="1" r="79" s="5" spans="1:38" x14ac:dyDescent="0.2">
      <c r="A79" s="46" t="s">
        <v>37</v>
      </c>
      <c r="B79" s="31" t="n">
        <v>2.2</v>
      </c>
      <c r="C79" s="31" t="n">
        <v>2.2</v>
      </c>
      <c r="D79" s="31" t="n">
        <v>2.1</v>
      </c>
      <c r="E79" s="31" t="n">
        <v>2.2</v>
      </c>
      <c r="F79" s="31" t="n">
        <v>2.3</v>
      </c>
      <c r="G79" s="31" t="n">
        <v>2.7</v>
      </c>
      <c r="H79" s="31" t="n">
        <v>2.3</v>
      </c>
      <c r="I79" s="32" t="n">
        <v>2.2</v>
      </c>
      <c r="J79" s="45" t="n">
        <v>2.3</v>
      </c>
      <c r="K79" s="53"/>
      <c r="L79" s="45"/>
      <c r="N79" s="46" t="s">
        <v>37</v>
      </c>
      <c r="O79" s="31" t="n">
        <v>2.0</v>
      </c>
      <c r="P79" s="31" t="n">
        <v>2.0</v>
      </c>
      <c r="Q79" s="31" t="n">
        <v>1.9</v>
      </c>
      <c r="R79" s="31" t="n">
        <v>2.1</v>
      </c>
      <c r="S79" s="31" t="n">
        <v>2.2</v>
      </c>
      <c r="T79" s="31" t="n">
        <v>2.3</v>
      </c>
      <c r="U79" s="31" t="n">
        <v>1.8</v>
      </c>
      <c r="V79" s="32" t="n">
        <v>2.1</v>
      </c>
      <c r="W79" s="45" t="n">
        <v>2.0</v>
      </c>
      <c r="X79" s="53"/>
      <c r="Y79" s="45"/>
      <c r="AA79" s="9"/>
      <c r="AB79" s="6"/>
      <c r="AC79" s="6"/>
      <c r="AD79" s="6"/>
      <c r="AE79" s="6"/>
      <c r="AF79" s="6"/>
      <c r="AG79" s="6"/>
      <c r="AH79" s="6"/>
      <c r="AI79" s="6"/>
      <c r="AJ79" s="6"/>
      <c r="AK79" s="23"/>
      <c r="AL79" s="6"/>
    </row>
    <row customFormat="1" r="80" s="5" spans="1:38" x14ac:dyDescent="0.2">
      <c r="A80" s="46" t="s">
        <v>38</v>
      </c>
      <c r="B80" s="31" t="n">
        <v>1.5</v>
      </c>
      <c r="C80" s="31" t="n">
        <v>1.4</v>
      </c>
      <c r="D80" s="31" t="n">
        <v>1.4</v>
      </c>
      <c r="E80" s="31" t="n">
        <v>1.5</v>
      </c>
      <c r="F80" s="31" t="n">
        <v>1.3</v>
      </c>
      <c r="G80" s="31" t="n">
        <v>1.7</v>
      </c>
      <c r="H80" s="31" t="n">
        <v>1.4</v>
      </c>
      <c r="I80" s="32" t="n">
        <v>1.4</v>
      </c>
      <c r="J80" s="45" t="n">
        <v>1.5</v>
      </c>
      <c r="K80" s="53"/>
      <c r="L80" s="45"/>
      <c r="N80" s="46" t="s">
        <v>38</v>
      </c>
      <c r="O80" s="31" t="n">
        <v>1.4</v>
      </c>
      <c r="P80" s="31" t="n">
        <v>1.3</v>
      </c>
      <c r="Q80" s="31" t="n">
        <v>1.3</v>
      </c>
      <c r="R80" s="31" t="n">
        <v>1.5</v>
      </c>
      <c r="S80" s="31" t="n">
        <v>1.3</v>
      </c>
      <c r="T80" s="31" t="n">
        <v>1.4</v>
      </c>
      <c r="U80" s="31" t="n">
        <v>1.1</v>
      </c>
      <c r="V80" s="32" t="n">
        <v>1.3</v>
      </c>
      <c r="W80" s="45" t="n">
        <v>1.3</v>
      </c>
      <c r="X80" s="53"/>
      <c r="Y80" s="45"/>
      <c r="AA80" s="9"/>
      <c r="AB80" s="6"/>
      <c r="AC80" s="6"/>
      <c r="AD80" s="6"/>
      <c r="AE80" s="6"/>
      <c r="AF80" s="6"/>
      <c r="AG80" s="6"/>
      <c r="AH80" s="6"/>
      <c r="AI80" s="6"/>
      <c r="AJ80" s="6"/>
      <c r="AK80" s="23"/>
      <c r="AL80" s="6"/>
    </row>
    <row customFormat="1" r="81" s="5" spans="1:38" x14ac:dyDescent="0.2">
      <c r="A81" s="46" t="s">
        <v>39</v>
      </c>
      <c r="B81" s="31" t="n">
        <v>1.1</v>
      </c>
      <c r="C81" s="31" t="n">
        <v>1.0</v>
      </c>
      <c r="D81" s="31" t="n">
        <v>1.1</v>
      </c>
      <c r="E81" s="31" t="n">
        <v>1.1</v>
      </c>
      <c r="F81" s="31" t="n">
        <v>1.0</v>
      </c>
      <c r="G81" s="31" t="n">
        <v>1.2</v>
      </c>
      <c r="H81" s="31" t="n">
        <v>1.1</v>
      </c>
      <c r="I81" s="32" t="n">
        <v>1.1</v>
      </c>
      <c r="J81" s="45" t="n">
        <v>1.1</v>
      </c>
      <c r="K81" s="53"/>
      <c r="L81" s="45"/>
      <c r="N81" s="46" t="s">
        <v>39</v>
      </c>
      <c r="O81" s="31" t="n">
        <v>1.0</v>
      </c>
      <c r="P81" s="31" t="n">
        <v>1.0</v>
      </c>
      <c r="Q81" s="31" t="n">
        <v>1.0</v>
      </c>
      <c r="R81" s="31" t="n">
        <v>1.0</v>
      </c>
      <c r="S81" s="31" t="n">
        <v>1.0</v>
      </c>
      <c r="T81" s="31" t="n">
        <v>1.1</v>
      </c>
      <c r="U81" s="31" t="n">
        <v>0.9</v>
      </c>
      <c r="V81" s="32" t="n">
        <v>1.0</v>
      </c>
      <c r="W81" s="45" t="n">
        <v>1.0</v>
      </c>
      <c r="X81" s="53"/>
      <c r="Y81" s="45"/>
      <c r="AA81" s="9"/>
      <c r="AB81" s="6"/>
      <c r="AC81" s="6"/>
      <c r="AD81" s="6"/>
      <c r="AE81" s="6"/>
      <c r="AF81" s="6"/>
      <c r="AG81" s="6"/>
      <c r="AH81" s="6"/>
      <c r="AI81" s="6"/>
      <c r="AJ81" s="6"/>
      <c r="AK81" s="23"/>
      <c r="AL81" s="6"/>
    </row>
    <row customFormat="1" r="82" s="5" spans="1:38" x14ac:dyDescent="0.2">
      <c r="A82" s="47" t="s">
        <v>40</v>
      </c>
      <c r="B82" s="48" t="n">
        <v>1.1</v>
      </c>
      <c r="C82" s="48" t="n">
        <v>1.0</v>
      </c>
      <c r="D82" s="48" t="n">
        <v>1.2</v>
      </c>
      <c r="E82" s="48" t="n">
        <v>1.2</v>
      </c>
      <c r="F82" s="48" t="n">
        <v>1.0</v>
      </c>
      <c r="G82" s="48" t="n">
        <v>0.9</v>
      </c>
      <c r="H82" s="48" t="n">
        <v>1.1</v>
      </c>
      <c r="I82" s="49" t="n">
        <v>1.1</v>
      </c>
      <c r="J82" s="50" t="n">
        <v>1.1</v>
      </c>
      <c r="K82" s="54"/>
      <c r="L82" s="50"/>
      <c r="N82" s="47" t="s">
        <v>40</v>
      </c>
      <c r="O82" s="48" t="n">
        <v>1.1</v>
      </c>
      <c r="P82" s="48" t="n">
        <v>1.0</v>
      </c>
      <c r="Q82" s="48" t="n">
        <v>1.2</v>
      </c>
      <c r="R82" s="48" t="n">
        <v>1.1</v>
      </c>
      <c r="S82" s="48" t="n">
        <v>1.0</v>
      </c>
      <c r="T82" s="48" t="n">
        <v>0.8</v>
      </c>
      <c r="U82" s="48" t="n">
        <v>1.0</v>
      </c>
      <c r="V82" s="49" t="n">
        <v>1.1</v>
      </c>
      <c r="W82" s="50" t="n">
        <v>1.0</v>
      </c>
      <c r="X82" s="54"/>
      <c r="Y82" s="50"/>
      <c r="AA82" s="9"/>
      <c r="AB82" s="6"/>
      <c r="AC82" s="6"/>
      <c r="AD82" s="6"/>
      <c r="AE82" s="6"/>
      <c r="AF82" s="6"/>
      <c r="AG82" s="6"/>
      <c r="AH82" s="6"/>
      <c r="AI82" s="6"/>
      <c r="AJ82" s="6"/>
      <c r="AK82" s="23"/>
      <c r="AL82" s="6"/>
    </row>
    <row customFormat="1" r="83" s="5" spans="1:38" x14ac:dyDescent="0.2"/>
    <row r="84" spans="1:39" x14ac:dyDescent="0.2">
      <c r="A84" s="5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ht="13" r="85" spans="1:39" x14ac:dyDescent="0.2">
      <c r="A85" s="5" t="s">
        <v>887</v>
      </c>
      <c r="B85" s="7"/>
      <c r="C85" s="7"/>
      <c r="D85" s="7"/>
      <c r="E85" s="7"/>
      <c r="F85" s="7"/>
      <c r="G8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x14ac:dyDescent="0.2">
      <c r="A86" s="82" t="s">
        <v>15</v>
      </c>
      <c r="B86" s="83" t="s">
        <v>878</v>
      </c>
      <c r="C86" s="83" t="s">
        <v>879</v>
      </c>
      <c r="D86" s="83" t="s">
        <v>100</v>
      </c>
      <c r="E86" s="83" t="s">
        <v>880</v>
      </c>
      <c r="F86" s="83" t="s">
        <v>881</v>
      </c>
      <c r="G86" s="83" t="s">
        <v>882</v>
      </c>
      <c r="H86" s="83" t="s">
        <v>883</v>
      </c>
      <c r="I86" s="83" t="s">
        <v>884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x14ac:dyDescent="0.2">
      <c r="A87" s="84"/>
      <c r="B87" s="85"/>
      <c r="C87" s="85"/>
      <c r="D87" s="85"/>
      <c r="E87" s="85"/>
      <c r="F87" s="85"/>
      <c r="G87" s="85"/>
      <c r="H87" s="85"/>
      <c r="I87" s="85"/>
    </row>
    <row r="88" spans="1:39" x14ac:dyDescent="0.2">
      <c r="A88" s="84"/>
      <c r="B88" s="85"/>
      <c r="C88" s="85"/>
      <c r="D88" s="85"/>
      <c r="E88" s="85"/>
      <c r="F88" s="85"/>
      <c r="G88" s="85"/>
      <c r="H88" s="85"/>
      <c r="I88" s="85"/>
    </row>
    <row r="89" spans="1:39" x14ac:dyDescent="0.2">
      <c r="A89" s="84"/>
      <c r="B89" s="85"/>
      <c r="C89" s="85"/>
      <c r="D89" s="85"/>
      <c r="E89" s="85"/>
      <c r="F89" s="85"/>
      <c r="G89" s="85"/>
      <c r="H89" s="85"/>
      <c r="I89" s="85"/>
    </row>
    <row r="90" spans="1:39" x14ac:dyDescent="0.2">
      <c r="A90" s="84"/>
      <c r="B90" s="85"/>
      <c r="C90" s="85"/>
      <c r="D90" s="85"/>
      <c r="E90" s="85"/>
      <c r="F90" s="85"/>
      <c r="G90" s="85"/>
      <c r="H90" s="85"/>
      <c r="I90" s="85"/>
    </row>
    <row r="91" spans="1:39" x14ac:dyDescent="0.2">
      <c r="A91" s="84"/>
      <c r="B91" s="85"/>
      <c r="C91" s="85"/>
      <c r="D91" s="85"/>
      <c r="E91" s="85"/>
      <c r="F91" s="85"/>
      <c r="G91" s="85"/>
      <c r="H91" s="85"/>
      <c r="I91" s="85"/>
    </row>
    <row r="92" spans="1:39" x14ac:dyDescent="0.2">
      <c r="A92" s="84"/>
      <c r="B92" s="85"/>
      <c r="C92" s="85"/>
      <c r="D92" s="85"/>
      <c r="E92" s="85"/>
      <c r="F92" s="85"/>
      <c r="G92" s="85"/>
      <c r="H92" s="85"/>
      <c r="I92" s="85"/>
    </row>
    <row r="93" spans="1:39" x14ac:dyDescent="0.2">
      <c r="A93" s="84"/>
      <c r="B93" s="85"/>
      <c r="C93" s="85"/>
      <c r="D93" s="85"/>
      <c r="E93" s="85"/>
      <c r="F93" s="85"/>
      <c r="G93" s="85"/>
      <c r="H93" s="85"/>
      <c r="I93" s="85"/>
    </row>
    <row r="94" spans="1:7" x14ac:dyDescent="0.2">
      <c r="A94" s="84"/>
      <c r="B94" s="85"/>
      <c r="C94" s="85"/>
      <c r="D94" s="85"/>
      <c r="E94" s="85"/>
      <c r="F94" s="85"/>
      <c r="G94" s="85"/>
      <c r="H94" s="85"/>
      <c r="I94" s="85"/>
    </row>
    <row r="95" spans="1:7" x14ac:dyDescent="0.2">
      <c r="A95" s="84"/>
      <c r="B95" s="85"/>
      <c r="C95" s="85"/>
      <c r="D95" s="85"/>
      <c r="E95" s="85"/>
      <c r="F95" s="85"/>
      <c r="G95" s="85"/>
      <c r="H95" s="85"/>
      <c r="I95" s="85"/>
    </row>
    <row r="96" spans="1:7" x14ac:dyDescent="0.2">
      <c r="A96" s="84"/>
      <c r="B96" s="85"/>
      <c r="C96" s="85"/>
      <c r="D96" s="85"/>
      <c r="E96" s="85"/>
      <c r="F96" s="85"/>
      <c r="G96" s="85"/>
      <c r="H96" s="85"/>
      <c r="I96" s="85"/>
    </row>
    <row r="97" spans="1:7" x14ac:dyDescent="0.2">
      <c r="A97" s="5"/>
      <c r="B97" s="8"/>
      <c r="C97" s="8"/>
      <c r="D97" s="8"/>
      <c r="E97" s="8"/>
      <c r="F97" s="8"/>
    </row>
    <row r="98" spans="1:7" x14ac:dyDescent="0.2">
      <c r="A98" s="5"/>
    </row>
    <row r="99" spans="1:7" x14ac:dyDescent="0.2">
      <c r="A99" s="5"/>
    </row>
    <row r="100" spans="1:7" x14ac:dyDescent="0.2">
      <c r="A100" s="5"/>
    </row>
    <row r="101" spans="1:7" x14ac:dyDescent="0.2">
      <c r="A101" s="5"/>
    </row>
    <row r="102" spans="1:7" x14ac:dyDescent="0.2">
      <c r="A102" s="5"/>
    </row>
    <row r="103" spans="1:7" x14ac:dyDescent="0.2">
      <c r="A103" s="5"/>
    </row>
    <row r="104" spans="1:7" x14ac:dyDescent="0.2">
      <c r="A104" s="5"/>
    </row>
    <row r="105" spans="1:7" x14ac:dyDescent="0.2">
      <c r="A105" s="5"/>
    </row>
    <row r="106" spans="1:7" x14ac:dyDescent="0.2">
      <c r="A106" s="5"/>
    </row>
    <row r="107" spans="1:7" x14ac:dyDescent="0.2">
      <c r="A107" s="5"/>
    </row>
    <row r="108" spans="1:7" x14ac:dyDescent="0.2">
      <c r="A108" s="5"/>
    </row>
    <row r="109" spans="1:7" x14ac:dyDescent="0.2">
      <c r="A109" s="5"/>
    </row>
    <row r="110" spans="1:1" x14ac:dyDescent="0.2">
      <c r="A110" s="5"/>
    </row>
    <row r="111" spans="1:1" x14ac:dyDescent="0.2">
      <c r="A111" s="5"/>
    </row>
    <row r="112" spans="1:1" x14ac:dyDescent="0.2">
      <c r="A112" s="5"/>
    </row>
    <row r="113" spans="1:1" x14ac:dyDescent="0.2">
      <c r="A113" s="5"/>
    </row>
    <row r="114" spans="1:1" x14ac:dyDescent="0.2">
      <c r="A114" s="5"/>
    </row>
    <row r="115" spans="1:1" x14ac:dyDescent="0.2">
      <c r="A115" s="5"/>
    </row>
    <row r="116" spans="1:1" x14ac:dyDescent="0.2">
      <c r="A116" s="5"/>
    </row>
    <row r="117" spans="1:1" x14ac:dyDescent="0.2">
      <c r="A117" s="5"/>
    </row>
    <row r="118" spans="1:1" x14ac:dyDescent="0.2">
      <c r="A118" s="5"/>
    </row>
    <row r="119" spans="1:1" x14ac:dyDescent="0.2">
      <c r="A119" s="5"/>
    </row>
    <row r="120" spans="1:1" x14ac:dyDescent="0.2">
      <c r="A120" s="5"/>
    </row>
    <row r="121" spans="1:1" x14ac:dyDescent="0.2">
      <c r="A121" s="5"/>
    </row>
    <row r="122" spans="1:1" x14ac:dyDescent="0.2">
      <c r="A122" s="5"/>
    </row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  <row r="130" spans="1:1" x14ac:dyDescent="0.2">
      <c r="A130" s="5"/>
    </row>
    <row r="131" spans="1:1" x14ac:dyDescent="0.2">
      <c r="A131" s="5"/>
    </row>
    <row r="132" spans="1:1" x14ac:dyDescent="0.2">
      <c r="A132" s="5"/>
    </row>
    <row r="133" spans="1:1" x14ac:dyDescent="0.2">
      <c r="A133" s="5"/>
    </row>
    <row r="134" spans="1:1" x14ac:dyDescent="0.2">
      <c r="A134" s="5"/>
    </row>
    <row r="135" spans="1:1" x14ac:dyDescent="0.2">
      <c r="A135" s="5"/>
    </row>
    <row r="136" spans="1:1" x14ac:dyDescent="0.2">
      <c r="A136" s="5"/>
    </row>
    <row r="137" spans="1:1" x14ac:dyDescent="0.2">
      <c r="A137" s="5"/>
    </row>
    <row r="138" spans="1:1" x14ac:dyDescent="0.2">
      <c r="A138" s="5"/>
    </row>
    <row r="139" spans="1:1" x14ac:dyDescent="0.2">
      <c r="A139" s="5"/>
    </row>
    <row r="140" spans="1:1" x14ac:dyDescent="0.2">
      <c r="A140" s="5"/>
    </row>
    <row r="141" spans="1:1" x14ac:dyDescent="0.2">
      <c r="A141" s="5"/>
    </row>
    <row r="142" spans="1:11" x14ac:dyDescent="0.2">
      <c r="A142" s="5"/>
    </row>
    <row r="143" spans="1:11" x14ac:dyDescent="0.2">
      <c r="A143" s="5"/>
    </row>
    <row r="144" spans="1:11" x14ac:dyDescent="0.2">
      <c r="A144" s="5"/>
    </row>
    <row r="145" spans="1:11" x14ac:dyDescent="0.2">
      <c r="A145" s="5"/>
    </row>
    <row r="146" spans="1:11" x14ac:dyDescent="0.2">
      <c r="A146" s="5"/>
    </row>
    <row r="147" spans="1:11" x14ac:dyDescent="0.2">
      <c r="A147" s="5"/>
    </row>
    <row r="148" spans="1:11" x14ac:dyDescent="0.2">
      <c r="A148" s="5"/>
    </row>
    <row ht="13" r="149" spans="1:11" x14ac:dyDescent="0.2">
      <c r="H149"/>
      <c r="I149"/>
    </row>
    <row r="150" spans="1:11" x14ac:dyDescent="0.2">
      <c r="H150" s="9"/>
      <c r="I150" s="9"/>
      <c r="J150" s="9"/>
      <c r="K150" s="9"/>
    </row>
    <row r="151" spans="1:11" x14ac:dyDescent="0.2">
      <c r="H151" s="10"/>
      <c r="I151" s="10"/>
      <c r="J151" s="10"/>
      <c r="K151" s="10"/>
    </row>
    <row r="152" spans="1:11" x14ac:dyDescent="0.2">
      <c r="H152" s="10"/>
      <c r="I152" s="10"/>
      <c r="J152" s="10"/>
      <c r="K152" s="10"/>
    </row>
    <row r="153" spans="1:11" x14ac:dyDescent="0.2">
      <c r="H153" s="10"/>
      <c r="I153" s="10"/>
      <c r="J153" s="10"/>
      <c r="K153" s="10"/>
    </row>
    <row r="154" spans="1:11" x14ac:dyDescent="0.2">
      <c r="H154" s="10"/>
      <c r="I154" s="10"/>
      <c r="J154" s="10"/>
      <c r="K154" s="10"/>
    </row>
    <row r="155" spans="1:11" x14ac:dyDescent="0.2">
      <c r="H155" s="10"/>
      <c r="I155" s="10"/>
      <c r="J155" s="10"/>
      <c r="K155" s="10"/>
    </row>
    <row r="156" spans="1:11" x14ac:dyDescent="0.2">
      <c r="H156" s="10"/>
      <c r="I156" s="10"/>
      <c r="J156" s="10"/>
      <c r="K156" s="10"/>
    </row>
    <row r="157" spans="1:11" x14ac:dyDescent="0.2">
      <c r="H157" s="10"/>
      <c r="I157" s="10"/>
      <c r="J157" s="10"/>
      <c r="K157" s="10"/>
    </row>
    <row r="158" spans="1:11" x14ac:dyDescent="0.2">
      <c r="H158" s="10"/>
      <c r="I158" s="10"/>
      <c r="J158" s="10"/>
      <c r="K158" s="10"/>
    </row>
    <row r="159" spans="1:11" x14ac:dyDescent="0.2">
      <c r="H159" s="10"/>
      <c r="I159" s="10"/>
      <c r="J159" s="10"/>
      <c r="K159" s="10"/>
    </row>
    <row r="160" spans="1:11" x14ac:dyDescent="0.2">
      <c r="H160" s="10"/>
      <c r="I160" s="10"/>
      <c r="J160" s="10"/>
      <c r="K160" s="10"/>
    </row>
    <row r="162" spans="1:11" x14ac:dyDescent="0.2">
      <c r="A162" s="5"/>
    </row>
    <row r="163" spans="1:11" x14ac:dyDescent="0.2">
      <c r="A163" s="5"/>
    </row>
    <row r="164" spans="1:11" x14ac:dyDescent="0.2">
      <c r="A164" s="5"/>
    </row>
    <row r="165" spans="1:11" x14ac:dyDescent="0.2">
      <c r="A165" s="5"/>
    </row>
    <row r="166" spans="1:11" x14ac:dyDescent="0.2">
      <c r="A166" s="5"/>
    </row>
    <row r="167" spans="1:11" x14ac:dyDescent="0.2">
      <c r="A167" s="5"/>
    </row>
    <row r="168" spans="1:11" x14ac:dyDescent="0.2">
      <c r="A168" s="5"/>
    </row>
    <row r="169" spans="1:11" x14ac:dyDescent="0.2">
      <c r="A169" s="5"/>
    </row>
    <row r="170" spans="1:11" x14ac:dyDescent="0.2">
      <c r="A170" s="5"/>
    </row>
    <row r="171" spans="1:11" x14ac:dyDescent="0.2">
      <c r="A171" s="5"/>
    </row>
    <row r="172" spans="1:11" x14ac:dyDescent="0.2">
      <c r="A172" s="5"/>
    </row>
    <row r="173" spans="1:11" x14ac:dyDescent="0.2">
      <c r="A173" s="5"/>
    </row>
    <row r="174" spans="1:1" x14ac:dyDescent="0.2">
      <c r="A174" s="5"/>
    </row>
    <row r="175" spans="1:1" x14ac:dyDescent="0.2">
      <c r="A175" s="5"/>
    </row>
    <row r="176" spans="1:1" x14ac:dyDescent="0.2">
      <c r="A176" s="5"/>
    </row>
    <row r="177" spans="1:1" x14ac:dyDescent="0.2">
      <c r="A177" s="5"/>
    </row>
    <row r="178" spans="1:1" x14ac:dyDescent="0.2">
      <c r="A178" s="5"/>
    </row>
    <row r="179" spans="1:1" x14ac:dyDescent="0.2">
      <c r="A179" s="5"/>
    </row>
    <row r="180" spans="1:1" x14ac:dyDescent="0.2">
      <c r="A180" s="5"/>
    </row>
    <row r="181" spans="1:1" x14ac:dyDescent="0.2">
      <c r="A181" s="5"/>
    </row>
    <row r="182" spans="1:1" x14ac:dyDescent="0.2">
      <c r="A182" s="5"/>
    </row>
    <row r="183" spans="1:1" x14ac:dyDescent="0.2">
      <c r="A183" s="5"/>
    </row>
    <row r="184" spans="1:1" x14ac:dyDescent="0.2">
      <c r="A184" s="5"/>
    </row>
    <row r="185" spans="1:1" x14ac:dyDescent="0.2">
      <c r="A185" s="5"/>
    </row>
    <row r="186" spans="1:1" x14ac:dyDescent="0.2">
      <c r="A186" s="5"/>
    </row>
    <row r="187" spans="1:1" x14ac:dyDescent="0.2">
      <c r="A187" s="5"/>
    </row>
    <row r="188" spans="1:1" x14ac:dyDescent="0.2">
      <c r="A188" s="5"/>
    </row>
    <row r="189" spans="1:1" x14ac:dyDescent="0.2">
      <c r="A189" s="5"/>
    </row>
    <row r="190" spans="1:1" x14ac:dyDescent="0.2">
      <c r="A190" s="5"/>
    </row>
    <row r="191" spans="1:1" x14ac:dyDescent="0.2">
      <c r="A191" s="5"/>
    </row>
    <row r="192" spans="1:1" x14ac:dyDescent="0.2">
      <c r="A192" s="5"/>
    </row>
    <row r="193" spans="1:1" x14ac:dyDescent="0.2">
      <c r="A193" s="5"/>
    </row>
    <row r="194" spans="1:1" x14ac:dyDescent="0.2">
      <c r="A194" s="5"/>
    </row>
    <row r="195" spans="1:1" x14ac:dyDescent="0.2">
      <c r="A195" s="5"/>
    </row>
    <row r="196" spans="1:1" x14ac:dyDescent="0.2">
      <c r="A196" s="5"/>
    </row>
    <row r="197" spans="1:1" x14ac:dyDescent="0.2">
      <c r="A197" s="5"/>
    </row>
    <row r="198" spans="1:1" x14ac:dyDescent="0.2">
      <c r="A198" s="5"/>
    </row>
    <row r="199" spans="1:1" x14ac:dyDescent="0.2">
      <c r="A199" s="5"/>
    </row>
    <row r="200" spans="1:1" x14ac:dyDescent="0.2">
      <c r="A200" s="5"/>
    </row>
  </sheetData>
  <phoneticPr fontId="3"/>
  <conditionalFormatting sqref="H150:H160">
    <cfRule dxfId="486" priority="14" type="expression">
      <formula>$H$150&lt;&gt;""</formula>
    </cfRule>
  </conditionalFormatting>
  <conditionalFormatting sqref="I150:I160">
    <cfRule dxfId="485" priority="13" type="expression">
      <formula>$I$150&lt;&gt;""</formula>
    </cfRule>
  </conditionalFormatting>
  <conditionalFormatting sqref="J150:J160">
    <cfRule dxfId="484" priority="12" type="expression">
      <formula>$J$150&lt;&gt;""</formula>
    </cfRule>
  </conditionalFormatting>
  <conditionalFormatting sqref="K150:K160">
    <cfRule dxfId="483" priority="11" type="expression">
      <formula>$K$150&lt;&gt;""</formula>
    </cfRule>
  </conditionalFormatting>
  <conditionalFormatting sqref="G86:G96">
    <cfRule dxfId="482" priority="10" type="expression">
      <formula>$G$86&lt;&gt;""</formula>
    </cfRule>
  </conditionalFormatting>
  <conditionalFormatting sqref="B7:H30 O7:U30 AB7:AH30">
    <cfRule dxfId="481" operator="greaterThanOrEqual" priority="15" stopIfTrue="1" type="cellIs">
      <formula>$V$1</formula>
    </cfRule>
    <cfRule dxfId="480" operator="greaterThanOrEqual" priority="16" stopIfTrue="1" type="cellIs">
      <formula>$V$2</formula>
    </cfRule>
    <cfRule dxfId="479" operator="greaterThanOrEqual" priority="17" stopIfTrue="1" type="cellIs">
      <formula>$V$3</formula>
    </cfRule>
  </conditionalFormatting>
  <conditionalFormatting sqref="B33:H56 O33:U56 AB33:AH56">
    <cfRule dxfId="478" operator="greaterThanOrEqual" priority="7" stopIfTrue="1" type="cellIs">
      <formula>$V$1</formula>
    </cfRule>
    <cfRule dxfId="477" operator="greaterThanOrEqual" priority="8" stopIfTrue="1" type="cellIs">
      <formula>$V$2</formula>
    </cfRule>
    <cfRule dxfId="476" operator="greaterThanOrEqual" priority="9" stopIfTrue="1" type="cellIs">
      <formula>$V$3</formula>
    </cfRule>
  </conditionalFormatting>
  <conditionalFormatting sqref="B59:H82 O59:U82 AB59:AH82">
    <cfRule dxfId="475" operator="greaterThanOrEqual" priority="4" stopIfTrue="1" type="cellIs">
      <formula>$V$1</formula>
    </cfRule>
    <cfRule dxfId="474" operator="greaterThanOrEqual" priority="5" stopIfTrue="1" type="cellIs">
      <formula>$V$2</formula>
    </cfRule>
    <cfRule dxfId="473" operator="greaterThanOrEqual" priority="6" stopIfTrue="1" type="cellIs">
      <formula>$V$3</formula>
    </cfRule>
  </conditionalFormatting>
  <pageMargins bottom="0.78740157480314965" footer="0.19685039370078741" header="0.35433070866141736" left="0.27559055118110237" right="0.23622047244094491" top="0.78740157480314965"/>
  <pageSetup orientation="landscape" pageOrder="overThenDown" paperSize="9" r:id="rId1"/>
  <headerFooter alignWithMargins="0">
    <oddFooter>&amp;C&amp;P/&amp;N</oddFooter>
  </headerFooter>
  <drawing r:id="rId2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36"/>
  <sheetViews>
    <sheetView workbookViewId="0" zoomScaleNormal="100">
      <pane activePane="bottomLeft" state="frozen" topLeftCell="A6" ySplit="5"/>
      <selection pane="bottomLeft"/>
    </sheetView>
  </sheetViews>
  <sheetFormatPr defaultColWidth="9" defaultRowHeight="11" x14ac:dyDescent="0.2"/>
  <cols>
    <col min="1" max="1" customWidth="true" style="1" width="6.6328125" collapsed="false"/>
    <col min="2" max="8" customWidth="true" style="1" width="5.6328125" collapsed="false"/>
    <col min="9" max="10" customWidth="true" style="1" width="6.08984375" collapsed="false"/>
    <col min="11" max="11" customWidth="true" style="1" width="6.36328125" collapsed="false"/>
    <col min="12" max="12" customWidth="true" style="1" width="6.08984375" collapsed="false"/>
    <col min="13" max="13" customWidth="true" style="1" width="1.7265625" collapsed="false"/>
    <col min="14" max="14" customWidth="true" style="1" width="6.6328125" collapsed="false"/>
    <col min="15" max="21" customWidth="true" style="1" width="5.6328125" collapsed="false"/>
    <col min="22" max="23" customWidth="true" style="1" width="6.08984375" collapsed="false"/>
    <col min="24" max="24" customWidth="true" style="1" width="6.36328125" collapsed="false"/>
    <col min="25" max="25" customWidth="true" style="1" width="6.08984375" collapsed="false"/>
    <col min="26" max="26" customWidth="true" style="1" width="1.90625" collapsed="false"/>
    <col min="27" max="27" customWidth="true" style="1" width="6.6328125" collapsed="false"/>
    <col min="28" max="34" customWidth="true" style="1" width="5.6328125" collapsed="false"/>
    <col min="35" max="36" customWidth="true" style="1" width="6.08984375" collapsed="false"/>
    <col min="37" max="37" customWidth="true" style="1" width="6.36328125" collapsed="false"/>
    <col min="38" max="38" customWidth="true" style="1" width="6.08984375" collapsed="false"/>
    <col min="39" max="47" customWidth="true" style="1" width="5.6328125" collapsed="false"/>
    <col min="48" max="16384" style="1" width="9.0" collapsed="false"/>
  </cols>
  <sheetData>
    <row customHeight="1" ht="11.25" r="1" spans="1:46" x14ac:dyDescent="0.2">
      <c r="A1" s="134"/>
      <c r="B1" s="135"/>
      <c r="C1" s="136"/>
      <c r="D1" s="136"/>
      <c r="E1" s="136"/>
      <c r="F1" s="136"/>
      <c r="G1" s="136"/>
      <c r="H1" s="136"/>
      <c r="I1" s="137" t="s">
        <v>0</v>
      </c>
      <c r="J1" s="135"/>
      <c r="K1" s="138" t="s">
        <v>869</v>
      </c>
      <c r="L1" s="138"/>
      <c r="M1" s="139"/>
      <c r="N1" s="139"/>
      <c r="O1" s="139"/>
      <c r="P1" s="139"/>
      <c r="Q1" s="139"/>
      <c r="R1" s="139"/>
      <c r="S1" s="139"/>
      <c r="T1" s="139"/>
      <c r="U1" s="140"/>
      <c r="V1" s="147" t="n">
        <v>0.6</v>
      </c>
      <c r="W1" s="142" t="s">
        <v>1</v>
      </c>
      <c r="X1" s="139"/>
      <c r="Y1" s="139"/>
      <c r="Z1" s="136"/>
      <c r="AA1" s="143"/>
      <c r="AB1" s="143"/>
      <c r="AC1" s="143"/>
      <c r="AD1" s="143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</row>
    <row customHeight="1" ht="11.25" r="2" spans="1:46" x14ac:dyDescent="0.2">
      <c r="A2" s="134"/>
      <c r="B2" s="135"/>
      <c r="C2" s="136"/>
      <c r="D2" s="136"/>
      <c r="E2" s="136"/>
      <c r="F2" s="136"/>
      <c r="G2" s="136"/>
      <c r="H2" s="136"/>
      <c r="I2" s="137" t="s">
        <v>2</v>
      </c>
      <c r="J2" s="135"/>
      <c r="K2" s="138" t="s">
        <v>870</v>
      </c>
      <c r="L2" s="138"/>
      <c r="M2" s="139"/>
      <c r="N2" s="139"/>
      <c r="O2" s="139"/>
      <c r="P2" s="139"/>
      <c r="Q2" s="139"/>
      <c r="R2" s="139"/>
      <c r="S2" s="139"/>
      <c r="T2" s="139"/>
      <c r="U2" s="144"/>
      <c r="V2" s="147" t="n">
        <v>0.5</v>
      </c>
      <c r="W2" s="142" t="s">
        <v>1</v>
      </c>
      <c r="X2" s="139"/>
      <c r="Y2" s="139"/>
      <c r="Z2" s="136"/>
      <c r="AA2" s="143"/>
      <c r="AB2" s="143"/>
      <c r="AC2" s="143"/>
      <c r="AD2" s="143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</row>
    <row customHeight="1" ht="11.25" r="3" spans="1:46" x14ac:dyDescent="0.2">
      <c r="A3" s="134"/>
      <c r="B3" s="135"/>
      <c r="C3" s="136"/>
      <c r="D3" s="136"/>
      <c r="E3" s="136"/>
      <c r="F3" s="145" t="s">
        <v>873</v>
      </c>
      <c r="G3" s="136"/>
      <c r="H3" s="136"/>
      <c r="I3" s="137" t="s">
        <v>3</v>
      </c>
      <c r="J3" s="135"/>
      <c r="K3" s="138" t="s">
        <v>871</v>
      </c>
      <c r="L3" s="138"/>
      <c r="M3" s="139"/>
      <c r="N3" s="139"/>
      <c r="O3" s="139"/>
      <c r="P3" s="139"/>
      <c r="Q3" s="139"/>
      <c r="R3" s="139"/>
      <c r="S3" s="139"/>
      <c r="T3" s="139"/>
      <c r="U3" s="146"/>
      <c r="V3" s="147" t="n">
        <v>0.4</v>
      </c>
      <c r="W3" s="142" t="s">
        <v>1</v>
      </c>
      <c r="X3" s="139"/>
      <c r="Y3" s="139"/>
      <c r="Z3" s="136"/>
      <c r="AA3" s="143"/>
      <c r="AB3" s="143"/>
      <c r="AC3" s="143"/>
      <c r="AD3" s="143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</row>
    <row customHeight="1" ht="11.25" r="4" spans="1:46" x14ac:dyDescent="0.2">
      <c r="A4" s="134"/>
      <c r="B4" s="135"/>
      <c r="C4" s="136"/>
      <c r="D4" s="136"/>
      <c r="E4" s="136"/>
      <c r="F4" s="136"/>
      <c r="G4" s="136"/>
      <c r="H4" s="136"/>
      <c r="I4" s="137" t="s">
        <v>50</v>
      </c>
      <c r="J4" s="135"/>
      <c r="K4" s="138" t="s">
        <v>872</v>
      </c>
      <c r="L4" s="138"/>
      <c r="M4" s="139"/>
      <c r="N4" s="139"/>
      <c r="O4" s="139"/>
      <c r="P4" s="139"/>
      <c r="Q4" s="139"/>
      <c r="R4" s="139"/>
      <c r="S4" s="139"/>
      <c r="T4" s="139"/>
      <c r="U4" s="136"/>
      <c r="V4" s="156" t="s">
        <v>875</v>
      </c>
      <c r="W4" s="136"/>
      <c r="X4" s="139"/>
      <c r="Y4" s="139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</row>
    <row customHeight="1" ht="11.25" r="5" spans="1:46" x14ac:dyDescent="0.2">
      <c r="A5" s="136" t="s">
        <v>874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57" t="s">
        <v>876</v>
      </c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</row>
    <row r="6" spans="1:46" x14ac:dyDescent="0.2">
      <c r="A6" s="40" t="s">
        <v>878</v>
      </c>
      <c r="B6" s="41" t="s">
        <v>4</v>
      </c>
      <c r="C6" s="41" t="s">
        <v>5</v>
      </c>
      <c r="D6" s="41" t="s">
        <v>6</v>
      </c>
      <c r="E6" s="41" t="s">
        <v>7</v>
      </c>
      <c r="F6" s="41" t="s">
        <v>8</v>
      </c>
      <c r="G6" s="41" t="s">
        <v>9</v>
      </c>
      <c r="H6" s="41" t="s">
        <v>10</v>
      </c>
      <c r="I6" s="42" t="s">
        <v>11</v>
      </c>
      <c r="J6" s="43" t="s">
        <v>12</v>
      </c>
      <c r="K6" s="2"/>
      <c r="L6" s="2"/>
      <c r="N6" s="40" t="s">
        <v>879</v>
      </c>
      <c r="O6" s="41" t="s">
        <v>4</v>
      </c>
      <c r="P6" s="41" t="s">
        <v>5</v>
      </c>
      <c r="Q6" s="41" t="s">
        <v>6</v>
      </c>
      <c r="R6" s="41" t="s">
        <v>7</v>
      </c>
      <c r="S6" s="41" t="s">
        <v>8</v>
      </c>
      <c r="T6" s="41" t="s">
        <v>9</v>
      </c>
      <c r="U6" s="41" t="s">
        <v>10</v>
      </c>
      <c r="V6" s="42" t="s">
        <v>11</v>
      </c>
      <c r="W6" s="43" t="s">
        <v>12</v>
      </c>
      <c r="X6" s="2"/>
      <c r="Y6" s="2"/>
      <c r="Z6" s="5"/>
      <c r="AA6" s="40" t="s">
        <v>100</v>
      </c>
      <c r="AB6" s="41" t="s">
        <v>4</v>
      </c>
      <c r="AC6" s="41" t="s">
        <v>5</v>
      </c>
      <c r="AD6" s="41" t="s">
        <v>6</v>
      </c>
      <c r="AE6" s="41" t="s">
        <v>7</v>
      </c>
      <c r="AF6" s="41" t="s">
        <v>8</v>
      </c>
      <c r="AG6" s="41" t="s">
        <v>9</v>
      </c>
      <c r="AH6" s="41" t="s">
        <v>10</v>
      </c>
      <c r="AI6" s="42" t="s">
        <v>11</v>
      </c>
      <c r="AJ6" s="43" t="s">
        <v>12</v>
      </c>
      <c r="AK6" s="2"/>
      <c r="AL6" s="2"/>
    </row>
    <row r="7" spans="1:46" x14ac:dyDescent="0.2">
      <c r="A7" s="44" t="s">
        <v>16</v>
      </c>
      <c r="B7" s="33" t="n">
        <f>IF(世帯!B7&lt;&gt;0,'男女　３５～４９才'!B7/世帯!B7,0)</f>
        <v>0.2608695652173913</v>
      </c>
      <c r="C7" s="33" t="n">
        <f>IF(世帯!C7&lt;&gt;0,'男女　３５～４９才'!C7/世帯!C7,0)</f>
        <v>0.3181818181818181</v>
      </c>
      <c r="D7" s="33" t="n">
        <f>IF(世帯!D7&lt;&gt;0,'男女　３５～４９才'!D7/世帯!D7,0)</f>
        <v>0.3478260869565218</v>
      </c>
      <c r="E7" s="33" t="n">
        <f>IF(世帯!E7&lt;&gt;0,'男女　３５～４９才'!E7/世帯!E7,0)</f>
        <v>0.3478260869565218</v>
      </c>
      <c r="F7" s="33" t="n">
        <f>IF(世帯!F7&lt;&gt;0,'男女　３５～４９才'!F7/世帯!F7,0)</f>
        <v>0.3181818181818181</v>
      </c>
      <c r="G7" s="33" t="n">
        <f>IF(世帯!G7&lt;&gt;0,'男女　３５～４９才'!G7/世帯!G7,0)</f>
        <v>0.4166666666666667</v>
      </c>
      <c r="H7" s="33" t="n">
        <f>IF(世帯!H7&lt;&gt;0,'男女　３５～４９才'!H7/世帯!H7,0)</f>
        <v>0.4285714285714286</v>
      </c>
      <c r="I7" s="34" t="n">
        <f>IF(世帯!I7&lt;&gt;0,'男女　３５～４９才'!I7/世帯!I7,0)</f>
        <v>0.30434782608695654</v>
      </c>
      <c r="J7" s="59" t="n">
        <f>IF(世帯!J7&lt;&gt;0,'男女　３５～４９才'!J7/世帯!J7,0)</f>
        <v>0.3157894736842105</v>
      </c>
      <c r="K7" s="6"/>
      <c r="L7" s="6"/>
      <c r="N7" s="44" t="s">
        <v>16</v>
      </c>
      <c r="O7" s="33" t="n">
        <f>IF(世帯!O7&lt;&gt;0,'男女　３５～４９才'!O7/世帯!O7,0)</f>
        <v>0.20833333333333334</v>
      </c>
      <c r="P7" s="33" t="n">
        <f>IF(世帯!P7&lt;&gt;0,'男女　３５～４９才'!P7/世帯!P7,0)</f>
        <v>0.2173913043478261</v>
      </c>
      <c r="Q7" s="33" t="n">
        <f>IF(世帯!Q7&lt;&gt;0,'男女　３５～４９才'!Q7/世帯!Q7,0)</f>
        <v>0.16666666666666669</v>
      </c>
      <c r="R7" s="33" t="n">
        <f>IF(世帯!R7&lt;&gt;0,'男女　３５～４９才'!R7/世帯!R7,0)</f>
        <v>0.2173913043478261</v>
      </c>
      <c r="S7" s="33" t="n">
        <f>IF(世帯!S7&lt;&gt;0,'男女　３５～４９才'!S7/世帯!S7,0)</f>
        <v>0.18181818181818182</v>
      </c>
      <c r="T7" s="33" t="n">
        <f>IF(世帯!T7&lt;&gt;0,'男女　３５～４９才'!T7/世帯!T7,0)</f>
        <v>0.28571428571428575</v>
      </c>
      <c r="U7" s="33" t="n">
        <f>IF(世帯!U7&lt;&gt;0,'男女　３５～４９才'!U7/世帯!U7,0)</f>
        <v>0.37499999999999994</v>
      </c>
      <c r="V7" s="34" t="n">
        <f>IF(世帯!V7&lt;&gt;0,'男女　３５～４９才'!V7/世帯!V7,0)</f>
        <v>0.2173913043478261</v>
      </c>
      <c r="W7" s="59" t="n">
        <f>IF(世帯!W7&lt;&gt;0,'男女　３５～４９才'!W7/世帯!W7,0)</f>
        <v>0.2</v>
      </c>
      <c r="X7" s="6"/>
      <c r="Y7" s="6"/>
      <c r="Z7" s="5"/>
      <c r="AA7" s="44" t="s">
        <v>16</v>
      </c>
      <c r="AB7" s="33" t="n">
        <f>IF(世帯!AB7&lt;&gt;0,'男女　３５～４９才'!AB7/世帯!AB7,0)</f>
        <v>0.2173913043478261</v>
      </c>
      <c r="AC7" s="33" t="n">
        <f>IF(世帯!AC7&lt;&gt;0,'男女　３５～４９才'!AC7/世帯!AC7,0)</f>
        <v>0.25</v>
      </c>
      <c r="AD7" s="33" t="n">
        <f>IF(世帯!AD7&lt;&gt;0,'男女　３５～４９才'!AD7/世帯!AD7,0)</f>
        <v>0.2727272727272727</v>
      </c>
      <c r="AE7" s="33" t="n">
        <f>IF(世帯!AE7&lt;&gt;0,'男女　３５～４９才'!AE7/世帯!AE7,0)</f>
        <v>0.30434782608695654</v>
      </c>
      <c r="AF7" s="33" t="n">
        <f>IF(世帯!AF7&lt;&gt;0,'男女　３５～４９才'!AF7/世帯!AF7,0)</f>
        <v>0.3181818181818181</v>
      </c>
      <c r="AG7" s="33" t="n">
        <f>IF(世帯!AG7&lt;&gt;0,'男女　３５～４９才'!AG7/世帯!AG7,0)</f>
        <v>0.26666666666666666</v>
      </c>
      <c r="AH7" s="33" t="n">
        <f>IF(世帯!AH7&lt;&gt;0,'男女　３５～４９才'!AH7/世帯!AH7,0)</f>
        <v>0.36363636363636365</v>
      </c>
      <c r="AI7" s="34" t="n">
        <f>IF(世帯!AI7&lt;&gt;0,'男女　３５～４９才'!AI7/世帯!AI7,0)</f>
        <v>0.2608695652173913</v>
      </c>
      <c r="AJ7" s="59" t="n">
        <f>IF(世帯!AJ7&lt;&gt;0,'男女　３５～４９才'!AJ7/世帯!AJ7,0)</f>
        <v>0.3</v>
      </c>
      <c r="AK7" s="6"/>
      <c r="AL7" s="6"/>
    </row>
    <row r="8" spans="1:46" x14ac:dyDescent="0.2">
      <c r="A8" s="46" t="s">
        <v>17</v>
      </c>
      <c r="B8" s="33" t="n">
        <f>IF(世帯!B8&lt;&gt;0,'男女　３５～４９才'!B8/世帯!B8,0)</f>
        <v>0.5094339622641509</v>
      </c>
      <c r="C8" s="33" t="n">
        <f>IF(世帯!C8&lt;&gt;0,'男女　３５～４９才'!C8/世帯!C8,0)</f>
        <v>0.5192307692307693</v>
      </c>
      <c r="D8" s="33" t="n">
        <f>IF(世帯!D8&lt;&gt;0,'男女　３５～４９才'!D8/世帯!D8,0)</f>
        <v>0.5</v>
      </c>
      <c r="E8" s="33" t="n">
        <f>IF(世帯!E8&lt;&gt;0,'男女　３５～４９才'!E8/世帯!E8,0)</f>
        <v>0.5384615384615384</v>
      </c>
      <c r="F8" s="33" t="n">
        <f>IF(世帯!F8&lt;&gt;0,'男女　３５～４９才'!F8/世帯!F8,0)</f>
        <v>0.48</v>
      </c>
      <c r="G8" s="33" t="n">
        <f>IF(世帯!G8&lt;&gt;0,'男女　３５～４９才'!G8/世帯!G8,0)</f>
        <v>0.3333333333333333</v>
      </c>
      <c r="H8" s="33" t="n">
        <f>IF(世帯!H8&lt;&gt;0,'男女　３５～４９才'!H8/世帯!H8,0)</f>
        <v>0.3103448275862069</v>
      </c>
      <c r="I8" s="34" t="n">
        <f>IF(世帯!I8&lt;&gt;0,'男女　３５～４９才'!I8/世帯!I8,0)</f>
        <v>0.5</v>
      </c>
      <c r="J8" s="59" t="n">
        <f>IF(世帯!J8&lt;&gt;0,'男女　３５～４９才'!J8/世帯!J8,0)</f>
        <v>0.46808510638297873</v>
      </c>
      <c r="K8" s="6"/>
      <c r="L8" s="6"/>
      <c r="N8" s="46" t="s">
        <v>17</v>
      </c>
      <c r="O8" s="33" t="n">
        <f>IF(世帯!O8&lt;&gt;0,'男女　３５～４９才'!O8/世帯!O8,0)</f>
        <v>0.30158730158730157</v>
      </c>
      <c r="P8" s="33" t="n">
        <f>IF(世帯!P8&lt;&gt;0,'男女　３５～４９才'!P8/世帯!P8,0)</f>
        <v>0.30645161290322576</v>
      </c>
      <c r="Q8" s="33" t="n">
        <f>IF(世帯!Q8&lt;&gt;0,'男女　３５～４９才'!Q8/世帯!Q8,0)</f>
        <v>0.28571428571428575</v>
      </c>
      <c r="R8" s="33" t="n">
        <f>IF(世帯!R8&lt;&gt;0,'男女　３５～４９才'!R8/世帯!R8,0)</f>
        <v>0.30158730158730157</v>
      </c>
      <c r="S8" s="33" t="n">
        <f>IF(世帯!S8&lt;&gt;0,'男女　３５～４９才'!S8/世帯!S8,0)</f>
        <v>0.26229508196721313</v>
      </c>
      <c r="T8" s="33" t="n">
        <f>IF(世帯!T8&lt;&gt;0,'男女　３５～４９才'!T8/世帯!T8,0)</f>
        <v>0.19607843137254904</v>
      </c>
      <c r="U8" s="33" t="n">
        <f>IF(世帯!U8&lt;&gt;0,'男女　３５～４９才'!U8/世帯!U8,0)</f>
        <v>0.2222222222222222</v>
      </c>
      <c r="V8" s="34" t="n">
        <f>IF(世帯!V8&lt;&gt;0,'男女　３５～４９才'!V8/世帯!V8,0)</f>
        <v>0.2903225806451613</v>
      </c>
      <c r="W8" s="59" t="n">
        <f>IF(世帯!W8&lt;&gt;0,'男女　３５～４９才'!W8/世帯!W8,0)</f>
        <v>0.26666666666666666</v>
      </c>
      <c r="X8" s="6"/>
      <c r="Y8" s="6"/>
      <c r="Z8" s="5"/>
      <c r="AA8" s="46" t="s">
        <v>17</v>
      </c>
      <c r="AB8" s="33" t="n">
        <f>IF(世帯!AB8&lt;&gt;0,'男女　３５～４９才'!AB8/世帯!AB8,0)</f>
        <v>0.4054054054054054</v>
      </c>
      <c r="AC8" s="33" t="n">
        <f>IF(世帯!AC8&lt;&gt;0,'男女　３５～４９才'!AC8/世帯!AC8,0)</f>
        <v>0.4444444444444445</v>
      </c>
      <c r="AD8" s="33" t="n">
        <f>IF(世帯!AD8&lt;&gt;0,'男女　３５～４９才'!AD8/世帯!AD8,0)</f>
        <v>0.5142857142857143</v>
      </c>
      <c r="AE8" s="33" t="n">
        <f>IF(世帯!AE8&lt;&gt;0,'男女　３５～４９才'!AE8/世帯!AE8,0)</f>
        <v>0.48648648648648646</v>
      </c>
      <c r="AF8" s="33" t="n">
        <f>IF(世帯!AF8&lt;&gt;0,'男女　３５～４９才'!AF8/世帯!AF8,0)</f>
        <v>0.42424242424242425</v>
      </c>
      <c r="AG8" s="33" t="n">
        <f>IF(世帯!AG8&lt;&gt;0,'男女　３５～４９才'!AG8/世帯!AG8,0)</f>
        <v>0.6470588235294118</v>
      </c>
      <c r="AH8" s="33" t="n">
        <f>IF(世帯!AH8&lt;&gt;0,'男女　３５～４９才'!AH8/世帯!AH8,0)</f>
        <v>0.3225806451612903</v>
      </c>
      <c r="AI8" s="34" t="n">
        <f>IF(世帯!AI8&lt;&gt;0,'男女　３５～４９才'!AI8/世帯!AI8,0)</f>
        <v>0.4444444444444445</v>
      </c>
      <c r="AJ8" s="59" t="n">
        <f>IF(世帯!AJ8&lt;&gt;0,'男女　３５～４９才'!AJ8/世帯!AJ8,0)</f>
        <v>0.4545454545454546</v>
      </c>
      <c r="AK8" s="6"/>
      <c r="AL8" s="6"/>
    </row>
    <row r="9" spans="1:46" x14ac:dyDescent="0.2">
      <c r="A9" s="46" t="s">
        <v>18</v>
      </c>
      <c r="B9" s="33" t="n">
        <f>IF(世帯!B9&lt;&gt;0,'男女　３５～４９才'!B9/世帯!B9,0)</f>
        <v>0.5394736842105263</v>
      </c>
      <c r="C9" s="33" t="n">
        <f>IF(世帯!C9&lt;&gt;0,'男女　３５～４９才'!C9/世帯!C9,0)</f>
        <v>0.5657894736842105</v>
      </c>
      <c r="D9" s="33" t="n">
        <f>IF(世帯!D9&lt;&gt;0,'男女　３５～４９才'!D9/世帯!D9,0)</f>
        <v>0.5466666666666666</v>
      </c>
      <c r="E9" s="33" t="n">
        <f>IF(世帯!E9&lt;&gt;0,'男女　３５～４９才'!E9/世帯!E9,0)</f>
        <v>0.5675675675675675</v>
      </c>
      <c r="F9" s="33" t="n">
        <f>IF(世帯!F9&lt;&gt;0,'男女　３５～４９才'!F9/世帯!F9,0)</f>
        <v>0.5070422535211268</v>
      </c>
      <c r="G9" s="33" t="n">
        <f>IF(世帯!G9&lt;&gt;0,'男女　３５～４９才'!G9/世帯!G9,0)</f>
        <v>0.3582089552238806</v>
      </c>
      <c r="H9" s="33" t="n">
        <f>IF(世帯!H9&lt;&gt;0,'男女　３５～４９才'!H9/世帯!H9,0)</f>
        <v>0.3230769230769231</v>
      </c>
      <c r="I9" s="34" t="n">
        <f>IF(世帯!I9&lt;&gt;0,'男女　３５～４９才'!I9/世帯!I9,0)</f>
        <v>0.5466666666666666</v>
      </c>
      <c r="J9" s="59" t="n">
        <f>IF(世帯!J9&lt;&gt;0,'男女　３５～４９才'!J9/世帯!J9,0)</f>
        <v>0.4861111111111111</v>
      </c>
      <c r="K9" s="6"/>
      <c r="L9" s="6"/>
      <c r="N9" s="46" t="s">
        <v>18</v>
      </c>
      <c r="O9" s="33" t="n">
        <f>IF(世帯!O9&lt;&gt;0,'男女　３５～４９才'!O9/世帯!O9,0)</f>
        <v>0.2727272727272727</v>
      </c>
      <c r="P9" s="33" t="n">
        <f>IF(世帯!P9&lt;&gt;0,'男女　３５～４９才'!P9/世帯!P9,0)</f>
        <v>0.2777777777777778</v>
      </c>
      <c r="Q9" s="33" t="n">
        <f>IF(世帯!Q9&lt;&gt;0,'男女　３５～４９才'!Q9/世帯!Q9,0)</f>
        <v>0.28571428571428575</v>
      </c>
      <c r="R9" s="33" t="n">
        <f>IF(世帯!R9&lt;&gt;0,'男女　３５～４９才'!R9/世帯!R9,0)</f>
        <v>0.27173913043478265</v>
      </c>
      <c r="S9" s="33" t="n">
        <f>IF(世帯!S9&lt;&gt;0,'男女　３５～４９才'!S9/世帯!S9,0)</f>
        <v>0.25274725274725274</v>
      </c>
      <c r="T9" s="33" t="n">
        <f>IF(世帯!T9&lt;&gt;0,'男女　３５～４９才'!T9/世帯!T9,0)</f>
        <v>0.19767441860465115</v>
      </c>
      <c r="U9" s="33" t="n">
        <f>IF(世帯!U9&lt;&gt;0,'男女　３５～４９才'!U9/世帯!U9,0)</f>
        <v>0.26666666666666666</v>
      </c>
      <c r="V9" s="34" t="n">
        <f>IF(世帯!V9&lt;&gt;0,'男女　３５～４９才'!V9/世帯!V9,0)</f>
        <v>0.2777777777777778</v>
      </c>
      <c r="W9" s="59" t="n">
        <f>IF(世帯!W9&lt;&gt;0,'男女　３５～４９才'!W9/世帯!W9,0)</f>
        <v>0.26436781609195403</v>
      </c>
      <c r="X9" s="6"/>
      <c r="Y9" s="6"/>
      <c r="Z9" s="5"/>
      <c r="AA9" s="46" t="s">
        <v>18</v>
      </c>
      <c r="AB9" s="33" t="n">
        <f>IF(世帯!AB9&lt;&gt;0,'男女　３５～４９才'!AB9/世帯!AB9,0)</f>
        <v>0.47826086956521746</v>
      </c>
      <c r="AC9" s="33" t="n">
        <f>IF(世帯!AC9&lt;&gt;0,'男女　３５～４９才'!AC9/世帯!AC9,0)</f>
        <v>0.5116279069767442</v>
      </c>
      <c r="AD9" s="33" t="n">
        <f>IF(世帯!AD9&lt;&gt;0,'男女　３５～４９才'!AD9/世帯!AD9,0)</f>
        <v>0.48888888888888893</v>
      </c>
      <c r="AE9" s="33" t="n">
        <f>IF(世帯!AE9&lt;&gt;0,'男女　３５～４９才'!AE9/世帯!AE9,0)</f>
        <v>0.5777777777777778</v>
      </c>
      <c r="AF9" s="33" t="n">
        <f>IF(世帯!AF9&lt;&gt;0,'男女　３５～４９才'!AF9/世帯!AF9,0)</f>
        <v>0.4390243902439025</v>
      </c>
      <c r="AG9" s="33" t="n">
        <f>IF(世帯!AG9&lt;&gt;0,'男女　３５～４９才'!AG9/世帯!AG9,0)</f>
        <v>0.6923076923076923</v>
      </c>
      <c r="AH9" s="33" t="n">
        <f>IF(世帯!AH9&lt;&gt;0,'男女　３５～４９才'!AH9/世帯!AH9,0)</f>
        <v>0.29310344827586204</v>
      </c>
      <c r="AI9" s="34" t="n">
        <f>IF(世帯!AI9&lt;&gt;0,'男女　３５～４９才'!AI9/世帯!AI9,0)</f>
        <v>0.5</v>
      </c>
      <c r="AJ9" s="59" t="n">
        <f>IF(世帯!AJ9&lt;&gt;0,'男女　３５～４９才'!AJ9/世帯!AJ9,0)</f>
        <v>0.47727272727272724</v>
      </c>
      <c r="AK9" s="6"/>
      <c r="AL9" s="6"/>
    </row>
    <row r="10" spans="1:46" x14ac:dyDescent="0.2">
      <c r="A10" s="46" t="s">
        <v>19</v>
      </c>
      <c r="B10" s="33" t="n">
        <f>IF(世帯!B10&lt;&gt;0,'男女　３５～４９才'!B10/世帯!B10,0)</f>
        <v>0.5357142857142857</v>
      </c>
      <c r="C10" s="33" t="n">
        <f>IF(世帯!C10&lt;&gt;0,'男女　３５～４９才'!C10/世帯!C10,0)</f>
        <v>0.5454545454545454</v>
      </c>
      <c r="D10" s="33" t="n">
        <f>IF(世帯!D10&lt;&gt;0,'男女　３５～４９才'!D10/世帯!D10,0)</f>
        <v>0.5689655172413793</v>
      </c>
      <c r="E10" s="33" t="n">
        <f>IF(世帯!E10&lt;&gt;0,'男女　３５～４９才'!E10/世帯!E10,0)</f>
        <v>0.5166666666666667</v>
      </c>
      <c r="F10" s="33" t="n">
        <f>IF(世帯!F10&lt;&gt;0,'男女　３５～４９才'!F10/世帯!F10,0)</f>
        <v>0.4915254237288135</v>
      </c>
      <c r="G10" s="33" t="n">
        <f>IF(世帯!G10&lt;&gt;0,'男女　３５～４９才'!G10/世帯!G10,0)</f>
        <v>0.3170731707317074</v>
      </c>
      <c r="H10" s="33" t="n">
        <f>IF(世帯!H10&lt;&gt;0,'男女　３５～４９才'!H10/世帯!H10,0)</f>
        <v>0.4036697247706422</v>
      </c>
      <c r="I10" s="34" t="n">
        <f>IF(世帯!I10&lt;&gt;0,'男女　３５～４９才'!I10/世帯!I10,0)</f>
        <v>0.543859649122807</v>
      </c>
      <c r="J10" s="59" t="n">
        <f>IF(世帯!J10&lt;&gt;0,'男女　３５～４９才'!J10/世帯!J10,0)</f>
        <v>0.463768115942029</v>
      </c>
      <c r="K10" s="6"/>
      <c r="L10" s="6"/>
      <c r="N10" s="46" t="s">
        <v>19</v>
      </c>
      <c r="O10" s="33" t="n">
        <f>IF(世帯!O10&lt;&gt;0,'男女　３５～４９才'!O10/世帯!O10,0)</f>
        <v>0.15315315315315314</v>
      </c>
      <c r="P10" s="33" t="n">
        <f>IF(世帯!P10&lt;&gt;0,'男女　３５～４９才'!P10/世帯!P10,0)</f>
        <v>0.14814814814814814</v>
      </c>
      <c r="Q10" s="33" t="n">
        <f>IF(世帯!Q10&lt;&gt;0,'男女　３５～４９才'!Q10/世帯!Q10,0)</f>
        <v>0.15315315315315314</v>
      </c>
      <c r="R10" s="33" t="n">
        <f>IF(世帯!R10&lt;&gt;0,'男女　３５～４９才'!R10/世帯!R10,0)</f>
        <v>0.1415929203539823</v>
      </c>
      <c r="S10" s="33" t="n">
        <f>IF(世帯!S10&lt;&gt;0,'男女　３５～４９才'!S10/世帯!S10,0)</f>
        <v>0.15044247787610618</v>
      </c>
      <c r="T10" s="33" t="n">
        <f>IF(世帯!T10&lt;&gt;0,'男女　３５～４９才'!T10/世帯!T10,0)</f>
        <v>0.18421052631578946</v>
      </c>
      <c r="U10" s="33" t="n">
        <f>IF(世帯!U10&lt;&gt;0,'男女　３５～４９才'!U10/世帯!U10,0)</f>
        <v>0.44680851063829785</v>
      </c>
      <c r="V10" s="34" t="n">
        <f>IF(世帯!V10&lt;&gt;0,'男女　３５～４９才'!V10/世帯!V10,0)</f>
        <v>0.15315315315315314</v>
      </c>
      <c r="W10" s="59" t="n">
        <f>IF(世帯!W10&lt;&gt;0,'男女　３５～４９才'!W10/世帯!W10,0)</f>
        <v>0.17708333333333334</v>
      </c>
      <c r="X10" s="6"/>
      <c r="Y10" s="6"/>
      <c r="Z10" s="5"/>
      <c r="AA10" s="46" t="s">
        <v>19</v>
      </c>
      <c r="AB10" s="33" t="n">
        <f>IF(世帯!AB10&lt;&gt;0,'男女　３５～４９才'!AB10/世帯!AB10,0)</f>
        <v>0.6785714285714286</v>
      </c>
      <c r="AC10" s="33" t="n">
        <f>IF(世帯!AC10&lt;&gt;0,'男女　３５～４９才'!AC10/世帯!AC10,0)</f>
        <v>0.7307692307692307</v>
      </c>
      <c r="AD10" s="33" t="n">
        <f>IF(世帯!AD10&lt;&gt;0,'男女　３５～４９才'!AD10/世帯!AD10,0)</f>
        <v>0.6666666666666666</v>
      </c>
      <c r="AE10" s="33" t="n">
        <f>IF(世帯!AE10&lt;&gt;0,'男女　３５～４９才'!AE10/世帯!AE10,0)</f>
        <v>0.8214285714285714</v>
      </c>
      <c r="AF10" s="33" t="n">
        <f>IF(世帯!AF10&lt;&gt;0,'男女　３５～４９才'!AF10/世帯!AF10,0)</f>
        <v>0.7037037037037036</v>
      </c>
      <c r="AG10" s="33" t="n">
        <f>IF(世帯!AG10&lt;&gt;0,'男女　３５～４９才'!AG10/世帯!AG10,0)</f>
        <v>0.4150943396226416</v>
      </c>
      <c r="AH10" s="33" t="n">
        <f>IF(世帯!AH10&lt;&gt;0,'男女　３５～４９才'!AH10/世帯!AH10,0)</f>
        <v>0.12844036697247704</v>
      </c>
      <c r="AI10" s="34" t="n">
        <f>IF(世帯!AI10&lt;&gt;0,'男女　３５～４９才'!AI10/世帯!AI10,0)</f>
        <v>0.7407407407407407</v>
      </c>
      <c r="AJ10" s="59" t="n">
        <f>IF(世帯!AJ10&lt;&gt;0,'男女　３５～４９才'!AJ10/世帯!AJ10,0)</f>
        <v>0.43181818181818177</v>
      </c>
      <c r="AK10" s="6"/>
      <c r="AL10" s="6"/>
    </row>
    <row r="11" spans="1:46" x14ac:dyDescent="0.2">
      <c r="A11" s="46" t="s">
        <v>20</v>
      </c>
      <c r="B11" s="33" t="n">
        <f>IF(世帯!B11&lt;&gt;0,'男女　３５～４９才'!B11/世帯!B11,0)</f>
        <v>0.41304347826086957</v>
      </c>
      <c r="C11" s="33" t="n">
        <f>IF(世帯!C11&lt;&gt;0,'男女　３５～４９才'!C11/世帯!C11,0)</f>
        <v>0.45454545454545453</v>
      </c>
      <c r="D11" s="33" t="n">
        <f>IF(世帯!D11&lt;&gt;0,'男女　３５～４９才'!D11/世帯!D11,0)</f>
        <v>0.5</v>
      </c>
      <c r="E11" s="33" t="n">
        <f>IF(世帯!E11&lt;&gt;0,'男女　３５～４９才'!E11/世帯!E11,0)</f>
        <v>0.44680851063829785</v>
      </c>
      <c r="F11" s="33" t="n">
        <f>IF(世帯!F11&lt;&gt;0,'男女　３５～４９才'!F11/世帯!F11,0)</f>
        <v>0.4565217391304348</v>
      </c>
      <c r="G11" s="33" t="n">
        <f>IF(世帯!G11&lt;&gt;0,'男女　３５～４９才'!G11/世帯!G11,0)</f>
        <v>0.27631578947368424</v>
      </c>
      <c r="H11" s="33" t="n">
        <f>IF(世帯!H11&lt;&gt;0,'男女　３５～４９才'!H11/世帯!H11,0)</f>
        <v>0.42857142857142855</v>
      </c>
      <c r="I11" s="34" t="n">
        <f>IF(世帯!I11&lt;&gt;0,'男女　３５～４９才'!I11/世帯!I11,0)</f>
        <v>0.4444444444444444</v>
      </c>
      <c r="J11" s="59" t="n">
        <f>IF(世帯!J11&lt;&gt;0,'男女　３５～４９才'!J11/世帯!J11,0)</f>
        <v>0.423728813559322</v>
      </c>
      <c r="K11" s="6"/>
      <c r="L11" s="6"/>
      <c r="N11" s="46" t="s">
        <v>20</v>
      </c>
      <c r="O11" s="33" t="n">
        <f>IF(世帯!O11&lt;&gt;0,'男女　３５～４９才'!O11/世帯!O11,0)</f>
        <v>0.0967741935483871</v>
      </c>
      <c r="P11" s="33" t="n">
        <f>IF(世帯!P11&lt;&gt;0,'男女　３５～４９才'!P11/世帯!P11,0)</f>
        <v>0.10638297872340426</v>
      </c>
      <c r="Q11" s="33" t="n">
        <f>IF(世帯!Q11&lt;&gt;0,'男女　３５～４９才'!Q11/世帯!Q11,0)</f>
        <v>0.10989010989010989</v>
      </c>
      <c r="R11" s="33" t="n">
        <f>IF(世帯!R11&lt;&gt;0,'男女　３５～４９才'!R11/世帯!R11,0)</f>
        <v>0.10526315789473684</v>
      </c>
      <c r="S11" s="33" t="n">
        <f>IF(世帯!S11&lt;&gt;0,'男女　３５～４９才'!S11/世帯!S11,0)</f>
        <v>0.14130434782608697</v>
      </c>
      <c r="T11" s="33" t="n">
        <f>IF(世帯!T11&lt;&gt;0,'男女　３５～４９才'!T11/世帯!T11,0)</f>
        <v>0.21153846153846154</v>
      </c>
      <c r="U11" s="33" t="n">
        <f>IF(世帯!U11&lt;&gt;0,'男女　３５～４９才'!U11/世帯!U11,0)</f>
        <v>1.0</v>
      </c>
      <c r="V11" s="34" t="n">
        <f>IF(世帯!V11&lt;&gt;0,'男女　３５～４９才'!V11/世帯!V11,0)</f>
        <v>0.1075268817204301</v>
      </c>
      <c r="W11" s="59" t="n">
        <f>IF(世帯!W11&lt;&gt;0,'男女　３５～４９才'!W11/世帯!W11,0)</f>
        <v>0.15789473684210525</v>
      </c>
      <c r="X11" s="6"/>
      <c r="Y11" s="6"/>
      <c r="Z11" s="5"/>
      <c r="AA11" s="46" t="s">
        <v>20</v>
      </c>
      <c r="AB11" s="33" t="n">
        <f>IF(世帯!AB11&lt;&gt;0,'男女　３５～４９才'!AB11/世帯!AB11,0)</f>
        <v>0.6956521739130436</v>
      </c>
      <c r="AC11" s="33" t="n">
        <f>IF(世帯!AC11&lt;&gt;0,'男女　３５～４９才'!AC11/世帯!AC11,0)</f>
        <v>0.6956521739130436</v>
      </c>
      <c r="AD11" s="33" t="n">
        <f>IF(世帯!AD11&lt;&gt;0,'男女　３５～４９才'!AD11/世帯!AD11,0)</f>
        <v>0.6818181818181818</v>
      </c>
      <c r="AE11" s="33" t="n">
        <f>IF(世帯!AE11&lt;&gt;0,'男女　３５～４９才'!AE11/世帯!AE11,0)</f>
        <v>0.8181818181818181</v>
      </c>
      <c r="AF11" s="33" t="n">
        <f>IF(世帯!AF11&lt;&gt;0,'男女　３５～４９才'!AF11/世帯!AF11,0)</f>
        <v>0.6956521739130436</v>
      </c>
      <c r="AG11" s="33" t="n">
        <f>IF(世帯!AG11&lt;&gt;0,'男女　３５～４９才'!AG11/世帯!AG11,0)</f>
        <v>0.4693877551020407</v>
      </c>
      <c r="AH11" s="33" t="n">
        <f>IF(世帯!AH11&lt;&gt;0,'男女　３５～４９才'!AH11/世帯!AH11,0)</f>
        <v>0.13740458015267176</v>
      </c>
      <c r="AI11" s="34" t="n">
        <f>IF(世帯!AI11&lt;&gt;0,'男女　３５～４９才'!AI11/世帯!AI11,0)</f>
        <v>0.6956521739130436</v>
      </c>
      <c r="AJ11" s="59" t="n">
        <f>IF(世帯!AJ11&lt;&gt;0,'男女　３５～４９才'!AJ11/世帯!AJ11,0)</f>
        <v>0.3863636363636363</v>
      </c>
      <c r="AK11" s="6"/>
      <c r="AL11" s="6"/>
    </row>
    <row r="12" spans="1:46" x14ac:dyDescent="0.2">
      <c r="A12" s="46" t="s">
        <v>21</v>
      </c>
      <c r="B12" s="33" t="n">
        <f>IF(世帯!B12&lt;&gt;0,'男女　３５～４９才'!B12/世帯!B12,0)</f>
        <v>0.43243243243243246</v>
      </c>
      <c r="C12" s="33" t="n">
        <f>IF(世帯!C12&lt;&gt;0,'男女　３５～４９才'!C12/世帯!C12,0)</f>
        <v>0.4473684210526316</v>
      </c>
      <c r="D12" s="33" t="n">
        <f>IF(世帯!D12&lt;&gt;0,'男女　３５～４９才'!D12/世帯!D12,0)</f>
        <v>0.4411764705882353</v>
      </c>
      <c r="E12" s="33" t="n">
        <f>IF(世帯!E12&lt;&gt;0,'男女　３５～４９才'!E12/世帯!E12,0)</f>
        <v>0.4054054054054054</v>
      </c>
      <c r="F12" s="33" t="n">
        <f>IF(世帯!F12&lt;&gt;0,'男女　３５～４９才'!F12/世帯!F12,0)</f>
        <v>0.4545454545454546</v>
      </c>
      <c r="G12" s="33" t="n">
        <f>IF(世帯!G12&lt;&gt;0,'男女　３５～４９才'!G12/世帯!G12,0)</f>
        <v>0.25</v>
      </c>
      <c r="H12" s="33" t="n">
        <f>IF(世帯!H12&lt;&gt;0,'男女　３５～４９才'!H12/世帯!H12,0)</f>
        <v>0.4342105263157895</v>
      </c>
      <c r="I12" s="34" t="n">
        <f>IF(世帯!I12&lt;&gt;0,'男女　３５～４９才'!I12/世帯!I12,0)</f>
        <v>0.41666666666666663</v>
      </c>
      <c r="J12" s="59" t="n">
        <f>IF(世帯!J12&lt;&gt;0,'男女　３５～４９才'!J12/世帯!J12,0)</f>
        <v>0.391304347826087</v>
      </c>
      <c r="K12" s="6"/>
      <c r="L12" s="6"/>
      <c r="N12" s="46" t="s">
        <v>21</v>
      </c>
      <c r="O12" s="33" t="n">
        <f>IF(世帯!O12&lt;&gt;0,'男女　３５～４９才'!O12/世帯!O12,0)</f>
        <v>0.09259259259259259</v>
      </c>
      <c r="P12" s="33" t="n">
        <f>IF(世帯!P12&lt;&gt;0,'男女　３５～４９才'!P12/世帯!P12,0)</f>
        <v>0.08928571428571429</v>
      </c>
      <c r="Q12" s="33" t="n">
        <f>IF(世帯!Q12&lt;&gt;0,'男女　３５～４９才'!Q12/世帯!Q12,0)</f>
        <v>0.125</v>
      </c>
      <c r="R12" s="33" t="n">
        <f>IF(世帯!R12&lt;&gt;0,'男女　３５～４９才'!R12/世帯!R12,0)</f>
        <v>0.08</v>
      </c>
      <c r="S12" s="33" t="n">
        <f>IF(世帯!S12&lt;&gt;0,'男女　３５～４９才'!S12/世帯!S12,0)</f>
        <v>0.15094339622641512</v>
      </c>
      <c r="T12" s="33" t="n">
        <f>IF(世帯!T12&lt;&gt;0,'男女　３５～４９才'!T12/世帯!T12,0)</f>
        <v>0.22222222222222224</v>
      </c>
      <c r="U12" s="33" t="n">
        <f>IF(世帯!U12&lt;&gt;0,'男女　３５～４９才'!U12/世帯!U12,0)</f>
        <v>0.8333333333333334</v>
      </c>
      <c r="V12" s="34" t="n">
        <f>IF(世帯!V12&lt;&gt;0,'男女　３５～４９才'!V12/世帯!V12,0)</f>
        <v>0.11538461538461538</v>
      </c>
      <c r="W12" s="59" t="n">
        <f>IF(世帯!W12&lt;&gt;0,'男女　３５～４９才'!W12/世帯!W12,0)</f>
        <v>0.14634146341463417</v>
      </c>
      <c r="X12" s="6"/>
      <c r="Y12" s="6"/>
      <c r="Z12" s="5"/>
      <c r="AA12" s="46" t="s">
        <v>21</v>
      </c>
      <c r="AB12" s="33" t="n">
        <f>IF(世帯!AB12&lt;&gt;0,'男女　３５～４９才'!AB12/世帯!AB12,0)</f>
        <v>0.5625</v>
      </c>
      <c r="AC12" s="33" t="n">
        <f>IF(世帯!AC12&lt;&gt;0,'男女　３５～４９才'!AC12/世帯!AC12,0)</f>
        <v>0.5</v>
      </c>
      <c r="AD12" s="33" t="n">
        <f>IF(世帯!AD12&lt;&gt;0,'男女　３５～４９才'!AD12/世帯!AD12,0)</f>
        <v>0.5</v>
      </c>
      <c r="AE12" s="33" t="n">
        <f>IF(世帯!AE12&lt;&gt;0,'男女　３５～４９才'!AE12/世帯!AE12,0)</f>
        <v>0.5714285714285715</v>
      </c>
      <c r="AF12" s="33" t="n">
        <f>IF(世帯!AF12&lt;&gt;0,'男女　３５～４９才'!AF12/世帯!AF12,0)</f>
        <v>0.4666666666666666</v>
      </c>
      <c r="AG12" s="33" t="n">
        <f>IF(世帯!AG12&lt;&gt;0,'男女　３５～４９才'!AG12/世帯!AG12,0)</f>
        <v>0.5581395348837209</v>
      </c>
      <c r="AH12" s="33" t="n">
        <f>IF(世帯!AH12&lt;&gt;0,'男女　３５～４９才'!AH12/世帯!AH12,0)</f>
        <v>0.1739130434782609</v>
      </c>
      <c r="AI12" s="34" t="n">
        <f>IF(世帯!AI12&lt;&gt;0,'男女　３５～４９才'!AI12/世帯!AI12,0)</f>
        <v>0.5333333333333333</v>
      </c>
      <c r="AJ12" s="59" t="n">
        <f>IF(世帯!AJ12&lt;&gt;0,'男女　３５～４９才'!AJ12/世帯!AJ12,0)</f>
        <v>0.3548387096774194</v>
      </c>
      <c r="AK12" s="6"/>
      <c r="AL12" s="6"/>
    </row>
    <row r="13" spans="1:46" x14ac:dyDescent="0.2">
      <c r="A13" s="46" t="s">
        <v>22</v>
      </c>
      <c r="B13" s="33" t="n">
        <f>IF(世帯!B13&lt;&gt;0,'男女　３５～４９才'!B13/世帯!B13,0)</f>
        <v>0.3928571428571429</v>
      </c>
      <c r="C13" s="33" t="n">
        <f>IF(世帯!C13&lt;&gt;0,'男女　３５～４９才'!C13/世帯!C13,0)</f>
        <v>0.43333333333333335</v>
      </c>
      <c r="D13" s="33" t="n">
        <f>IF(世帯!D13&lt;&gt;0,'男女　３５～４９才'!D13/世帯!D13,0)</f>
        <v>0.46428571428571436</v>
      </c>
      <c r="E13" s="33" t="n">
        <f>IF(世帯!E13&lt;&gt;0,'男女　３５～４９才'!E13/世帯!E13,0)</f>
        <v>0.39999999999999997</v>
      </c>
      <c r="F13" s="33" t="n">
        <f>IF(世帯!F13&lt;&gt;0,'男女　３５～４９才'!F13/世帯!F13,0)</f>
        <v>0.47619047619047616</v>
      </c>
      <c r="G13" s="33" t="n">
        <f>IF(世帯!G13&lt;&gt;0,'男女　３５～４９才'!G13/世帯!G13,0)</f>
        <v>0.25925925925925924</v>
      </c>
      <c r="H13" s="33" t="n">
        <f>IF(世帯!H13&lt;&gt;0,'男女　３５～４９才'!H13/世帯!H13,0)</f>
        <v>0.417910447761194</v>
      </c>
      <c r="I13" s="34" t="n">
        <f>IF(世帯!I13&lt;&gt;0,'男女　３５～４９才'!I13/世帯!I13,0)</f>
        <v>0.4285714285714286</v>
      </c>
      <c r="J13" s="59" t="n">
        <f>IF(世帯!J13&lt;&gt;0,'男女　３５～４９才'!J13/世帯!J13,0)</f>
        <v>0.4054054054054054</v>
      </c>
      <c r="K13" s="6"/>
      <c r="L13" s="6"/>
      <c r="N13" s="46" t="s">
        <v>22</v>
      </c>
      <c r="O13" s="33" t="n">
        <f>IF(世帯!O13&lt;&gt;0,'男女　３５～４９才'!O13/世帯!O13,0)</f>
        <v>0.0847457627118644</v>
      </c>
      <c r="P13" s="33" t="n">
        <f>IF(世帯!P13&lt;&gt;0,'男女　３５～４９才'!P13/世帯!P13,0)</f>
        <v>0.08333333333333333</v>
      </c>
      <c r="Q13" s="33" t="n">
        <f>IF(世帯!Q13&lt;&gt;0,'男女　３５～４９才'!Q13/世帯!Q13,0)</f>
        <v>0.08771929824561403</v>
      </c>
      <c r="R13" s="33" t="n">
        <f>IF(世帯!R13&lt;&gt;0,'男女　３５～４９才'!R13/世帯!R13,0)</f>
        <v>0.07142857142857144</v>
      </c>
      <c r="S13" s="33" t="n">
        <f>IF(世帯!S13&lt;&gt;0,'男女　３５～４９才'!S13/世帯!S13,0)</f>
        <v>0.14285714285714288</v>
      </c>
      <c r="T13" s="33" t="n">
        <f>IF(世帯!T13&lt;&gt;0,'男女　３５～４９才'!T13/世帯!T13,0)</f>
        <v>0.16666666666666669</v>
      </c>
      <c r="U13" s="33" t="n">
        <f>IF(世帯!U13&lt;&gt;0,'男女　３５～４９才'!U13/世帯!U13,0)</f>
        <v>0.2608695652173913</v>
      </c>
      <c r="V13" s="34" t="n">
        <f>IF(世帯!V13&lt;&gt;0,'男女　３５～４９才'!V13/世帯!V13,0)</f>
        <v>0.0847457627118644</v>
      </c>
      <c r="W13" s="59" t="n">
        <f>IF(世帯!W13&lt;&gt;0,'男女　３５～４９才'!W13/世帯!W13,0)</f>
        <v>0.1020408163265306</v>
      </c>
      <c r="X13" s="6"/>
      <c r="Y13" s="6"/>
      <c r="Z13" s="5"/>
      <c r="AA13" s="46" t="s">
        <v>22</v>
      </c>
      <c r="AB13" s="33" t="n">
        <f>IF(世帯!AB13&lt;&gt;0,'男女　３５～４９才'!AB13/世帯!AB13,0)</f>
        <v>0.2608695652173913</v>
      </c>
      <c r="AC13" s="33" t="n">
        <f>IF(世帯!AC13&lt;&gt;0,'男女　３５～４９才'!AC13/世帯!AC13,0)</f>
        <v>0.24</v>
      </c>
      <c r="AD13" s="33" t="n">
        <f>IF(世帯!AD13&lt;&gt;0,'男女　３５～４９才'!AD13/世帯!AD13,0)</f>
        <v>0.24</v>
      </c>
      <c r="AE13" s="33" t="n">
        <f>IF(世帯!AE13&lt;&gt;0,'男女　３５～４９才'!AE13/世帯!AE13,0)</f>
        <v>0.30434782608695654</v>
      </c>
      <c r="AF13" s="33" t="n">
        <f>IF(世帯!AF13&lt;&gt;0,'男女　３５～４９才'!AF13/世帯!AF13,0)</f>
        <v>0.32</v>
      </c>
      <c r="AG13" s="33" t="n">
        <f>IF(世帯!AG13&lt;&gt;0,'男女　３５～４９才'!AG13/世帯!AG13,0)</f>
        <v>0.5526315789473685</v>
      </c>
      <c r="AH13" s="33" t="n">
        <f>IF(世帯!AH13&lt;&gt;0,'男女　３５～４９才'!AH13/世帯!AH13,0)</f>
        <v>0.203125</v>
      </c>
      <c r="AI13" s="34" t="n">
        <f>IF(世帯!AI13&lt;&gt;0,'男女　３５～４９才'!AI13/世帯!AI13,0)</f>
        <v>0.2916666666666667</v>
      </c>
      <c r="AJ13" s="59" t="n">
        <f>IF(世帯!AJ13&lt;&gt;0,'男女　３５～４９才'!AJ13/世帯!AJ13,0)</f>
        <v>0.3125</v>
      </c>
      <c r="AK13" s="6"/>
      <c r="AL13" s="6"/>
    </row>
    <row r="14" spans="1:46" x14ac:dyDescent="0.2">
      <c r="A14" s="46" t="s">
        <v>23</v>
      </c>
      <c r="B14" s="33" t="n">
        <f>IF(世帯!B14&lt;&gt;0,'男女　３５～４９才'!B14/世帯!B14,0)</f>
        <v>0.42857142857142855</v>
      </c>
      <c r="C14" s="33" t="n">
        <f>IF(世帯!C14&lt;&gt;0,'男女　３５～４９才'!C14/世帯!C14,0)</f>
        <v>0.4358974358974359</v>
      </c>
      <c r="D14" s="33" t="n">
        <f>IF(世帯!D14&lt;&gt;0,'男女　３５～４９才'!D14/世帯!D14,0)</f>
        <v>0.5277777777777778</v>
      </c>
      <c r="E14" s="33" t="n">
        <f>IF(世帯!E14&lt;&gt;0,'男女　３５～４９才'!E14/世帯!E14,0)</f>
        <v>0.45945945945945943</v>
      </c>
      <c r="F14" s="33" t="n">
        <f>IF(世帯!F14&lt;&gt;0,'男女　３５～４９才'!F14/世帯!F14,0)</f>
        <v>0.5</v>
      </c>
      <c r="G14" s="33" t="n">
        <f>IF(世帯!G14&lt;&gt;0,'男女　３５～４９才'!G14/世帯!G14,0)</f>
        <v>0.2173913043478261</v>
      </c>
      <c r="H14" s="33" t="n">
        <f>IF(世帯!H14&lt;&gt;0,'男女　３５～４９才'!H14/世帯!H14,0)</f>
        <v>0.5614035087719298</v>
      </c>
      <c r="I14" s="34" t="n">
        <f>IF(世帯!I14&lt;&gt;0,'男女　３５～４９才'!I14/世帯!I14,0)</f>
        <v>0.4722222222222222</v>
      </c>
      <c r="J14" s="59" t="n">
        <f>IF(世帯!J14&lt;&gt;0,'男女　３５～４９才'!J14/世帯!J14,0)</f>
        <v>0.4390243902439025</v>
      </c>
      <c r="K14" s="6"/>
      <c r="L14" s="6"/>
      <c r="N14" s="46" t="s">
        <v>23</v>
      </c>
      <c r="O14" s="33" t="n">
        <f>IF(世帯!O14&lt;&gt;0,'男女　３５～４９才'!O14/世帯!O14,0)</f>
        <v>0.08064516129032258</v>
      </c>
      <c r="P14" s="33" t="n">
        <f>IF(世帯!P14&lt;&gt;0,'男女　３５～４９才'!P14/世帯!P14,0)</f>
        <v>0.10344827586206896</v>
      </c>
      <c r="Q14" s="33" t="n">
        <f>IF(世帯!Q14&lt;&gt;0,'男女　３５～４９才'!Q14/世帯!Q14,0)</f>
        <v>0.08620689655172414</v>
      </c>
      <c r="R14" s="33" t="n">
        <f>IF(世帯!R14&lt;&gt;0,'男女　３５～４９才'!R14/世帯!R14,0)</f>
        <v>0.08928571428571429</v>
      </c>
      <c r="S14" s="33" t="n">
        <f>IF(世帯!S14&lt;&gt;0,'男女　３５～４９才'!S14/世帯!S14,0)</f>
        <v>0.12068965517241378</v>
      </c>
      <c r="T14" s="33" t="n">
        <f>IF(世帯!T14&lt;&gt;0,'男女　３５～４９才'!T14/世帯!T14,0)</f>
        <v>0.12195121951219513</v>
      </c>
      <c r="U14" s="33" t="n">
        <f>IF(世帯!U14&lt;&gt;0,'男女　３５～４９才'!U14/世帯!U14,0)</f>
        <v>0.14285714285714288</v>
      </c>
      <c r="V14" s="34" t="n">
        <f>IF(世帯!V14&lt;&gt;0,'男女　３５～４９才'!V14/世帯!V14,0)</f>
        <v>0.10169491525423728</v>
      </c>
      <c r="W14" s="59" t="n">
        <f>IF(世帯!W14&lt;&gt;0,'男女　３５～４９才'!W14/世帯!W14,0)</f>
        <v>0.10714285714285715</v>
      </c>
      <c r="X14" s="6"/>
      <c r="Y14" s="6"/>
      <c r="Z14" s="5"/>
      <c r="AA14" s="46" t="s">
        <v>23</v>
      </c>
      <c r="AB14" s="33" t="n">
        <f>IF(世帯!AB14&lt;&gt;0,'男女　３５～４９才'!AB14/世帯!AB14,0)</f>
        <v>0.18421052631578946</v>
      </c>
      <c r="AC14" s="33" t="n">
        <f>IF(世帯!AC14&lt;&gt;0,'男女　３５～４９才'!AC14/世帯!AC14,0)</f>
        <v>0.13157894736842105</v>
      </c>
      <c r="AD14" s="33" t="n">
        <f>IF(世帯!AD14&lt;&gt;0,'男女　３５～４９才'!AD14/世帯!AD14,0)</f>
        <v>0.15384615384615385</v>
      </c>
      <c r="AE14" s="33" t="n">
        <f>IF(世帯!AE14&lt;&gt;0,'男女　３５～４９才'!AE14/世帯!AE14,0)</f>
        <v>0.19444444444444442</v>
      </c>
      <c r="AF14" s="33" t="n">
        <f>IF(世帯!AF14&lt;&gt;0,'男女　３５～４９才'!AF14/世帯!AF14,0)</f>
        <v>0.18918918918918917</v>
      </c>
      <c r="AG14" s="33" t="n">
        <f>IF(世帯!AG14&lt;&gt;0,'男女　３５～４９才'!AG14/世帯!AG14,0)</f>
        <v>0.55</v>
      </c>
      <c r="AH14" s="33" t="n">
        <f>IF(世帯!AH14&lt;&gt;0,'男女　３５～４９才'!AH14/世帯!AH14,0)</f>
        <v>0.2558139534883721</v>
      </c>
      <c r="AI14" s="34" t="n">
        <f>IF(世帯!AI14&lt;&gt;0,'男女　３５～４９才'!AI14/世帯!AI14,0)</f>
        <v>0.16216216216216214</v>
      </c>
      <c r="AJ14" s="59" t="n">
        <f>IF(世帯!AJ14&lt;&gt;0,'男女　３５～４９才'!AJ14/世帯!AJ14,0)</f>
        <v>0.23076923076923078</v>
      </c>
      <c r="AK14" s="6"/>
      <c r="AL14" s="6"/>
    </row>
    <row r="15" spans="1:46" x14ac:dyDescent="0.2">
      <c r="A15" s="46" t="s">
        <v>24</v>
      </c>
      <c r="B15" s="33" t="n">
        <f>IF(世帯!B15&lt;&gt;0,'男女　３５～４９才'!B15/世帯!B15,0)</f>
        <v>0.42424242424242425</v>
      </c>
      <c r="C15" s="33" t="n">
        <f>IF(世帯!C15&lt;&gt;0,'男女　３５～４９才'!C15/世帯!C15,0)</f>
        <v>0.45945945945945943</v>
      </c>
      <c r="D15" s="33" t="n">
        <f>IF(世帯!D15&lt;&gt;0,'男女　３５～４９才'!D15/世帯!D15,0)</f>
        <v>0.4857142857142857</v>
      </c>
      <c r="E15" s="33" t="n">
        <f>IF(世帯!E15&lt;&gt;0,'男女　３５～４９才'!E15/世帯!E15,0)</f>
        <v>0.4705882352941177</v>
      </c>
      <c r="F15" s="33" t="n">
        <f>IF(世帯!F15&lt;&gt;0,'男女　３５～４９才'!F15/世帯!F15,0)</f>
        <v>0.5294117647058824</v>
      </c>
      <c r="G15" s="33" t="n">
        <f>IF(世帯!G15&lt;&gt;0,'男女　３５～４９才'!G15/世帯!G15,0)</f>
        <v>0.27027027027027023</v>
      </c>
      <c r="H15" s="33" t="n">
        <f>IF(世帯!H15&lt;&gt;0,'男女　３５～４９才'!H15/世帯!H15,0)</f>
        <v>0.49122807017543857</v>
      </c>
      <c r="I15" s="34" t="n">
        <f>IF(世帯!I15&lt;&gt;0,'男女　３５～４９才'!I15/世帯!I15,0)</f>
        <v>0.4571428571428572</v>
      </c>
      <c r="J15" s="59" t="n">
        <f>IF(世帯!J15&lt;&gt;0,'男女　３５～４９才'!J15/世帯!J15,0)</f>
        <v>0.4358974358974359</v>
      </c>
      <c r="K15" s="6"/>
      <c r="L15" s="6"/>
      <c r="N15" s="46" t="s">
        <v>24</v>
      </c>
      <c r="O15" s="33" t="n">
        <f>IF(世帯!O15&lt;&gt;0,'男女　３５～４９才'!O15/世帯!O15,0)</f>
        <v>0.09523809523809523</v>
      </c>
      <c r="P15" s="33" t="n">
        <f>IF(世帯!P15&lt;&gt;0,'男女　３５～４９才'!P15/世帯!P15,0)</f>
        <v>0.12195121951219513</v>
      </c>
      <c r="Q15" s="33" t="n">
        <f>IF(世帯!Q15&lt;&gt;0,'男女　３５～４９才'!Q15/世帯!Q15,0)</f>
        <v>0.052631578947368425</v>
      </c>
      <c r="R15" s="33" t="n">
        <f>IF(世帯!R15&lt;&gt;0,'男女　３５～４９才'!R15/世帯!R15,0)</f>
        <v>0.10256410256410257</v>
      </c>
      <c r="S15" s="33" t="n">
        <f>IF(世帯!S15&lt;&gt;0,'男女　３５～４９才'!S15/世帯!S15,0)</f>
        <v>0.10526315789473685</v>
      </c>
      <c r="T15" s="33" t="n">
        <f>IF(世帯!T15&lt;&gt;0,'男女　３５～４９才'!T15/世帯!T15,0)</f>
        <v>0.15151515151515152</v>
      </c>
      <c r="U15" s="33" t="n">
        <f>IF(世帯!U15&lt;&gt;0,'男女　３５～４９才'!U15/世帯!U15,0)</f>
        <v>0.13043478260869565</v>
      </c>
      <c r="V15" s="34" t="n">
        <f>IF(世帯!V15&lt;&gt;0,'男女　３５～４９才'!V15/世帯!V15,0)</f>
        <v>0.1</v>
      </c>
      <c r="W15" s="59" t="n">
        <f>IF(世帯!W15&lt;&gt;0,'男女　３５～４９才'!W15/世帯!W15,0)</f>
        <v>0.11111111111111112</v>
      </c>
      <c r="X15" s="6"/>
      <c r="Y15" s="6"/>
      <c r="Z15" s="5"/>
      <c r="AA15" s="46" t="s">
        <v>24</v>
      </c>
      <c r="AB15" s="33" t="n">
        <f>IF(世帯!AB15&lt;&gt;0,'男女　３５～４９才'!AB15/世帯!AB15,0)</f>
        <v>0.14285714285714285</v>
      </c>
      <c r="AC15" s="33" t="n">
        <f>IF(世帯!AC15&lt;&gt;0,'男女　３５～４９才'!AC15/世帯!AC15,0)</f>
        <v>0.1111111111111111</v>
      </c>
      <c r="AD15" s="33" t="n">
        <f>IF(世帯!AD15&lt;&gt;0,'男女　３５～４９才'!AD15/世帯!AD15,0)</f>
        <v>0.1020408163265306</v>
      </c>
      <c r="AE15" s="33" t="n">
        <f>IF(世帯!AE15&lt;&gt;0,'男女　３５～４９才'!AE15/世帯!AE15,0)</f>
        <v>0.16</v>
      </c>
      <c r="AF15" s="33" t="n">
        <f>IF(世帯!AF15&lt;&gt;0,'男女　３５～４９才'!AF15/世帯!AF15,0)</f>
        <v>0.14583333333333334</v>
      </c>
      <c r="AG15" s="33" t="n">
        <f>IF(世帯!AG15&lt;&gt;0,'男女　３５～４９才'!AG15/世帯!AG15,0)</f>
        <v>0.5675675675675675</v>
      </c>
      <c r="AH15" s="33" t="n">
        <f>IF(世帯!AH15&lt;&gt;0,'男女　３５～４９才'!AH15/世帯!AH15,0)</f>
        <v>0.3076923076923077</v>
      </c>
      <c r="AI15" s="34" t="n">
        <f>IF(世帯!AI15&lt;&gt;0,'男女　３５～４９才'!AI15/世帯!AI15,0)</f>
        <v>0.125</v>
      </c>
      <c r="AJ15" s="59" t="n">
        <f>IF(世帯!AJ15&lt;&gt;0,'男女　３５～４９才'!AJ15/世帯!AJ15,0)</f>
        <v>0.20930232558139536</v>
      </c>
      <c r="AK15" s="6"/>
      <c r="AL15" s="6"/>
    </row>
    <row r="16" spans="1:46" x14ac:dyDescent="0.2">
      <c r="A16" s="46" t="s">
        <v>25</v>
      </c>
      <c r="B16" s="33" t="n">
        <f>IF(世帯!B16&lt;&gt;0,'男女　３５～４９才'!B16/世帯!B16,0)</f>
        <v>0.2894736842105263</v>
      </c>
      <c r="C16" s="33" t="n">
        <f>IF(世帯!C16&lt;&gt;0,'男女　３５～４９才'!C16/世帯!C16,0)</f>
        <v>0.30434782608695654</v>
      </c>
      <c r="D16" s="33" t="n">
        <f>IF(世帯!D16&lt;&gt;0,'男女　３５～４９才'!D16/世帯!D16,0)</f>
        <v>0.2888888888888889</v>
      </c>
      <c r="E16" s="33" t="n">
        <f>IF(世帯!E16&lt;&gt;0,'男女　３５～４９才'!E16/世帯!E16,0)</f>
        <v>0.2857142857142857</v>
      </c>
      <c r="F16" s="33" t="n">
        <f>IF(世帯!F16&lt;&gt;0,'男女　３５～４９才'!F16/世帯!F16,0)</f>
        <v>0.35</v>
      </c>
      <c r="G16" s="33" t="n">
        <f>IF(世帯!G16&lt;&gt;0,'男女　３５～４９才'!G16/世帯!G16,0)</f>
        <v>0.37499999999999994</v>
      </c>
      <c r="H16" s="33" t="n">
        <f>IF(世帯!H16&lt;&gt;0,'男女　３５～４９才'!H16/世帯!H16,0)</f>
        <v>0.4545454545454546</v>
      </c>
      <c r="I16" s="34" t="n">
        <f>IF(世帯!I16&lt;&gt;0,'男女　３５～４９才'!I16/世帯!I16,0)</f>
        <v>0.30952380952380953</v>
      </c>
      <c r="J16" s="59" t="n">
        <f>IF(世帯!J16&lt;&gt;0,'男女　３５～４９才'!J16/世帯!J16,0)</f>
        <v>0.33333333333333337</v>
      </c>
      <c r="K16" s="6"/>
      <c r="L16" s="6"/>
      <c r="N16" s="46" t="s">
        <v>25</v>
      </c>
      <c r="O16" s="33" t="n">
        <f>IF(世帯!O16&lt;&gt;0,'男女　３５～４９才'!O16/世帯!O16,0)</f>
        <v>0.11764705882352942</v>
      </c>
      <c r="P16" s="33" t="n">
        <f>IF(世帯!P16&lt;&gt;0,'男女　３５～４９才'!P16/世帯!P16,0)</f>
        <v>0.1724137931034483</v>
      </c>
      <c r="Q16" s="33" t="n">
        <f>IF(世帯!Q16&lt;&gt;0,'男女　３５～４９才'!Q16/世帯!Q16,0)</f>
        <v>0.12121212121212123</v>
      </c>
      <c r="R16" s="33" t="n">
        <f>IF(世帯!R16&lt;&gt;0,'男女　３５～４９才'!R16/世帯!R16,0)</f>
        <v>0.12903225806451613</v>
      </c>
      <c r="S16" s="33" t="n">
        <f>IF(世帯!S16&lt;&gt;0,'男女　３５～４９才'!S16/世帯!S16,0)</f>
        <v>0.19047619047619047</v>
      </c>
      <c r="T16" s="33" t="n">
        <f>IF(世帯!T16&lt;&gt;0,'男女　３５～４９才'!T16/世帯!T16,0)</f>
        <v>0.10344827586206896</v>
      </c>
      <c r="U16" s="33" t="n">
        <f>IF(世帯!U16&lt;&gt;0,'男女　３５～４９才'!U16/世帯!U16,0)</f>
        <v>0.2142857142857143</v>
      </c>
      <c r="V16" s="34" t="n">
        <f>IF(世帯!V16&lt;&gt;0,'男女　３５～４９才'!V16/世帯!V16,0)</f>
        <v>0.13333333333333333</v>
      </c>
      <c r="W16" s="59" t="n">
        <f>IF(世帯!W16&lt;&gt;0,'男女　３５～４９才'!W16/世帯!W16,0)</f>
        <v>0.13793103448275862</v>
      </c>
      <c r="X16" s="6"/>
      <c r="Y16" s="6"/>
      <c r="Z16" s="5"/>
      <c r="AA16" s="46" t="s">
        <v>25</v>
      </c>
      <c r="AB16" s="33" t="n">
        <f>IF(世帯!AB16&lt;&gt;0,'男女　３５～４９才'!AB16/世帯!AB16,0)</f>
        <v>0.186046511627907</v>
      </c>
      <c r="AC16" s="33" t="n">
        <f>IF(世帯!AC16&lt;&gt;0,'男女　３５～４９才'!AC16/世帯!AC16,0)</f>
        <v>0.14285714285714285</v>
      </c>
      <c r="AD16" s="33" t="n">
        <f>IF(世帯!AD16&lt;&gt;0,'男女　３５～４９才'!AD16/世帯!AD16,0)</f>
        <v>0.13953488372093023</v>
      </c>
      <c r="AE16" s="33" t="n">
        <f>IF(世帯!AE16&lt;&gt;0,'男女　３５～４９才'!AE16/世帯!AE16,0)</f>
        <v>0.15909090909090906</v>
      </c>
      <c r="AF16" s="33" t="n">
        <f>IF(世帯!AF16&lt;&gt;0,'男女　３５～４９才'!AF16/世帯!AF16,0)</f>
        <v>0.18181818181818182</v>
      </c>
      <c r="AG16" s="33" t="n">
        <f>IF(世帯!AG16&lt;&gt;0,'男女　３５～４９才'!AG16/世帯!AG16,0)</f>
        <v>0.5357142857142857</v>
      </c>
      <c r="AH16" s="33" t="n">
        <f>IF(世帯!AH16&lt;&gt;0,'男女　３５～４９才'!AH16/世帯!AH16,0)</f>
        <v>0.36363636363636365</v>
      </c>
      <c r="AI16" s="34" t="n">
        <f>IF(世帯!AI16&lt;&gt;0,'男女　３５～４９才'!AI16/世帯!AI16,0)</f>
        <v>0.1627906976744186</v>
      </c>
      <c r="AJ16" s="59" t="n">
        <f>IF(世帯!AJ16&lt;&gt;0,'男女　３５～４９才'!AJ16/世帯!AJ16,0)</f>
        <v>0.2105263157894737</v>
      </c>
      <c r="AK16" s="6"/>
      <c r="AL16" s="6"/>
    </row>
    <row r="17" spans="1:38" x14ac:dyDescent="0.2">
      <c r="A17" s="46" t="s">
        <v>26</v>
      </c>
      <c r="B17" s="33" t="n">
        <f>IF(世帯!B17&lt;&gt;0,'男女　３５～４９才'!B17/世帯!B17,0)</f>
        <v>0.2368421052631579</v>
      </c>
      <c r="C17" s="33" t="n">
        <f>IF(世帯!C17&lt;&gt;0,'男女　３５～４９才'!C17/世帯!C17,0)</f>
        <v>0.22727272727272727</v>
      </c>
      <c r="D17" s="33" t="n">
        <f>IF(世帯!D17&lt;&gt;0,'男女　３５～４９才'!D17/世帯!D17,0)</f>
        <v>0.24444444444444446</v>
      </c>
      <c r="E17" s="33" t="n">
        <f>IF(世帯!E17&lt;&gt;0,'男女　３５～４９才'!E17/世帯!E17,0)</f>
        <v>0.29268292682926833</v>
      </c>
      <c r="F17" s="33" t="n">
        <f>IF(世帯!F17&lt;&gt;0,'男女　３５～４９才'!F17/世帯!F17,0)</f>
        <v>0.275</v>
      </c>
      <c r="G17" s="33" t="n">
        <f>IF(世帯!G17&lt;&gt;0,'男女　３５～４９才'!G17/世帯!G17,0)</f>
        <v>0.25</v>
      </c>
      <c r="H17" s="33" t="n">
        <f>IF(世帯!H17&lt;&gt;0,'男女　３５～４９才'!H17/世帯!H17,0)</f>
        <v>0.36363636363636365</v>
      </c>
      <c r="I17" s="34" t="n">
        <f>IF(世帯!I17&lt;&gt;0,'男女　３５～４９才'!I17/世帯!I17,0)</f>
        <v>0.24390243902439027</v>
      </c>
      <c r="J17" s="59" t="n">
        <f>IF(世帯!J17&lt;&gt;0,'男女　３５～４９才'!J17/世帯!J17,0)</f>
        <v>0.2631578947368421</v>
      </c>
      <c r="K17" s="6"/>
      <c r="L17" s="6"/>
      <c r="N17" s="46" t="s">
        <v>26</v>
      </c>
      <c r="O17" s="33" t="n">
        <f>IF(世帯!O17&lt;&gt;0,'男女　３５～４９才'!O17/世帯!O17,0)</f>
        <v>0.11904761904761904</v>
      </c>
      <c r="P17" s="33" t="n">
        <f>IF(世帯!P17&lt;&gt;0,'男女　３５～４９才'!P17/世帯!P17,0)</f>
        <v>0.17073170731707318</v>
      </c>
      <c r="Q17" s="33" t="n">
        <f>IF(世帯!Q17&lt;&gt;0,'男女　３５～４９才'!Q17/世帯!Q17,0)</f>
        <v>0.09756097560975611</v>
      </c>
      <c r="R17" s="33" t="n">
        <f>IF(世帯!R17&lt;&gt;0,'男女　３５～４９才'!R17/世帯!R17,0)</f>
        <v>0.12820512820512822</v>
      </c>
      <c r="S17" s="33" t="n">
        <f>IF(世帯!S17&lt;&gt;0,'男女　３５～４９才'!S17/世帯!S17,0)</f>
        <v>0.15151515151515152</v>
      </c>
      <c r="T17" s="33" t="n">
        <f>IF(世帯!T17&lt;&gt;0,'男女　３５～４９才'!T17/世帯!T17,0)</f>
        <v>0.19047619047619047</v>
      </c>
      <c r="U17" s="33" t="n">
        <f>IF(世帯!U17&lt;&gt;0,'男女　３５～４９才'!U17/世帯!U17,0)</f>
        <v>0.2105263157894737</v>
      </c>
      <c r="V17" s="34" t="n">
        <f>IF(世帯!V17&lt;&gt;0,'男女　３５～４９才'!V17/世帯!V17,0)</f>
        <v>0.12820512820512822</v>
      </c>
      <c r="W17" s="59" t="n">
        <f>IF(世帯!W17&lt;&gt;0,'男女　３５～４９才'!W17/世帯!W17,0)</f>
        <v>0.16216216216216214</v>
      </c>
      <c r="X17" s="6"/>
      <c r="Y17" s="6"/>
      <c r="Z17" s="5"/>
      <c r="AA17" s="46" t="s">
        <v>26</v>
      </c>
      <c r="AB17" s="33" t="n">
        <f>IF(世帯!AB17&lt;&gt;0,'男女　３５～４９才'!AB17/世帯!AB17,0)</f>
        <v>0.2</v>
      </c>
      <c r="AC17" s="33" t="n">
        <f>IF(世帯!AC17&lt;&gt;0,'男女　３５～４９才'!AC17/世帯!AC17,0)</f>
        <v>0.14634146341463417</v>
      </c>
      <c r="AD17" s="33" t="n">
        <f>IF(世帯!AD17&lt;&gt;0,'男女　３５～４９才'!AD17/世帯!AD17,0)</f>
        <v>0.14285714285714285</v>
      </c>
      <c r="AE17" s="33" t="n">
        <f>IF(世帯!AE17&lt;&gt;0,'男女　３５～４９才'!AE17/世帯!AE17,0)</f>
        <v>0.18421052631578946</v>
      </c>
      <c r="AF17" s="33" t="n">
        <f>IF(世帯!AF17&lt;&gt;0,'男女　３５～４９才'!AF17/世帯!AF17,0)</f>
        <v>0.15789473684210525</v>
      </c>
      <c r="AG17" s="33" t="n">
        <f>IF(世帯!AG17&lt;&gt;0,'男女　３５～４９才'!AG17/世帯!AG17,0)</f>
        <v>0.3448275862068966</v>
      </c>
      <c r="AH17" s="33" t="n">
        <f>IF(世帯!AH17&lt;&gt;0,'男女　３５～４９才'!AH17/世帯!AH17,0)</f>
        <v>0.33333333333333337</v>
      </c>
      <c r="AI17" s="34" t="n">
        <f>IF(世帯!AI17&lt;&gt;0,'男女　３５～４９才'!AI17/世帯!AI17,0)</f>
        <v>0.175</v>
      </c>
      <c r="AJ17" s="59" t="n">
        <f>IF(世帯!AJ17&lt;&gt;0,'男女　３５～４９才'!AJ17/世帯!AJ17,0)</f>
        <v>0.19444444444444442</v>
      </c>
      <c r="AK17" s="6"/>
      <c r="AL17" s="6"/>
    </row>
    <row r="18" spans="1:38" x14ac:dyDescent="0.2">
      <c r="A18" s="46" t="s">
        <v>27</v>
      </c>
      <c r="B18" s="33" t="n">
        <f>IF(世帯!B18&lt;&gt;0,'男女　３５～４９才'!B18/世帯!B18,0)</f>
        <v>0.2</v>
      </c>
      <c r="C18" s="33" t="n">
        <f>IF(世帯!C18&lt;&gt;0,'男女　３５～４９才'!C18/世帯!C18,0)</f>
        <v>0.2608695652173913</v>
      </c>
      <c r="D18" s="33" t="n">
        <f>IF(世帯!D18&lt;&gt;0,'男女　３５～４９才'!D18/世帯!D18,0)</f>
        <v>0.28260869565217395</v>
      </c>
      <c r="E18" s="33" t="n">
        <f>IF(世帯!E18&lt;&gt;0,'男女　３５～４９才'!E18/世帯!E18,0)</f>
        <v>0.25</v>
      </c>
      <c r="F18" s="33" t="n">
        <f>IF(世帯!F18&lt;&gt;0,'男女　３５～４９才'!F18/世帯!F18,0)</f>
        <v>0.23809523809523808</v>
      </c>
      <c r="G18" s="33" t="n">
        <f>IF(世帯!G18&lt;&gt;0,'男女　３５～４９才'!G18/世帯!G18,0)</f>
        <v>0.25</v>
      </c>
      <c r="H18" s="33" t="n">
        <f>IF(世帯!H18&lt;&gt;0,'男女　３５～４９才'!H18/世帯!H18,0)</f>
        <v>0.38095238095238093</v>
      </c>
      <c r="I18" s="34" t="n">
        <f>IF(世帯!I18&lt;&gt;0,'男女　３５～４９才'!I18/世帯!I18,0)</f>
        <v>0.24444444444444446</v>
      </c>
      <c r="J18" s="59" t="n">
        <f>IF(世帯!J18&lt;&gt;0,'男女　３５～４９才'!J18/世帯!J18,0)</f>
        <v>0.2558139534883721</v>
      </c>
      <c r="K18" s="6"/>
      <c r="L18" s="6"/>
      <c r="N18" s="46" t="s">
        <v>27</v>
      </c>
      <c r="O18" s="33" t="n">
        <f>IF(世帯!O18&lt;&gt;0,'男女　３５～４９才'!O18/世帯!O18,0)</f>
        <v>0.12280701754385964</v>
      </c>
      <c r="P18" s="33" t="n">
        <f>IF(世帯!P18&lt;&gt;0,'男女　３５～４９才'!P18/世帯!P18,0)</f>
        <v>0.14516129032258066</v>
      </c>
      <c r="Q18" s="33" t="n">
        <f>IF(世帯!Q18&lt;&gt;0,'男女　３５～４９才'!Q18/世帯!Q18,0)</f>
        <v>0.10344827586206896</v>
      </c>
      <c r="R18" s="33" t="n">
        <f>IF(世帯!R18&lt;&gt;0,'男女　３５～４９才'!R18/世帯!R18,0)</f>
        <v>0.12280701754385964</v>
      </c>
      <c r="S18" s="33" t="n">
        <f>IF(世帯!S18&lt;&gt;0,'男女　３５～４９才'!S18/世帯!S18,0)</f>
        <v>0.1320754716981132</v>
      </c>
      <c r="T18" s="33" t="n">
        <f>IF(世帯!T18&lt;&gt;0,'男女　３５～４９才'!T18/世帯!T18,0)</f>
        <v>0.5</v>
      </c>
      <c r="U18" s="33" t="n">
        <f>IF(世帯!U18&lt;&gt;0,'男女　３５～４９才'!U18/世帯!U18,0)</f>
        <v>0.17857142857142858</v>
      </c>
      <c r="V18" s="34" t="n">
        <f>IF(世帯!V18&lt;&gt;0,'男女　３５～４９才'!V18/世帯!V18,0)</f>
        <v>0.12068965517241378</v>
      </c>
      <c r="W18" s="59" t="n">
        <f>IF(世帯!W18&lt;&gt;0,'男女　３５～４９才'!W18/世帯!W18,0)</f>
        <v>0.15094339622641512</v>
      </c>
      <c r="X18" s="6"/>
      <c r="Y18" s="6"/>
      <c r="Z18" s="5"/>
      <c r="AA18" s="46" t="s">
        <v>27</v>
      </c>
      <c r="AB18" s="33" t="n">
        <f>IF(世帯!AB18&lt;&gt;0,'男女　３５～４９才'!AB18/世帯!AB18,0)</f>
        <v>0.175</v>
      </c>
      <c r="AC18" s="33" t="n">
        <f>IF(世帯!AC18&lt;&gt;0,'男女　３５～４９才'!AC18/世帯!AC18,0)</f>
        <v>0.125</v>
      </c>
      <c r="AD18" s="33" t="n">
        <f>IF(世帯!AD18&lt;&gt;0,'男女　３５～４９才'!AD18/世帯!AD18,0)</f>
        <v>0.12820512820512822</v>
      </c>
      <c r="AE18" s="33" t="n">
        <f>IF(世帯!AE18&lt;&gt;0,'男女　３５～４９才'!AE18/世帯!AE18,0)</f>
        <v>0.18421052631578946</v>
      </c>
      <c r="AF18" s="33" t="n">
        <f>IF(世帯!AF18&lt;&gt;0,'男女　３５～４９才'!AF18/世帯!AF18,0)</f>
        <v>0.1794871794871795</v>
      </c>
      <c r="AG18" s="33" t="n">
        <f>IF(世帯!AG18&lt;&gt;0,'男女　３５～４９才'!AG18/世帯!AG18,0)</f>
        <v>0.3548387096774194</v>
      </c>
      <c r="AH18" s="33" t="n">
        <f>IF(世帯!AH18&lt;&gt;0,'男女　３５～４９才'!AH18/世帯!AH18,0)</f>
        <v>0.3333333333333333</v>
      </c>
      <c r="AI18" s="34" t="n">
        <f>IF(世帯!AI18&lt;&gt;0,'男女　３５～４９才'!AI18/世帯!AI18,0)</f>
        <v>0.15384615384615385</v>
      </c>
      <c r="AJ18" s="59" t="n">
        <f>IF(世帯!AJ18&lt;&gt;0,'男女　３５～４９才'!AJ18/世帯!AJ18,0)</f>
        <v>0.19999999999999998</v>
      </c>
      <c r="AK18" s="6"/>
      <c r="AL18" s="6"/>
    </row>
    <row r="19" spans="1:38" x14ac:dyDescent="0.2">
      <c r="A19" s="46" t="s">
        <v>28</v>
      </c>
      <c r="B19" s="33" t="n">
        <f>IF(世帯!B19&lt;&gt;0,'男女　３５～４９才'!B19/世帯!B19,0)</f>
        <v>0.2631578947368421</v>
      </c>
      <c r="C19" s="33" t="n">
        <f>IF(世帯!C19&lt;&gt;0,'男女　３５～４９才'!C19/世帯!C19,0)</f>
        <v>0.2711864406779661</v>
      </c>
      <c r="D19" s="33" t="n">
        <f>IF(世帯!D19&lt;&gt;0,'男女　３５～４９才'!D19/世帯!D19,0)</f>
        <v>0.3157894736842105</v>
      </c>
      <c r="E19" s="33" t="n">
        <f>IF(世帯!E19&lt;&gt;0,'男女　３５～４９才'!E19/世帯!E19,0)</f>
        <v>0.32075471698113206</v>
      </c>
      <c r="F19" s="33" t="n">
        <f>IF(世帯!F19&lt;&gt;0,'男女　３５～４９才'!F19/世帯!F19,0)</f>
        <v>0.29090909090909095</v>
      </c>
      <c r="G19" s="33" t="n">
        <f>IF(世帯!G19&lt;&gt;0,'男女　３５～４９才'!G19/世帯!G19,0)</f>
        <v>0.23404255319148937</v>
      </c>
      <c r="H19" s="33" t="n">
        <f>IF(世帯!H19&lt;&gt;0,'男女　３５～４９才'!H19/世帯!H19,0)</f>
        <v>0.28571428571428575</v>
      </c>
      <c r="I19" s="34" t="n">
        <f>IF(世帯!I19&lt;&gt;0,'男女　３５～４９才'!I19/世帯!I19,0)</f>
        <v>0.2807017543859649</v>
      </c>
      <c r="J19" s="59" t="n">
        <f>IF(世帯!J19&lt;&gt;0,'男女　３５～４９才'!J19/世帯!J19,0)</f>
        <v>0.28813559322033894</v>
      </c>
      <c r="K19" s="6"/>
      <c r="L19" s="6"/>
      <c r="N19" s="46" t="s">
        <v>28</v>
      </c>
      <c r="O19" s="33" t="n">
        <f>IF(世帯!O19&lt;&gt;0,'男女　３５～４９才'!O19/世帯!O19,0)</f>
        <v>0.10714285714285715</v>
      </c>
      <c r="P19" s="33" t="n">
        <f>IF(世帯!P19&lt;&gt;0,'男女　３５～４９才'!P19/世帯!P19,0)</f>
        <v>0.12280701754385964</v>
      </c>
      <c r="Q19" s="33" t="n">
        <f>IF(世帯!Q19&lt;&gt;0,'男女　３５～４９才'!Q19/世帯!Q19,0)</f>
        <v>0.11320754716981132</v>
      </c>
      <c r="R19" s="33" t="n">
        <f>IF(世帯!R19&lt;&gt;0,'男女　３５～４９才'!R19/世帯!R19,0)</f>
        <v>0.12</v>
      </c>
      <c r="S19" s="33" t="n">
        <f>IF(世帯!S19&lt;&gt;0,'男女　３５～４９才'!S19/世帯!S19,0)</f>
        <v>0.15094339622641512</v>
      </c>
      <c r="T19" s="33" t="n">
        <f>IF(世帯!T19&lt;&gt;0,'男女　３５～４９才'!T19/世帯!T19,0)</f>
        <v>0.4565217391304348</v>
      </c>
      <c r="U19" s="33" t="n">
        <f>IF(世帯!U19&lt;&gt;0,'男女　３５～４９才'!U19/世帯!U19,0)</f>
        <v>0.2272727272727273</v>
      </c>
      <c r="V19" s="34" t="n">
        <f>IF(世帯!V19&lt;&gt;0,'男女　３５～４９才'!V19/世帯!V19,0)</f>
        <v>0.12962962962962962</v>
      </c>
      <c r="W19" s="59" t="n">
        <f>IF(世帯!W19&lt;&gt;0,'男女　３５～４９才'!W19/世帯!W19,0)</f>
        <v>0.18181818181818182</v>
      </c>
      <c r="X19" s="6"/>
      <c r="Y19" s="6"/>
      <c r="Z19" s="5"/>
      <c r="AA19" s="46" t="s">
        <v>28</v>
      </c>
      <c r="AB19" s="33" t="n">
        <f>IF(世帯!AB19&lt;&gt;0,'男女　３５～４９才'!AB19/世帯!AB19,0)</f>
        <v>0.1956521739130435</v>
      </c>
      <c r="AC19" s="33" t="n">
        <f>IF(世帯!AC19&lt;&gt;0,'男女　３５～４９才'!AC19/世帯!AC19,0)</f>
        <v>0.1739130434782609</v>
      </c>
      <c r="AD19" s="33" t="n">
        <f>IF(世帯!AD19&lt;&gt;0,'男女　３５～４９才'!AD19/世帯!AD19,0)</f>
        <v>0.15909090909090906</v>
      </c>
      <c r="AE19" s="33" t="n">
        <f>IF(世帯!AE19&lt;&gt;0,'男女　３５～４９才'!AE19/世帯!AE19,0)</f>
        <v>0.186046511627907</v>
      </c>
      <c r="AF19" s="33" t="n">
        <f>IF(世帯!AF19&lt;&gt;0,'男女　３５～４９才'!AF19/世帯!AF19,0)</f>
        <v>0.186046511627907</v>
      </c>
      <c r="AG19" s="33" t="n">
        <f>IF(世帯!AG19&lt;&gt;0,'男女　３５～４９才'!AG19/世帯!AG19,0)</f>
        <v>0.29268292682926833</v>
      </c>
      <c r="AH19" s="33" t="n">
        <f>IF(世帯!AH19&lt;&gt;0,'男女　３５～４９才'!AH19/世帯!AH19,0)</f>
        <v>0.5294117647058824</v>
      </c>
      <c r="AI19" s="34" t="n">
        <f>IF(世帯!AI19&lt;&gt;0,'男女　３５～４９才'!AI19/世帯!AI19,0)</f>
        <v>0.17777777777777778</v>
      </c>
      <c r="AJ19" s="59" t="n">
        <f>IF(世帯!AJ19&lt;&gt;0,'男女　３５～４９才'!AJ19/世帯!AJ19,0)</f>
        <v>0.2</v>
      </c>
      <c r="AK19" s="6"/>
      <c r="AL19" s="6"/>
    </row>
    <row r="20" spans="1:38" x14ac:dyDescent="0.2">
      <c r="A20" s="46" t="s">
        <v>29</v>
      </c>
      <c r="B20" s="33" t="n">
        <f>IF(世帯!B20&lt;&gt;0,'男女　３５～４９才'!B20/世帯!B20,0)</f>
        <v>0.39024390243902446</v>
      </c>
      <c r="C20" s="33" t="n">
        <f>IF(世帯!C20&lt;&gt;0,'男女　３５～４９才'!C20/世帯!C20,0)</f>
        <v>0.38554216867469876</v>
      </c>
      <c r="D20" s="33" t="n">
        <f>IF(世帯!D20&lt;&gt;0,'男女　３５～４９才'!D20/世帯!D20,0)</f>
        <v>0.3625</v>
      </c>
      <c r="E20" s="33" t="n">
        <f>IF(世帯!E20&lt;&gt;0,'男女　３５～４９才'!E20/世帯!E20,0)</f>
        <v>0.3703703703703704</v>
      </c>
      <c r="F20" s="33" t="n">
        <f>IF(世帯!F20&lt;&gt;0,'男女　３５～４９才'!F20/世帯!F20,0)</f>
        <v>0.36144578313253006</v>
      </c>
      <c r="G20" s="33" t="n">
        <f>IF(世帯!G20&lt;&gt;0,'男女　３５～４９才'!G20/世帯!G20,0)</f>
        <v>0.4722222222222222</v>
      </c>
      <c r="H20" s="33" t="n">
        <f>IF(世帯!H20&lt;&gt;0,'男女　３５～４９才'!H20/世帯!H20,0)</f>
        <v>0.2660550458715596</v>
      </c>
      <c r="I20" s="34" t="n">
        <f>IF(世帯!I20&lt;&gt;0,'男女　３５～４９才'!I20/世帯!I20,0)</f>
        <v>0.37804878048780494</v>
      </c>
      <c r="J20" s="59" t="n">
        <f>IF(世帯!J20&lt;&gt;0,'男女　３５～４９才'!J20/世帯!J20,0)</f>
        <v>0.3647058823529412</v>
      </c>
      <c r="K20" s="51" t="s">
        <v>15</v>
      </c>
      <c r="L20" s="52" t="s">
        <v>877</v>
      </c>
      <c r="N20" s="46" t="s">
        <v>29</v>
      </c>
      <c r="O20" s="33" t="n">
        <f>IF(世帯!O20&lt;&gt;0,'男女　３５～４９才'!O20/世帯!O20,0)</f>
        <v>0.15714285714285717</v>
      </c>
      <c r="P20" s="33" t="n">
        <f>IF(世帯!P20&lt;&gt;0,'男女　３５～４９才'!P20/世帯!P20,0)</f>
        <v>0.19718309859154928</v>
      </c>
      <c r="Q20" s="33" t="n">
        <f>IF(世帯!Q20&lt;&gt;0,'男女　３５～４９才'!Q20/世帯!Q20,0)</f>
        <v>0.14925373134328357</v>
      </c>
      <c r="R20" s="33" t="n">
        <f>IF(世帯!R20&lt;&gt;0,'男女　３５～４９才'!R20/世帯!R20,0)</f>
        <v>0.18032786885245905</v>
      </c>
      <c r="S20" s="33" t="n">
        <f>IF(世帯!S20&lt;&gt;0,'男女　３５～４９才'!S20/世帯!S20,0)</f>
        <v>0.18987341772151897</v>
      </c>
      <c r="T20" s="33" t="n">
        <f>IF(世帯!T20&lt;&gt;0,'男女　３５～４９才'!T20/世帯!T20,0)</f>
        <v>0.2839506172839506</v>
      </c>
      <c r="U20" s="33" t="n">
        <f>IF(世帯!U20&lt;&gt;0,'男女　３５～４９才'!U20/世帯!U20,0)</f>
        <v>0.36708860759493667</v>
      </c>
      <c r="V20" s="34" t="n">
        <f>IF(世帯!V20&lt;&gt;0,'男女　３５～４９才'!V20/世帯!V20,0)</f>
        <v>0.17142857142857143</v>
      </c>
      <c r="W20" s="59" t="n">
        <f>IF(世帯!W20&lt;&gt;0,'男女　３５～４９才'!W20/世帯!W20,0)</f>
        <v>0.21917808219178084</v>
      </c>
      <c r="X20" s="51" t="s">
        <v>15</v>
      </c>
      <c r="Y20" s="52" t="s">
        <v>877</v>
      </c>
      <c r="Z20" s="5"/>
      <c r="AA20" s="46" t="s">
        <v>29</v>
      </c>
      <c r="AB20" s="33" t="n">
        <f>IF(世帯!AB20&lt;&gt;0,'男女　３５～４９才'!AB20/世帯!AB20,0)</f>
        <v>0.23076923076923078</v>
      </c>
      <c r="AC20" s="33" t="n">
        <f>IF(世帯!AC20&lt;&gt;0,'男女　３５～４９才'!AC20/世帯!AC20,0)</f>
        <v>0.21052631578947367</v>
      </c>
      <c r="AD20" s="33" t="n">
        <f>IF(世帯!AD20&lt;&gt;0,'男女　３５～４９才'!AD20/世帯!AD20,0)</f>
        <v>0.22950819672131148</v>
      </c>
      <c r="AE20" s="33" t="n">
        <f>IF(世帯!AE20&lt;&gt;0,'男女　３５～４９才'!AE20/世帯!AE20,0)</f>
        <v>0.21666666666666667</v>
      </c>
      <c r="AF20" s="33" t="n">
        <f>IF(世帯!AF20&lt;&gt;0,'男女　３５～４９才'!AF20/世帯!AF20,0)</f>
        <v>0.2631578947368421</v>
      </c>
      <c r="AG20" s="33" t="n">
        <f>IF(世帯!AG20&lt;&gt;0,'男女　３５～４９才'!AG20/世帯!AG20,0)</f>
        <v>0.1911764705882353</v>
      </c>
      <c r="AH20" s="33" t="n">
        <f>IF(世帯!AH20&lt;&gt;0,'男女　３５～４９才'!AH20/世帯!AH20,0)</f>
        <v>0.3191489361702127</v>
      </c>
      <c r="AI20" s="34" t="n">
        <f>IF(世帯!AI20&lt;&gt;0,'男女　３５～４９才'!AI20/世帯!AI20,0)</f>
        <v>0.2333333333333333</v>
      </c>
      <c r="AJ20" s="59" t="n">
        <f>IF(世帯!AJ20&lt;&gt;0,'男女　３５～４９才'!AJ20/世帯!AJ20,0)</f>
        <v>0.23728813559322032</v>
      </c>
      <c r="AK20" s="51" t="s">
        <v>15</v>
      </c>
      <c r="AL20" s="52" t="s">
        <v>877</v>
      </c>
    </row>
    <row r="21" spans="1:38" x14ac:dyDescent="0.2">
      <c r="A21" s="46" t="s">
        <v>31</v>
      </c>
      <c r="B21" s="33" t="n">
        <f>IF(世帯!B21&lt;&gt;0,'男女　３５～４９才'!B21/世帯!B21,0)</f>
        <v>0.5</v>
      </c>
      <c r="C21" s="33" t="n">
        <f>IF(世帯!C21&lt;&gt;0,'男女　３５～４９才'!C21/世帯!C21,0)</f>
        <v>0.48275862068965525</v>
      </c>
      <c r="D21" s="33" t="n">
        <f>IF(世帯!D21&lt;&gt;0,'男女　３５～４９才'!D21/世帯!D21,0)</f>
        <v>0.5373134328358209</v>
      </c>
      <c r="E21" s="33" t="n">
        <f>IF(世帯!E21&lt;&gt;0,'男女　３５～４９才'!E21/世帯!E21,0)</f>
        <v>0.488095238095238</v>
      </c>
      <c r="F21" s="33" t="n">
        <f>IF(世帯!F21&lt;&gt;0,'男女　３５～４９才'!F21/世帯!F21,0)</f>
        <v>0.35135135135135137</v>
      </c>
      <c r="G21" s="33" t="n">
        <f>IF(世帯!G21&lt;&gt;0,'男女　３５～４９才'!G21/世帯!G21,0)</f>
        <v>0.4743589743589744</v>
      </c>
      <c r="H21" s="33" t="n">
        <f>IF(世帯!H21&lt;&gt;0,'男女　３５～４９才'!H21/世帯!H21,0)</f>
        <v>0.6705882352941177</v>
      </c>
      <c r="I21" s="34" t="n">
        <f>IF(世帯!I21&lt;&gt;0,'男女　３５～４９才'!I21/世帯!I21,0)</f>
        <v>0.48101265822784806</v>
      </c>
      <c r="J21" s="59" t="n">
        <f>IF(世帯!J21&lt;&gt;0,'男女　３５～４９才'!J21/世帯!J21,0)</f>
        <v>0.5125</v>
      </c>
      <c r="K21" s="63" t="str">
        <f>IF('男女　３５～４９才'!K21="","",'男女　３５～４９才'!K21)</f>
        <v/>
      </c>
      <c r="L21" s="59" t="str">
        <f>IF(世帯!L21="","",IF(世帯!L21&lt;&gt;0,'男女　３５～４９才'!L21/世帯!L21,0))</f>
        <v/>
      </c>
      <c r="N21" s="46" t="s">
        <v>31</v>
      </c>
      <c r="O21" s="33" t="n">
        <f>IF(世帯!O21&lt;&gt;0,'男女　３５～４９才'!O21/世帯!O21,0)</f>
        <v>0.2592592592592593</v>
      </c>
      <c r="P21" s="33" t="n">
        <f>IF(世帯!P21&lt;&gt;0,'男女　３５～４９才'!P21/世帯!P21,0)</f>
        <v>0.2061855670103093</v>
      </c>
      <c r="Q21" s="33" t="n">
        <f>IF(世帯!Q21&lt;&gt;0,'男女　３５～４９才'!Q21/世帯!Q21,0)</f>
        <v>0.22077922077922077</v>
      </c>
      <c r="R21" s="33" t="n">
        <f>IF(世帯!R21&lt;&gt;0,'男女　３５～４９才'!R21/世帯!R21,0)</f>
        <v>0.25</v>
      </c>
      <c r="S21" s="33" t="n">
        <f>IF(世帯!S21&lt;&gt;0,'男女　３５～４９才'!S21/世帯!S21,0)</f>
        <v>0.2434782608695652</v>
      </c>
      <c r="T21" s="33" t="n">
        <f>IF(世帯!T21&lt;&gt;0,'男女　３５～４９才'!T21/世帯!T21,0)</f>
        <v>0.25806451612903225</v>
      </c>
      <c r="U21" s="33" t="n">
        <f>IF(世帯!U21&lt;&gt;0,'男女　３５～４９才'!U21/世帯!U21,0)</f>
        <v>0.23333333333333334</v>
      </c>
      <c r="V21" s="34" t="n">
        <f>IF(世帯!V21&lt;&gt;0,'男女　３５～４９才'!V21/世帯!V21,0)</f>
        <v>0.23333333333333334</v>
      </c>
      <c r="W21" s="59" t="n">
        <f>IF(世帯!W21&lt;&gt;0,'男女　３５～４９才'!W21/世帯!W21,0)</f>
        <v>0.23333333333333334</v>
      </c>
      <c r="X21" s="63" t="str">
        <f>IF('男女　３５～４９才'!X21="","",'男女　３５～４９才'!X21)</f>
        <v/>
      </c>
      <c r="Y21" s="59" t="str">
        <f>IF(世帯!Y21="","",IF(世帯!Y21&lt;&gt;0,'男女　３５～４９才'!Y21/世帯!Y21,0))</f>
        <v/>
      </c>
      <c r="Z21" s="5"/>
      <c r="AA21" s="46" t="s">
        <v>31</v>
      </c>
      <c r="AB21" s="33" t="n">
        <f>IF(世帯!AB21&lt;&gt;0,'男女　３５～４９才'!AB21/世帯!AB21,0)</f>
        <v>0.5441176470588236</v>
      </c>
      <c r="AC21" s="33" t="n">
        <f>IF(世帯!AC21&lt;&gt;0,'男女　３５～４９才'!AC21/世帯!AC21,0)</f>
        <v>0.5833333333333334</v>
      </c>
      <c r="AD21" s="33" t="n">
        <f>IF(世帯!AD21&lt;&gt;0,'男女　３５～４９才'!AD21/世帯!AD21,0)</f>
        <v>0.4225352112676057</v>
      </c>
      <c r="AE21" s="33" t="n">
        <f>IF(世帯!AE21&lt;&gt;0,'男女　３５～４９才'!AE21/世帯!AE21,0)</f>
        <v>0.2777777777777778</v>
      </c>
      <c r="AF21" s="33" t="n">
        <f>IF(世帯!AF21&lt;&gt;0,'男女　３５～４９才'!AF21/世帯!AF21,0)</f>
        <v>0.6666666666666666</v>
      </c>
      <c r="AG21" s="33" t="n">
        <f>IF(世帯!AG21&lt;&gt;0,'男女　３５～４９才'!AG21/世帯!AG21,0)</f>
        <v>0.4444444444444444</v>
      </c>
      <c r="AH21" s="33" t="n">
        <f>IF(世帯!AH21&lt;&gt;0,'男女　３５～４９才'!AH21/世帯!AH21,0)</f>
        <v>0.554054054054054</v>
      </c>
      <c r="AI21" s="34" t="n">
        <f>IF(世帯!AI21&lt;&gt;0,'男女　３５～４９才'!AI21/世帯!AI21,0)</f>
        <v>0.4754098360655738</v>
      </c>
      <c r="AJ21" s="59" t="n">
        <f>IF(世帯!AJ21&lt;&gt;0,'男女　３５～４９才'!AJ21/世帯!AJ21,0)</f>
        <v>0.49180327868852464</v>
      </c>
      <c r="AK21" s="63" t="str">
        <f>IF('男女　３５～４９才'!AK21="","",'男女　３５～４９才'!AK21)</f>
        <v/>
      </c>
      <c r="AL21" s="59" t="str">
        <f>IF(世帯!AL21="","",IF(世帯!AL21&lt;&gt;0,'男女　３５～４９才'!AL21/世帯!AL21,0))</f>
        <v/>
      </c>
    </row>
    <row r="22" spans="1:38" x14ac:dyDescent="0.2">
      <c r="A22" s="46" t="s">
        <v>32</v>
      </c>
      <c r="B22" s="33" t="n">
        <f>IF(世帯!B22&lt;&gt;0,'男女　３５～４９才'!B22/世帯!B22,0)</f>
        <v>0.5238095238095238</v>
      </c>
      <c r="C22" s="33" t="n">
        <f>IF(世帯!C22&lt;&gt;0,'男女　３５～４９才'!C22/世帯!C22,0)</f>
        <v>0.4430379746835443</v>
      </c>
      <c r="D22" s="33" t="n">
        <f>IF(世帯!D22&lt;&gt;0,'男女　３５～４９才'!D22/世帯!D22,0)</f>
        <v>0.6</v>
      </c>
      <c r="E22" s="33" t="n">
        <f>IF(世帯!E22&lt;&gt;0,'男女　３５～４９才'!E22/世帯!E22,0)</f>
        <v>0.5</v>
      </c>
      <c r="F22" s="33" t="n">
        <f>IF(世帯!F22&lt;&gt;0,'男女　３５～４９才'!F22/世帯!F22,0)</f>
        <v>0.358974358974359</v>
      </c>
      <c r="G22" s="33" t="n">
        <f>IF(世帯!G22&lt;&gt;0,'男女　３５～４９才'!G22/世帯!G22,0)</f>
        <v>0.4366197183098592</v>
      </c>
      <c r="H22" s="33" t="n">
        <f>IF(世帯!H22&lt;&gt;0,'男女　３５～４９才'!H22/世帯!H22,0)</f>
        <v>0.7717391304347826</v>
      </c>
      <c r="I22" s="34" t="n">
        <f>IF(世帯!I22&lt;&gt;0,'男女　３５～４９才'!I22/世帯!I22,0)</f>
        <v>0.4875</v>
      </c>
      <c r="J22" s="59" t="n">
        <f>IF(世帯!J22&lt;&gt;0,'男女　３５～４９才'!J22/世帯!J22,0)</f>
        <v>0.5308641975308642</v>
      </c>
      <c r="K22" s="63" t="str">
        <f>IF('男女　３５～４９才'!K22="","",'男女　３５～４９才'!K22)</f>
        <v/>
      </c>
      <c r="L22" s="59" t="str">
        <f>IF(世帯!L22="","",IF(世帯!L22&lt;&gt;0,'男女　３５～４９才'!L22/世帯!L22,0))</f>
        <v/>
      </c>
      <c r="N22" s="46" t="s">
        <v>32</v>
      </c>
      <c r="O22" s="33" t="n">
        <f>IF(世帯!O22&lt;&gt;0,'男女　３５～４９才'!O22/世帯!O22,0)</f>
        <v>0.2857142857142857</v>
      </c>
      <c r="P22" s="33" t="n">
        <f>IF(世帯!P22&lt;&gt;0,'男女　３５～４９才'!P22/世帯!P22,0)</f>
        <v>0.22429906542056074</v>
      </c>
      <c r="Q22" s="33" t="n">
        <f>IF(世帯!Q22&lt;&gt;0,'男女　３５～４９才'!Q22/世帯!Q22,0)</f>
        <v>0.2210526315789474</v>
      </c>
      <c r="R22" s="33" t="n">
        <f>IF(世帯!R22&lt;&gt;0,'男女　３５～４９才'!R22/世帯!R22,0)</f>
        <v>0.24752475247524752</v>
      </c>
      <c r="S22" s="33" t="n">
        <f>IF(世帯!S22&lt;&gt;0,'男女　３５～４９才'!S22/世帯!S22,0)</f>
        <v>0.3</v>
      </c>
      <c r="T22" s="33" t="n">
        <f>IF(世帯!T22&lt;&gt;0,'男女　３５～４９才'!T22/世帯!T22,0)</f>
        <v>0.25961538461538464</v>
      </c>
      <c r="U22" s="33" t="n">
        <f>IF(世帯!U22&lt;&gt;0,'男女　３５～４９才'!U22/世帯!U22,0)</f>
        <v>0.17431192660550457</v>
      </c>
      <c r="V22" s="34" t="n">
        <f>IF(世帯!V22&lt;&gt;0,'男女　３５～４９才'!V22/世帯!V22,0)</f>
        <v>0.25742574257425743</v>
      </c>
      <c r="W22" s="59" t="n">
        <f>IF(世帯!W22&lt;&gt;0,'男女　３５～４９才'!W22/世帯!W22,0)</f>
        <v>0.2450980392156863</v>
      </c>
      <c r="X22" s="63" t="str">
        <f>IF('男女　３５～４９才'!X22="","",'男女　３５～４９才'!X22)</f>
        <v/>
      </c>
      <c r="Y22" s="59" t="str">
        <f>IF(世帯!Y22="","",IF(世帯!Y22&lt;&gt;0,'男女　３５～４９才'!Y22/世帯!Y22,0))</f>
        <v/>
      </c>
      <c r="Z22" s="5"/>
      <c r="AA22" s="46" t="s">
        <v>32</v>
      </c>
      <c r="AB22" s="33" t="n">
        <f>IF(世帯!AB22&lt;&gt;0,'男女　３５～４９才'!AB22/世帯!AB22,0)</f>
        <v>0.5675675675675675</v>
      </c>
      <c r="AC22" s="33" t="n">
        <f>IF(世帯!AC22&lt;&gt;0,'男女　３５～４９才'!AC22/世帯!AC22,0)</f>
        <v>0.7333333333333334</v>
      </c>
      <c r="AD22" s="33" t="n">
        <f>IF(世帯!AD22&lt;&gt;0,'男女　３５～４９才'!AD22/世帯!AD22,0)</f>
        <v>0.4473684210526316</v>
      </c>
      <c r="AE22" s="33" t="n">
        <f>IF(世帯!AE22&lt;&gt;0,'男女　３５～４９才'!AE22/世帯!AE22,0)</f>
        <v>0.36363636363636365</v>
      </c>
      <c r="AF22" s="33" t="n">
        <f>IF(世帯!AF22&lt;&gt;0,'男女　３５～４９才'!AF22/世帯!AF22,0)</f>
        <v>0.6923076923076923</v>
      </c>
      <c r="AG22" s="33" t="n">
        <f>IF(世帯!AG22&lt;&gt;0,'男女　３５～４９才'!AG22/世帯!AG22,0)</f>
        <v>0.5306122448979592</v>
      </c>
      <c r="AH22" s="33" t="n">
        <f>IF(世帯!AH22&lt;&gt;0,'男女　３５～４９才'!AH22/世帯!AH22,0)</f>
        <v>0.56</v>
      </c>
      <c r="AI22" s="34" t="n">
        <f>IF(世帯!AI22&lt;&gt;0,'男女　３５～４９才'!AI22/世帯!AI22,0)</f>
        <v>0.5606060606060607</v>
      </c>
      <c r="AJ22" s="59" t="n">
        <f>IF(世帯!AJ22&lt;&gt;0,'男女　３５～４９才'!AJ22/世帯!AJ22,0)</f>
        <v>0.5538461538461539</v>
      </c>
      <c r="AK22" s="63" t="str">
        <f>IF('男女　３５～４９才'!AK22="","",'男女　３５～４９才'!AK22)</f>
        <v/>
      </c>
      <c r="AL22" s="59" t="str">
        <f>IF(世帯!AL22="","",IF(世帯!AL22&lt;&gt;0,'男女　３５～４９才'!AL22/世帯!AL22,0))</f>
        <v/>
      </c>
    </row>
    <row r="23" spans="1:38" x14ac:dyDescent="0.2">
      <c r="A23" s="46" t="s">
        <v>33</v>
      </c>
      <c r="B23" s="33" t="n">
        <f>IF(世帯!B23&lt;&gt;0,'男女　３５～４９才'!B23/世帯!B23,0)</f>
        <v>0.475</v>
      </c>
      <c r="C23" s="33" t="n">
        <f>IF(世帯!C23&lt;&gt;0,'男女　３５～４９才'!C23/世帯!C23,0)</f>
        <v>0.4428571428571429</v>
      </c>
      <c r="D23" s="33" t="n">
        <f>IF(世帯!D23&lt;&gt;0,'男女　３５～４９才'!D23/世帯!D23,0)</f>
        <v>0.5</v>
      </c>
      <c r="E23" s="33" t="n">
        <f>IF(世帯!E23&lt;&gt;0,'男女　３５～４９才'!E23/世帯!E23,0)</f>
        <v>0.49367088607594933</v>
      </c>
      <c r="F23" s="33" t="n">
        <f>IF(世帯!F23&lt;&gt;0,'男女　３５～４９才'!F23/世帯!F23,0)</f>
        <v>0.619718309859155</v>
      </c>
      <c r="G23" s="33" t="n">
        <f>IF(世帯!G23&lt;&gt;0,'男女　３５～４９才'!G23/世帯!G23,0)</f>
        <v>0.4</v>
      </c>
      <c r="H23" s="33" t="n">
        <f>IF(世帯!H23&lt;&gt;0,'男女　３５～４９才'!H23/世帯!H23,0)</f>
        <v>0.7681159420289855</v>
      </c>
      <c r="I23" s="34" t="n">
        <f>IF(世帯!I23&lt;&gt;0,'男女　３５～４９才'!I23/世帯!I23,0)</f>
        <v>0.5066666666666666</v>
      </c>
      <c r="J23" s="59" t="n">
        <f>IF(世帯!J23&lt;&gt;0,'男女　３５～４９才'!J23/世帯!J23,0)</f>
        <v>0.5352112676056338</v>
      </c>
      <c r="K23" s="63" t="str">
        <f>IF('男女　３５～４９才'!K23="","",'男女　３５～４９才'!K23)</f>
        <v/>
      </c>
      <c r="L23" s="59" t="str">
        <f>IF(世帯!L23="","",IF(世帯!L23&lt;&gt;0,'男女　３５～４９才'!L23/世帯!L23,0))</f>
        <v/>
      </c>
      <c r="N23" s="46" t="s">
        <v>33</v>
      </c>
      <c r="O23" s="33" t="n">
        <f>IF(世帯!O23&lt;&gt;0,'男女　３５～４９才'!O23/世帯!O23,0)</f>
        <v>0.28260869565217395</v>
      </c>
      <c r="P23" s="33" t="n">
        <f>IF(世帯!P23&lt;&gt;0,'男女　３５～４９才'!P23/世帯!P23,0)</f>
        <v>0.27906976744186046</v>
      </c>
      <c r="Q23" s="33" t="n">
        <f>IF(世帯!Q23&lt;&gt;0,'男女　３５～４９才'!Q23/世帯!Q23,0)</f>
        <v>0.19801980198019803</v>
      </c>
      <c r="R23" s="33" t="n">
        <f>IF(世帯!R23&lt;&gt;0,'男女　３５～４９才'!R23/世帯!R23,0)</f>
        <v>0.22000000000000003</v>
      </c>
      <c r="S23" s="33" t="n">
        <f>IF(世帯!S23&lt;&gt;0,'男女　３５～４９才'!S23/世帯!S23,0)</f>
        <v>0.3488372093023256</v>
      </c>
      <c r="T23" s="33" t="n">
        <f>IF(世帯!T23&lt;&gt;0,'男女　３５～４９才'!T23/世帯!T23,0)</f>
        <v>0.29292929292929293</v>
      </c>
      <c r="U23" s="33" t="n">
        <f>IF(世帯!U23&lt;&gt;0,'男女　３５～４９才'!U23/世帯!U23,0)</f>
        <v>0.2</v>
      </c>
      <c r="V23" s="34" t="n">
        <f>IF(世帯!V23&lt;&gt;0,'男女　３５～４９才'!V23/世帯!V23,0)</f>
        <v>0.2608695652173913</v>
      </c>
      <c r="W23" s="59" t="n">
        <f>IF(世帯!W23&lt;&gt;0,'男女　３５～４９才'!W23/世帯!W23,0)</f>
        <v>0.25263157894736843</v>
      </c>
      <c r="X23" s="63" t="str">
        <f>IF('男女　３５～４９才'!X23="","",'男女　３５～４９才'!X23)</f>
        <v/>
      </c>
      <c r="Y23" s="59" t="str">
        <f>IF(世帯!Y23="","",IF(世帯!Y23&lt;&gt;0,'男女　３５～４９才'!Y23/世帯!Y23,0))</f>
        <v/>
      </c>
      <c r="Z23" s="5"/>
      <c r="AA23" s="46" t="s">
        <v>33</v>
      </c>
      <c r="AB23" s="33" t="n">
        <f>IF(世帯!AB23&lt;&gt;0,'男女　３５～４９才'!AB23/世帯!AB23,0)</f>
        <v>0.5384615384615384</v>
      </c>
      <c r="AC23" s="33" t="n">
        <f>IF(世帯!AC23&lt;&gt;0,'男女　３５～４９才'!AC23/世帯!AC23,0)</f>
        <v>0.6578947368421053</v>
      </c>
      <c r="AD23" s="33" t="n">
        <f>IF(世帯!AD23&lt;&gt;0,'男女　３５～４９才'!AD23/世帯!AD23,0)</f>
        <v>0.5344827586206897</v>
      </c>
      <c r="AE23" s="33" t="n">
        <f>IF(世帯!AE23&lt;&gt;0,'男女　３５～４９才'!AE23/世帯!AE23,0)</f>
        <v>0.48979591836734687</v>
      </c>
      <c r="AF23" s="33" t="n">
        <f>IF(世帯!AF23&lt;&gt;0,'男女　３５～４９才'!AF23/世帯!AF23,0)</f>
        <v>0.5416666666666667</v>
      </c>
      <c r="AG23" s="33" t="n">
        <f>IF(世帯!AG23&lt;&gt;0,'男女　３５～４９才'!AG23/世帯!AG23,0)</f>
        <v>0.4905660377358491</v>
      </c>
      <c r="AH23" s="33" t="n">
        <f>IF(世帯!AH23&lt;&gt;0,'男女　３５～４９才'!AH23/世帯!AH23,0)</f>
        <v>0.4716981132075472</v>
      </c>
      <c r="AI23" s="34" t="n">
        <f>IF(世帯!AI23&lt;&gt;0,'男女　３５～４９才'!AI23/世帯!AI23,0)</f>
        <v>0.5666666666666667</v>
      </c>
      <c r="AJ23" s="59" t="n">
        <f>IF(世帯!AJ23&lt;&gt;0,'男女　３５～４９才'!AJ23/世帯!AJ23,0)</f>
        <v>0.5373134328358209</v>
      </c>
      <c r="AK23" s="63" t="str">
        <f>IF('男女　３５～４９才'!AK23="","",'男女　３５～４９才'!AK23)</f>
        <v/>
      </c>
      <c r="AL23" s="59" t="str">
        <f>IF(世帯!AL23="","",IF(世帯!AL23&lt;&gt;0,'男女　３５～４９才'!AL23/世帯!AL23,0))</f>
        <v/>
      </c>
    </row>
    <row r="24" spans="1:38" x14ac:dyDescent="0.2">
      <c r="A24" s="46" t="s">
        <v>34</v>
      </c>
      <c r="B24" s="33" t="n">
        <f>IF(世帯!B24&lt;&gt;0,'男女　３５～４９才'!B24/世帯!B24,0)</f>
        <v>0.5238095238095238</v>
      </c>
      <c r="C24" s="33" t="n">
        <f>IF(世帯!C24&lt;&gt;0,'男女　３５～４９才'!C24/世帯!C24,0)</f>
        <v>0.4528301886792453</v>
      </c>
      <c r="D24" s="33" t="n">
        <f>IF(世帯!D24&lt;&gt;0,'男女　３５～４９才'!D24/世帯!D24,0)</f>
        <v>0.3333333333333333</v>
      </c>
      <c r="E24" s="33" t="n">
        <f>IF(世帯!E24&lt;&gt;0,'男女　３５～４９才'!E24/世帯!E24,0)</f>
        <v>0.509090909090909</v>
      </c>
      <c r="F24" s="33" t="n">
        <f>IF(世帯!F24&lt;&gt;0,'男女　３５～４９才'!F24/世帯!F24,0)</f>
        <v>0.6486486486486486</v>
      </c>
      <c r="G24" s="33" t="n">
        <f>IF(世帯!G24&lt;&gt;0,'男女　３５～４９才'!G24/世帯!G24,0)</f>
        <v>0.45</v>
      </c>
      <c r="H24" s="33" t="n">
        <f>IF(世帯!H24&lt;&gt;0,'男女　３５～４９才'!H24/世帯!H24,0)</f>
        <v>0.5777777777777778</v>
      </c>
      <c r="I24" s="34" t="n">
        <f>IF(世帯!I24&lt;&gt;0,'男女　３５～４９才'!I24/世帯!I24,0)</f>
        <v>0.5166666666666667</v>
      </c>
      <c r="J24" s="59" t="n">
        <f>IF(世帯!J24&lt;&gt;0,'男女　３５～４９才'!J24/世帯!J24,0)</f>
        <v>0.5272727272727272</v>
      </c>
      <c r="K24" s="63" t="str">
        <f>IF('男女　３５～４９才'!K24="","",'男女　３５～４９才'!K24)</f>
        <v/>
      </c>
      <c r="L24" s="59" t="str">
        <f>IF(世帯!L24="","",IF(世帯!L24&lt;&gt;0,'男女　３５～４９才'!L24/世帯!L24,0))</f>
        <v/>
      </c>
      <c r="N24" s="46" t="s">
        <v>34</v>
      </c>
      <c r="O24" s="33" t="n">
        <f>IF(世帯!O24&lt;&gt;0,'男女　３５～４９才'!O24/世帯!O24,0)</f>
        <v>0.25217391304347825</v>
      </c>
      <c r="P24" s="33" t="n">
        <f>IF(世帯!P24&lt;&gt;0,'男女　３５～４９才'!P24/世帯!P24,0)</f>
        <v>0.31932773109243695</v>
      </c>
      <c r="Q24" s="33" t="n">
        <f>IF(世帯!Q24&lt;&gt;0,'男女　３５～４９才'!Q24/世帯!Q24,0)</f>
        <v>0.31496062992125984</v>
      </c>
      <c r="R24" s="33" t="n">
        <f>IF(世帯!R24&lt;&gt;0,'男女　３５～４９才'!R24/世帯!R24,0)</f>
        <v>0.2661290322580645</v>
      </c>
      <c r="S24" s="33" t="n">
        <f>IF(世帯!S24&lt;&gt;0,'男女　３５～４９才'!S24/世帯!S24,0)</f>
        <v>0.26229508196721313</v>
      </c>
      <c r="T24" s="33" t="n">
        <f>IF(世帯!T24&lt;&gt;0,'男女　３５～４９才'!T24/世帯!T24,0)</f>
        <v>0.26666666666666666</v>
      </c>
      <c r="U24" s="33" t="n">
        <f>IF(世帯!U24&lt;&gt;0,'男女　３５～４９才'!U24/世帯!U24,0)</f>
        <v>0.23529411764705882</v>
      </c>
      <c r="V24" s="34" t="n">
        <f>IF(世帯!V24&lt;&gt;0,'男女　３５～４９才'!V24/世帯!V24,0)</f>
        <v>0.2809917355371901</v>
      </c>
      <c r="W24" s="59" t="n">
        <f>IF(世帯!W24&lt;&gt;0,'男女　３５～４９才'!W24/世帯!W24,0)</f>
        <v>0.27884615384615385</v>
      </c>
      <c r="X24" s="63" t="str">
        <f>IF('男女　３５～４９才'!X24="","",'男女　３５～４９才'!X24)</f>
        <v/>
      </c>
      <c r="Y24" s="59" t="str">
        <f>IF(世帯!Y24="","",IF(世帯!Y24&lt;&gt;0,'男女　３５～４９才'!Y24/世帯!Y24,0))</f>
        <v/>
      </c>
      <c r="Z24" s="5"/>
      <c r="AA24" s="46" t="s">
        <v>34</v>
      </c>
      <c r="AB24" s="33" t="n">
        <f>IF(世帯!AB24&lt;&gt;0,'男女　３５～４９才'!AB24/世帯!AB24,0)</f>
        <v>0.6190476190476191</v>
      </c>
      <c r="AC24" s="33" t="n">
        <f>IF(世帯!AC24&lt;&gt;0,'男女　３５～４９才'!AC24/世帯!AC24,0)</f>
        <v>0.5217391304347826</v>
      </c>
      <c r="AD24" s="33" t="n">
        <f>IF(世帯!AD24&lt;&gt;0,'男女　３５～４９才'!AD24/世帯!AD24,0)</f>
        <v>0.7058823529411765</v>
      </c>
      <c r="AE24" s="33" t="n">
        <f>IF(世帯!AE24&lt;&gt;0,'男女　３５～４９才'!AE24/世帯!AE24,0)</f>
        <v>0.5</v>
      </c>
      <c r="AF24" s="33" t="n">
        <f>IF(世帯!AF24&lt;&gt;0,'男女　３５～４９才'!AF24/世帯!AF24,0)</f>
        <v>0.4545454545454546</v>
      </c>
      <c r="AG24" s="33" t="n">
        <f>IF(世帯!AG24&lt;&gt;0,'男女　３５～４９才'!AG24/世帯!AG24,0)</f>
        <v>0.2988505747126437</v>
      </c>
      <c r="AH24" s="33" t="n">
        <f>IF(世帯!AH24&lt;&gt;0,'男女　３５～４９才'!AH24/世帯!AH24,0)</f>
        <v>0.4571428571428572</v>
      </c>
      <c r="AI24" s="34" t="n">
        <f>IF(世帯!AI24&lt;&gt;0,'男女　３５～４９才'!AI24/世帯!AI24,0)</f>
        <v>0.5581395348837209</v>
      </c>
      <c r="AJ24" s="59" t="n">
        <f>IF(世帯!AJ24&lt;&gt;0,'男女　３５～４９才'!AJ24/世帯!AJ24,0)</f>
        <v>0.4905660377358491</v>
      </c>
      <c r="AK24" s="63" t="str">
        <f>IF('男女　３５～４９才'!AK24="","",'男女　３５～４９才'!AK24)</f>
        <v/>
      </c>
      <c r="AL24" s="59" t="str">
        <f>IF(世帯!AL24="","",IF(世帯!AL24&lt;&gt;0,'男女　３５～４９才'!AL24/世帯!AL24,0))</f>
        <v/>
      </c>
    </row>
    <row r="25" spans="1:38" x14ac:dyDescent="0.2">
      <c r="A25" s="46" t="s">
        <v>35</v>
      </c>
      <c r="B25" s="33" t="n">
        <f>IF(世帯!B25&lt;&gt;0,'男女　３５～４９才'!B25/世帯!B25,0)</f>
        <v>0.40277777777777773</v>
      </c>
      <c r="C25" s="33" t="n">
        <f>IF(世帯!C25&lt;&gt;0,'男女　３５～４９才'!C25/世帯!C25,0)</f>
        <v>0.33333333333333337</v>
      </c>
      <c r="D25" s="33" t="n">
        <f>IF(世帯!D25&lt;&gt;0,'男女　３５～４９才'!D25/世帯!D25,0)</f>
        <v>0.29411764705882354</v>
      </c>
      <c r="E25" s="33" t="n">
        <f>IF(世帯!E25&lt;&gt;0,'男女　３５～４９才'!E25/世帯!E25,0)</f>
        <v>0.423728813559322</v>
      </c>
      <c r="F25" s="33" t="n">
        <f>IF(世帯!F25&lt;&gt;0,'男女　３５～４９才'!F25/世帯!F25,0)</f>
        <v>0.5348837209302325</v>
      </c>
      <c r="G25" s="33" t="n">
        <f>IF(世帯!G25&lt;&gt;0,'男女　３５～４９才'!G25/世帯!G25,0)</f>
        <v>0.5454545454545455</v>
      </c>
      <c r="H25" s="33" t="n">
        <f>IF(世帯!H25&lt;&gt;0,'男女　３５～４９才'!H25/世帯!H25,0)</f>
        <v>0.5</v>
      </c>
      <c r="I25" s="34" t="n">
        <f>IF(世帯!I25&lt;&gt;0,'男女　３５～４９才'!I25/世帯!I25,0)</f>
        <v>0.38983050847457623</v>
      </c>
      <c r="J25" s="59" t="n">
        <f>IF(世帯!J25&lt;&gt;0,'男女　３５～４９才'!J25/世帯!J25,0)</f>
        <v>0.411764705882353</v>
      </c>
      <c r="K25" s="63" t="str">
        <f>IF('男女　３５～４９才'!K25="","",'男女　３５～４９才'!K25)</f>
        <v/>
      </c>
      <c r="L25" s="59" t="str">
        <f>IF(世帯!L25="","",IF(世帯!L25&lt;&gt;0,'男女　３５～４９才'!L25/世帯!L25,0))</f>
        <v/>
      </c>
      <c r="N25" s="46" t="s">
        <v>35</v>
      </c>
      <c r="O25" s="33" t="n">
        <f>IF(世帯!O25&lt;&gt;0,'男女　３５～４９才'!O25/世帯!O25,0)</f>
        <v>0.36734693877551017</v>
      </c>
      <c r="P25" s="33" t="n">
        <f>IF(世帯!P25&lt;&gt;0,'男女　３５～４９才'!P25/世帯!P25,0)</f>
        <v>0.40740740740740744</v>
      </c>
      <c r="Q25" s="33" t="n">
        <f>IF(世帯!Q25&lt;&gt;0,'男女　３５～４９才'!Q25/世帯!Q25,0)</f>
        <v>0.36</v>
      </c>
      <c r="R25" s="33" t="n">
        <f>IF(世帯!R25&lt;&gt;0,'男女　３５～４９才'!R25/世帯!R25,0)</f>
        <v>0.40625</v>
      </c>
      <c r="S25" s="33" t="n">
        <f>IF(世帯!S25&lt;&gt;0,'男女　３５～４９才'!S25/世帯!S25,0)</f>
        <v>0.35000000000000003</v>
      </c>
      <c r="T25" s="33" t="n">
        <f>IF(世帯!T25&lt;&gt;0,'男女　３５～４９才'!T25/世帯!T25,0)</f>
        <v>0.33333333333333337</v>
      </c>
      <c r="U25" s="33" t="n">
        <f>IF(世帯!U25&lt;&gt;0,'男女　３５～４９才'!U25/世帯!U25,0)</f>
        <v>0.393939393939394</v>
      </c>
      <c r="V25" s="34" t="n">
        <f>IF(世帯!V25&lt;&gt;0,'男女　３５～４９才'!V25/世帯!V25,0)</f>
        <v>0.38181818181818183</v>
      </c>
      <c r="W25" s="59" t="n">
        <f>IF(世帯!W25&lt;&gt;0,'男女　３５～４９才'!W25/世帯!W25,0)</f>
        <v>0.3829787234042553</v>
      </c>
      <c r="X25" s="63" t="str">
        <f>IF('男女　３５～４９才'!X25="","",'男女　３５～４９才'!X25)</f>
        <v/>
      </c>
      <c r="Y25" s="59" t="str">
        <f>IF(世帯!Y25="","",IF(世帯!Y25&lt;&gt;0,'男女　３５～４９才'!Y25/世帯!Y25,0))</f>
        <v/>
      </c>
      <c r="Z25" s="5"/>
      <c r="AA25" s="46" t="s">
        <v>35</v>
      </c>
      <c r="AB25" s="33" t="n">
        <f>IF(世帯!AB25&lt;&gt;0,'男女　３５～４９才'!AB25/世帯!AB25,0)</f>
        <v>0.4848484848484849</v>
      </c>
      <c r="AC25" s="33" t="n">
        <f>IF(世帯!AC25&lt;&gt;0,'男女　３５～４９才'!AC25/世帯!AC25,0)</f>
        <v>0.393939393939394</v>
      </c>
      <c r="AD25" s="33" t="n">
        <f>IF(世帯!AD25&lt;&gt;0,'男女　３５～４９才'!AD25/世帯!AD25,0)</f>
        <v>0.5588235294117647</v>
      </c>
      <c r="AE25" s="33" t="n">
        <f>IF(世帯!AE25&lt;&gt;0,'男女　３５～４９才'!AE25/世帯!AE25,0)</f>
        <v>0.41666666666666663</v>
      </c>
      <c r="AF25" s="33" t="n">
        <f>IF(世帯!AF25&lt;&gt;0,'男女　３５～４９才'!AF25/世帯!AF25,0)</f>
        <v>0.375</v>
      </c>
      <c r="AG25" s="33" t="n">
        <f>IF(世帯!AG25&lt;&gt;0,'男女　３５～４９才'!AG25/世帯!AG25,0)</f>
        <v>0.2988505747126437</v>
      </c>
      <c r="AH25" s="33" t="n">
        <f>IF(世帯!AH25&lt;&gt;0,'男女　３５～４９才'!AH25/世帯!AH25,0)</f>
        <v>0.5</v>
      </c>
      <c r="AI25" s="34" t="n">
        <f>IF(世帯!AI25&lt;&gt;0,'男女　３５～４９才'!AI25/世帯!AI25,0)</f>
        <v>0.4571428571428572</v>
      </c>
      <c r="AJ25" s="59" t="n">
        <f>IF(世帯!AJ25&lt;&gt;0,'男女　３５～４９才'!AJ25/世帯!AJ25,0)</f>
        <v>0.4186046511627907</v>
      </c>
      <c r="AK25" s="63" t="str">
        <f>IF('男女　３５～４９才'!AK25="","",'男女　３５～４９才'!AK25)</f>
        <v/>
      </c>
      <c r="AL25" s="59" t="str">
        <f>IF(世帯!AL25="","",IF(世帯!AL25&lt;&gt;0,'男女　３５～４９才'!AL25/世帯!AL25,0))</f>
        <v/>
      </c>
    </row>
    <row r="26" spans="1:38" x14ac:dyDescent="0.2">
      <c r="A26" s="46" t="s">
        <v>36</v>
      </c>
      <c r="B26" s="33" t="n">
        <f>IF(世帯!B26&lt;&gt;0,'男女　３５～４９才'!B26/世帯!B26,0)</f>
        <v>0.42424242424242425</v>
      </c>
      <c r="C26" s="33" t="n">
        <f>IF(世帯!C26&lt;&gt;0,'男女　３５～４９才'!C26/世帯!C26,0)</f>
        <v>0.34375</v>
      </c>
      <c r="D26" s="33" t="n">
        <f>IF(世帯!D26&lt;&gt;0,'男女　３５～４９才'!D26/世帯!D26,0)</f>
        <v>0.3928571428571429</v>
      </c>
      <c r="E26" s="33" t="n">
        <f>IF(世帯!E26&lt;&gt;0,'男女　３５～４９才'!E26/世帯!E26,0)</f>
        <v>0.5517241379310345</v>
      </c>
      <c r="F26" s="33" t="n">
        <f>IF(世帯!F26&lt;&gt;0,'男女　３５～４９才'!F26/世帯!F26,0)</f>
        <v>0.43749999999999994</v>
      </c>
      <c r="G26" s="33" t="n">
        <f>IF(世帯!G26&lt;&gt;0,'男女　３５～４９才'!G26/世帯!G26,0)</f>
        <v>0.4444444444444445</v>
      </c>
      <c r="H26" s="33" t="n">
        <f>IF(世帯!H26&lt;&gt;0,'男女　３５～４９才'!H26/世帯!H26,0)</f>
        <v>0.46428571428571436</v>
      </c>
      <c r="I26" s="34" t="n">
        <f>IF(世帯!I26&lt;&gt;0,'男女　３５～４９才'!I26/世帯!I26,0)</f>
        <v>0.41935483870967744</v>
      </c>
      <c r="J26" s="59" t="n">
        <f>IF(世帯!J26&lt;&gt;0,'男女　３５～４９才'!J26/世帯!J26,0)</f>
        <v>0.4516129032258064</v>
      </c>
      <c r="K26" s="63" t="str">
        <f>IF('男女　３５～４９才'!K26="","",'男女　３５～４９才'!K26)</f>
        <v/>
      </c>
      <c r="L26" s="59" t="str">
        <f>IF(世帯!L26="","",IF(世帯!L26&lt;&gt;0,'男女　３５～４９才'!L26/世帯!L26,0))</f>
        <v/>
      </c>
      <c r="N26" s="46" t="s">
        <v>36</v>
      </c>
      <c r="O26" s="33" t="n">
        <f>IF(世帯!O26&lt;&gt;0,'男女　３５～４９才'!O26/世帯!O26,0)</f>
        <v>0.45833333333333337</v>
      </c>
      <c r="P26" s="33" t="n">
        <f>IF(世帯!P26&lt;&gt;0,'男女　３５～４９才'!P26/世帯!P26,0)</f>
        <v>0.5185185185185185</v>
      </c>
      <c r="Q26" s="33" t="n">
        <f>IF(世帯!Q26&lt;&gt;0,'男女　３５～４９才'!Q26/世帯!Q26,0)</f>
        <v>0.4666666666666666</v>
      </c>
      <c r="R26" s="33" t="n">
        <f>IF(世帯!R26&lt;&gt;0,'男女　３５～４９才'!R26/世帯!R26,0)</f>
        <v>0.5151515151515151</v>
      </c>
      <c r="S26" s="33" t="n">
        <f>IF(世帯!S26&lt;&gt;0,'男女　３５～４９才'!S26/世帯!S26,0)</f>
        <v>0.4285714285714286</v>
      </c>
      <c r="T26" s="33" t="n">
        <f>IF(世帯!T26&lt;&gt;0,'男女　３５～４９才'!T26/世帯!T26,0)</f>
        <v>0.36363636363636365</v>
      </c>
      <c r="U26" s="33" t="n">
        <f>IF(世帯!U26&lt;&gt;0,'男女　３５～４９才'!U26/世帯!U26,0)</f>
        <v>0.4705882352941177</v>
      </c>
      <c r="V26" s="34" t="n">
        <f>IF(世帯!V26&lt;&gt;0,'男女　３５～４９才'!V26/世帯!V26,0)</f>
        <v>0.48</v>
      </c>
      <c r="W26" s="59" t="n">
        <f>IF(世帯!W26&lt;&gt;0,'男女　３５～４９才'!W26/世帯!W26,0)</f>
        <v>0.5</v>
      </c>
      <c r="X26" s="63" t="str">
        <f>IF('男女　３５～４９才'!X26="","",'男女　３５～４９才'!X26)</f>
        <v/>
      </c>
      <c r="Y26" s="59" t="str">
        <f>IF(世帯!Y26="","",IF(世帯!Y26&lt;&gt;0,'男女　３５～４９才'!Y26/世帯!Y26,0))</f>
        <v/>
      </c>
      <c r="Z26" s="5"/>
      <c r="AA26" s="46" t="s">
        <v>36</v>
      </c>
      <c r="AB26" s="33" t="n">
        <f>IF(世帯!AB26&lt;&gt;0,'男女　３５～４９才'!AB26/世帯!AB26,0)</f>
        <v>0.43749999999999994</v>
      </c>
      <c r="AC26" s="33" t="n">
        <f>IF(世帯!AC26&lt;&gt;0,'男女　３５～４９才'!AC26/世帯!AC26,0)</f>
        <v>0.5</v>
      </c>
      <c r="AD26" s="33" t="n">
        <f>IF(世帯!AD26&lt;&gt;0,'男女　３５～４９才'!AD26/世帯!AD26,0)</f>
        <v>0.631578947368421</v>
      </c>
      <c r="AE26" s="33" t="n">
        <f>IF(世帯!AE26&lt;&gt;0,'男女　３５～４９才'!AE26/世帯!AE26,0)</f>
        <v>0.5333333333333333</v>
      </c>
      <c r="AF26" s="33" t="n">
        <f>IF(世帯!AF26&lt;&gt;0,'男女　３５～４９才'!AF26/世帯!AF26,0)</f>
        <v>0.44000000000000006</v>
      </c>
      <c r="AG26" s="33" t="n">
        <f>IF(世帯!AG26&lt;&gt;0,'男女　３５～４９才'!AG26/世帯!AG26,0)</f>
        <v>0.37142857142857144</v>
      </c>
      <c r="AH26" s="33" t="n">
        <f>IF(世帯!AH26&lt;&gt;0,'男女　３５～４９才'!AH26/世帯!AH26,0)</f>
        <v>0.3846153846153846</v>
      </c>
      <c r="AI26" s="34" t="n">
        <f>IF(世帯!AI26&lt;&gt;0,'男女　３５～４９才'!AI26/世帯!AI26,0)</f>
        <v>0.5294117647058824</v>
      </c>
      <c r="AJ26" s="59" t="n">
        <f>IF(世帯!AJ26&lt;&gt;0,'男女　３５～４９才'!AJ26/世帯!AJ26,0)</f>
        <v>0.4736842105263158</v>
      </c>
      <c r="AK26" s="63" t="str">
        <f>IF('男女　３５～４９才'!AK26="","",'男女　３５～４９才'!AK26)</f>
        <v/>
      </c>
      <c r="AL26" s="59" t="str">
        <f>IF(世帯!AL26="","",IF(世帯!AL26&lt;&gt;0,'男女　３５～４９才'!AL26/世帯!AL26,0))</f>
        <v/>
      </c>
    </row>
    <row r="27" spans="1:38" x14ac:dyDescent="0.2">
      <c r="A27" s="46" t="s">
        <v>37</v>
      </c>
      <c r="B27" s="33" t="n">
        <f>IF(世帯!B27&lt;&gt;0,'男女　３５～４９才'!B27/世帯!B27,0)</f>
        <v>0.4666666666666666</v>
      </c>
      <c r="C27" s="33" t="n">
        <f>IF(世帯!C27&lt;&gt;0,'男女　３５～４９才'!C27/世帯!C27,0)</f>
        <v>0.5454545454545454</v>
      </c>
      <c r="D27" s="33" t="n">
        <f>IF(世帯!D27&lt;&gt;0,'男女　３５～４９才'!D27/世帯!D27,0)</f>
        <v>0.5</v>
      </c>
      <c r="E27" s="33" t="n">
        <f>IF(世帯!E27&lt;&gt;0,'男女　３５～４９才'!E27/世帯!E27,0)</f>
        <v>0.5833333333333334</v>
      </c>
      <c r="F27" s="33" t="n">
        <f>IF(世帯!F27&lt;&gt;0,'男女　３５～４９才'!F27/世帯!F27,0)</f>
        <v>0.37499999999999994</v>
      </c>
      <c r="G27" s="33" t="n">
        <f>IF(世帯!G27&lt;&gt;0,'男女　３５～４９才'!G27/世帯!G27,0)</f>
        <v>0.5</v>
      </c>
      <c r="H27" s="33" t="n">
        <f>IF(世帯!H27&lt;&gt;0,'男女　３５～４９才'!H27/世帯!H27,0)</f>
        <v>0.39999999999999997</v>
      </c>
      <c r="I27" s="34" t="n">
        <f>IF(世帯!I27&lt;&gt;0,'男女　３５～４９才'!I27/世帯!I27,0)</f>
        <v>0.5384615384615384</v>
      </c>
      <c r="J27" s="59" t="n">
        <f>IF(世帯!J27&lt;&gt;0,'男女　３５～４９才'!J27/世帯!J27,0)</f>
        <v>0.4615384615384615</v>
      </c>
      <c r="K27" s="63" t="str">
        <f>IF('男女　３５～４９才'!K27="","",'男女　３５～４９才'!K27)</f>
        <v/>
      </c>
      <c r="L27" s="59" t="str">
        <f>IF(世帯!L27="","",IF(世帯!L27&lt;&gt;0,'男女　３５～４９才'!L27/世帯!L27,0))</f>
        <v/>
      </c>
      <c r="N27" s="46" t="s">
        <v>37</v>
      </c>
      <c r="O27" s="33" t="n">
        <f>IF(世帯!O27&lt;&gt;0,'男女　３５～４９才'!O27/世帯!O27,0)</f>
        <v>0.45454545454545453</v>
      </c>
      <c r="P27" s="33" t="n">
        <f>IF(世帯!P27&lt;&gt;0,'男女　３５～４９才'!P27/世帯!P27,0)</f>
        <v>0.5833333333333334</v>
      </c>
      <c r="Q27" s="33" t="n">
        <f>IF(世帯!Q27&lt;&gt;0,'男女　３５～４９才'!Q27/世帯!Q27,0)</f>
        <v>0.4444444444444445</v>
      </c>
      <c r="R27" s="33" t="n">
        <f>IF(世帯!R27&lt;&gt;0,'男女　３５～４９才'!R27/世帯!R27,0)</f>
        <v>0.4705882352941177</v>
      </c>
      <c r="S27" s="33" t="n">
        <f>IF(世帯!S27&lt;&gt;0,'男女　３５～４９才'!S27/世帯!S27,0)</f>
        <v>0.5</v>
      </c>
      <c r="T27" s="33" t="n">
        <f>IF(世帯!T27&lt;&gt;0,'男女　３５～４９才'!T27/世帯!T27,0)</f>
        <v>0.4285714285714286</v>
      </c>
      <c r="U27" s="33" t="n">
        <f>IF(世帯!U27&lt;&gt;0,'男女　３５～４９才'!U27/世帯!U27,0)</f>
        <v>0.37499999999999994</v>
      </c>
      <c r="V27" s="34" t="n">
        <f>IF(世帯!V27&lt;&gt;0,'男女　３５～４９才'!V27/世帯!V27,0)</f>
        <v>0.4615384615384615</v>
      </c>
      <c r="W27" s="59" t="n">
        <f>IF(世帯!W27&lt;&gt;0,'男女　３５～４９才'!W27/世帯!W27,0)</f>
        <v>0.45454545454545453</v>
      </c>
      <c r="X27" s="63" t="str">
        <f>IF('男女　３５～４９才'!X27="","",'男女　３５～４９才'!X27)</f>
        <v/>
      </c>
      <c r="Y27" s="59" t="str">
        <f>IF(世帯!Y27="","",IF(世帯!Y27&lt;&gt;0,'男女　３５～４９才'!Y27/世帯!Y27,0))</f>
        <v/>
      </c>
      <c r="Z27" s="5"/>
      <c r="AA27" s="46" t="s">
        <v>37</v>
      </c>
      <c r="AB27" s="33" t="n">
        <f>IF(世帯!AB27&lt;&gt;0,'男女　３５～４９才'!AB27/世帯!AB27,0)</f>
        <v>0.5</v>
      </c>
      <c r="AC27" s="33" t="n">
        <f>IF(世帯!AC27&lt;&gt;0,'男女　３５～４９才'!AC27/世帯!AC27,0)</f>
        <v>0.37499999999999994</v>
      </c>
      <c r="AD27" s="33" t="n">
        <f>IF(世帯!AD27&lt;&gt;0,'男女　３５～４９才'!AD27/世帯!AD27,0)</f>
        <v>0.6363636363636362</v>
      </c>
      <c r="AE27" s="33" t="n">
        <f>IF(世帯!AE27&lt;&gt;0,'男女　３５～４９才'!AE27/世帯!AE27,0)</f>
        <v>0.4285714285714286</v>
      </c>
      <c r="AF27" s="33" t="n">
        <f>IF(世帯!AF27&lt;&gt;0,'男女　３５～４９才'!AF27/世帯!AF27,0)</f>
        <v>0.3846153846153846</v>
      </c>
      <c r="AG27" s="33" t="n">
        <f>IF(世帯!AG27&lt;&gt;0,'男女　３５～４９才'!AG27/世帯!AG27,0)</f>
        <v>0.4736842105263158</v>
      </c>
      <c r="AH27" s="33" t="n">
        <f>IF(世帯!AH27&lt;&gt;0,'男女　３５～４９才'!AH27/世帯!AH27,0)</f>
        <v>0.4444444444444445</v>
      </c>
      <c r="AI27" s="34" t="n">
        <f>IF(世帯!AI27&lt;&gt;0,'男女　３５～４９才'!AI27/世帯!AI27,0)</f>
        <v>0.4444444444444445</v>
      </c>
      <c r="AJ27" s="59" t="n">
        <f>IF(世帯!AJ27&lt;&gt;0,'男女　３５～４９才'!AJ27/世帯!AJ27,0)</f>
        <v>0.5</v>
      </c>
      <c r="AK27" s="63" t="str">
        <f>IF('男女　３５～４９才'!AK27="","",'男女　３５～４９才'!AK27)</f>
        <v/>
      </c>
      <c r="AL27" s="59" t="str">
        <f>IF(世帯!AL27="","",IF(世帯!AL27&lt;&gt;0,'男女　３５～４９才'!AL27/世帯!AL27,0))</f>
        <v/>
      </c>
    </row>
    <row r="28" spans="1:38" x14ac:dyDescent="0.2">
      <c r="A28" s="46" t="s">
        <v>38</v>
      </c>
      <c r="B28" s="33" t="n">
        <f>IF(世帯!B28&lt;&gt;0,'男女　３５～４９才'!B28/世帯!B28,0)</f>
        <v>0.5555555555555556</v>
      </c>
      <c r="C28" s="33" t="n">
        <f>IF(世帯!C28&lt;&gt;0,'男女　３５～４９才'!C28/世帯!C28,0)</f>
        <v>0.4285714285714286</v>
      </c>
      <c r="D28" s="33" t="n">
        <f>IF(世帯!D28&lt;&gt;0,'男女　３５～４９才'!D28/世帯!D28,0)</f>
        <v>0.5555555555555556</v>
      </c>
      <c r="E28" s="33" t="n">
        <f>IF(世帯!E28&lt;&gt;0,'男女　３５～４９才'!E28/世帯!E28,0)</f>
        <v>0.625</v>
      </c>
      <c r="F28" s="33" t="n">
        <f>IF(世帯!F28&lt;&gt;0,'男女　３５～４９才'!F28/世帯!F28,0)</f>
        <v>0.5</v>
      </c>
      <c r="G28" s="33" t="n">
        <f>IF(世帯!G28&lt;&gt;0,'男女　３５～４９才'!G28/世帯!G28,0)</f>
        <v>0.5</v>
      </c>
      <c r="H28" s="33" t="n">
        <f>IF(世帯!H28&lt;&gt;0,'男女　３５～４９才'!H28/世帯!H28,0)</f>
        <v>0.3333333333333333</v>
      </c>
      <c r="I28" s="34" t="n">
        <f>IF(世帯!I28&lt;&gt;0,'男女　３５～４９才'!I28/世帯!I28,0)</f>
        <v>0.5</v>
      </c>
      <c r="J28" s="59" t="n">
        <f>IF(世帯!J28&lt;&gt;0,'男女　３５～４９才'!J28/世帯!J28,0)</f>
        <v>0.5</v>
      </c>
      <c r="K28" s="63" t="str">
        <f>IF('男女　３５～４９才'!K28="","",'男女　３５～４９才'!K28)</f>
        <v/>
      </c>
      <c r="L28" s="59" t="str">
        <f>IF(世帯!L28="","",IF(世帯!L28&lt;&gt;0,'男女　３５～４９才'!L28/世帯!L28,0))</f>
        <v/>
      </c>
      <c r="N28" s="46" t="s">
        <v>38</v>
      </c>
      <c r="O28" s="33" t="n">
        <f>IF(世帯!O28&lt;&gt;0,'男女　３５～４９才'!O28/世帯!O28,0)</f>
        <v>0.5714285714285715</v>
      </c>
      <c r="P28" s="33" t="n">
        <f>IF(世帯!P28&lt;&gt;0,'男女　３５～４９才'!P28/世帯!P28,0)</f>
        <v>0.5</v>
      </c>
      <c r="Q28" s="33" t="n">
        <f>IF(世帯!Q28&lt;&gt;0,'男女　３５～４９才'!Q28/世帯!Q28,0)</f>
        <v>0.33333333333333337</v>
      </c>
      <c r="R28" s="33" t="n">
        <f>IF(世帯!R28&lt;&gt;0,'男女　３５～４９才'!R28/世帯!R28,0)</f>
        <v>0.5</v>
      </c>
      <c r="S28" s="33" t="n">
        <f>IF(世帯!S28&lt;&gt;0,'男女　３５～４９才'!S28/世帯!S28,0)</f>
        <v>0.4285714285714286</v>
      </c>
      <c r="T28" s="33" t="n">
        <f>IF(世帯!T28&lt;&gt;0,'男女　３５～４９才'!T28/世帯!T28,0)</f>
        <v>0.5</v>
      </c>
      <c r="U28" s="33" t="n">
        <f>IF(世帯!U28&lt;&gt;0,'男女　３５～４９才'!U28/世帯!U28,0)</f>
        <v>0.33333333333333337</v>
      </c>
      <c r="V28" s="34" t="n">
        <f>IF(世帯!V28&lt;&gt;0,'男女　３５～４９才'!V28/世帯!V28,0)</f>
        <v>0.5</v>
      </c>
      <c r="W28" s="59" t="n">
        <f>IF(世帯!W28&lt;&gt;0,'男女　３５～４９才'!W28/世帯!W28,0)</f>
        <v>0.4285714285714286</v>
      </c>
      <c r="X28" s="63" t="str">
        <f>IF('男女　３５～４９才'!X28="","",'男女　３５～４９才'!X28)</f>
        <v/>
      </c>
      <c r="Y28" s="59" t="str">
        <f>IF(世帯!Y28="","",IF(世帯!Y28&lt;&gt;0,'男女　３５～４９才'!Y28/世帯!Y28,0))</f>
        <v/>
      </c>
      <c r="Z28" s="5"/>
      <c r="AA28" s="46" t="s">
        <v>38</v>
      </c>
      <c r="AB28" s="33" t="n">
        <f>IF(世帯!AB28&lt;&gt;0,'男女　３５～４９才'!AB28/世帯!AB28,0)</f>
        <v>0.5</v>
      </c>
      <c r="AC28" s="33" t="n">
        <f>IF(世帯!AC28&lt;&gt;0,'男女　３５～４９才'!AC28/世帯!AC28,0)</f>
        <v>0.6</v>
      </c>
      <c r="AD28" s="33" t="n">
        <f>IF(世帯!AD28&lt;&gt;0,'男女　３５～４９才'!AD28/世帯!AD28,0)</f>
        <v>0.5</v>
      </c>
      <c r="AE28" s="33" t="n">
        <f>IF(世帯!AE28&lt;&gt;0,'男女　３５～４９才'!AE28/世帯!AE28,0)</f>
        <v>0.6</v>
      </c>
      <c r="AF28" s="33" t="n">
        <f>IF(世帯!AF28&lt;&gt;0,'男女　３５～４９才'!AF28/世帯!AF28,0)</f>
        <v>0.4285714285714286</v>
      </c>
      <c r="AG28" s="33" t="n">
        <f>IF(世帯!AG28&lt;&gt;0,'男女　３５～４９才'!AG28/世帯!AG28,0)</f>
        <v>0.45454545454545453</v>
      </c>
      <c r="AH28" s="33" t="n">
        <f>IF(世帯!AH28&lt;&gt;0,'男女　３５～４９才'!AH28/世帯!AH28,0)</f>
        <v>0.37499999999999994</v>
      </c>
      <c r="AI28" s="34" t="n">
        <f>IF(世帯!AI28&lt;&gt;0,'男女　３５～４９才'!AI28/世帯!AI28,0)</f>
        <v>0.5</v>
      </c>
      <c r="AJ28" s="59" t="n">
        <f>IF(世帯!AJ28&lt;&gt;0,'男女　３５～４９才'!AJ28/世帯!AJ28,0)</f>
        <v>0.4285714285714286</v>
      </c>
      <c r="AK28" s="63" t="str">
        <f>IF('男女　３５～４９才'!AK28="","",'男女　３５～４９才'!AK28)</f>
        <v/>
      </c>
      <c r="AL28" s="59" t="str">
        <f>IF(世帯!AL28="","",IF(世帯!AL28&lt;&gt;0,'男女　３５～４９才'!AL28/世帯!AL28,0))</f>
        <v/>
      </c>
    </row>
    <row r="29" spans="1:38" x14ac:dyDescent="0.2">
      <c r="A29" s="46" t="s">
        <v>39</v>
      </c>
      <c r="B29" s="33" t="n">
        <f>IF(世帯!B29&lt;&gt;0,'男女　３５～４９才'!B29/世帯!B29,0)</f>
        <v>0.5</v>
      </c>
      <c r="C29" s="33" t="n">
        <f>IF(世帯!C29&lt;&gt;0,'男女　３５～４９才'!C29/世帯!C29,0)</f>
        <v>0.33333333333333337</v>
      </c>
      <c r="D29" s="33" t="n">
        <f>IF(世帯!D29&lt;&gt;0,'男女　３５～４９才'!D29/世帯!D29,0)</f>
        <v>0.5</v>
      </c>
      <c r="E29" s="33" t="n">
        <f>IF(世帯!E29&lt;&gt;0,'男女　３５～４９才'!E29/世帯!E29,0)</f>
        <v>0.4</v>
      </c>
      <c r="F29" s="33" t="n">
        <f>IF(世帯!F29&lt;&gt;0,'男女　３５～４９才'!F29/世帯!F29,0)</f>
        <v>0.4</v>
      </c>
      <c r="G29" s="33" t="n">
        <f>IF(世帯!G29&lt;&gt;0,'男女　３５～４９才'!G29/世帯!G29,0)</f>
        <v>0.4</v>
      </c>
      <c r="H29" s="33" t="n">
        <f>IF(世帯!H29&lt;&gt;0,'男女　３５～４９才'!H29/世帯!H29,0)</f>
        <v>0.5</v>
      </c>
      <c r="I29" s="34" t="n">
        <f>IF(世帯!I29&lt;&gt;0,'男女　３５～４９才'!I29/世帯!I29,0)</f>
        <v>0.5</v>
      </c>
      <c r="J29" s="59" t="n">
        <f>IF(世帯!J29&lt;&gt;0,'男女　３５～４９才'!J29/世帯!J29,0)</f>
        <v>0.5</v>
      </c>
      <c r="K29" s="63" t="str">
        <f>IF('男女　３５～４９才'!K29="","",'男女　３５～４９才'!K29)</f>
        <v/>
      </c>
      <c r="L29" s="59" t="str">
        <f>IF(世帯!L29="","",IF(世帯!L29&lt;&gt;0,'男女　３５～４９才'!L29/世帯!L29,0))</f>
        <v/>
      </c>
      <c r="N29" s="46" t="s">
        <v>39</v>
      </c>
      <c r="O29" s="33" t="n">
        <f>IF(世帯!O29&lt;&gt;0,'男女　３５～４９才'!O29/世帯!O29,0)</f>
        <v>0.5</v>
      </c>
      <c r="P29" s="33" t="n">
        <f>IF(世帯!P29&lt;&gt;0,'男女　３５～４９才'!P29/世帯!P29,0)</f>
        <v>0.6</v>
      </c>
      <c r="Q29" s="33" t="n">
        <f>IF(世帯!Q29&lt;&gt;0,'男女　３５～４９才'!Q29/世帯!Q29,0)</f>
        <v>0.4</v>
      </c>
      <c r="R29" s="33" t="n">
        <f>IF(世帯!R29&lt;&gt;0,'男女　３５～４９才'!R29/世帯!R29,0)</f>
        <v>0.6666666666666667</v>
      </c>
      <c r="S29" s="33" t="n">
        <f>IF(世帯!S29&lt;&gt;0,'男女　３５～４９才'!S29/世帯!S29,0)</f>
        <v>0.5</v>
      </c>
      <c r="T29" s="33" t="n">
        <f>IF(世帯!T29&lt;&gt;0,'男女　３５～４９才'!T29/世帯!T29,0)</f>
        <v>0.5</v>
      </c>
      <c r="U29" s="33" t="n">
        <f>IF(世帯!U29&lt;&gt;0,'男女　３５～４９才'!U29/世帯!U29,0)</f>
        <v>0.4</v>
      </c>
      <c r="V29" s="34" t="n">
        <f>IF(世帯!V29&lt;&gt;0,'男女　３５～４９才'!V29/世帯!V29,0)</f>
        <v>0.5</v>
      </c>
      <c r="W29" s="59" t="n">
        <f>IF(世帯!W29&lt;&gt;0,'男女　３５～４９才'!W29/世帯!W29,0)</f>
        <v>0.6</v>
      </c>
      <c r="X29" s="63" t="str">
        <f>IF('男女　３５～４９才'!X29="","",'男女　３５～４９才'!X29)</f>
        <v/>
      </c>
      <c r="Y29" s="59" t="str">
        <f>IF(世帯!Y29="","",IF(世帯!Y29&lt;&gt;0,'男女　３５～４９才'!Y29/世帯!Y29,0))</f>
        <v/>
      </c>
      <c r="Z29" s="5"/>
      <c r="AA29" s="46" t="s">
        <v>39</v>
      </c>
      <c r="AB29" s="33" t="n">
        <f>IF(世帯!AB29&lt;&gt;0,'男女　３５～４９才'!AB29/世帯!AB29,0)</f>
        <v>0.28571428571428575</v>
      </c>
      <c r="AC29" s="33" t="n">
        <f>IF(世帯!AC29&lt;&gt;0,'男女　３５～４９才'!AC29/世帯!AC29,0)</f>
        <v>0.33333333333333337</v>
      </c>
      <c r="AD29" s="33" t="n">
        <f>IF(世帯!AD29&lt;&gt;0,'男女　３５～４９才'!AD29/世帯!AD29,0)</f>
        <v>0.5714285714285715</v>
      </c>
      <c r="AE29" s="33" t="n">
        <f>IF(世帯!AE29&lt;&gt;0,'男女　３５～４９才'!AE29/世帯!AE29,0)</f>
        <v>0.4285714285714286</v>
      </c>
      <c r="AF29" s="33" t="n">
        <f>IF(世帯!AF29&lt;&gt;0,'男女　３５～４９才'!AF29/世帯!AF29,0)</f>
        <v>0.5</v>
      </c>
      <c r="AG29" s="33" t="n">
        <f>IF(世帯!AG29&lt;&gt;0,'男女　３５～４９才'!AG29/世帯!AG29,0)</f>
        <v>0.5</v>
      </c>
      <c r="AH29" s="33" t="n">
        <f>IF(世帯!AH29&lt;&gt;0,'男女　３５～４９才'!AH29/世帯!AH29,0)</f>
        <v>0.28571428571428575</v>
      </c>
      <c r="AI29" s="34" t="n">
        <f>IF(世帯!AI29&lt;&gt;0,'男女　３５～４９才'!AI29/世帯!AI29,0)</f>
        <v>0.5</v>
      </c>
      <c r="AJ29" s="59" t="n">
        <f>IF(世帯!AJ29&lt;&gt;0,'男女　３５～４９才'!AJ29/世帯!AJ29,0)</f>
        <v>0.4285714285714286</v>
      </c>
      <c r="AK29" s="63" t="str">
        <f>IF('男女　３５～４９才'!AK29="","",'男女　３５～４９才'!AK29)</f>
        <v/>
      </c>
      <c r="AL29" s="59" t="str">
        <f>IF(世帯!AL29="","",IF(世帯!AL29&lt;&gt;0,'男女　３５～４９才'!AL29/世帯!AL29,0))</f>
        <v/>
      </c>
    </row>
    <row r="30" spans="1:38" x14ac:dyDescent="0.2">
      <c r="A30" s="47" t="s">
        <v>40</v>
      </c>
      <c r="B30" s="60" t="n">
        <f>IF(世帯!B30&lt;&gt;0,'男女　３５～４９才'!B30/世帯!B30,0)</f>
        <v>0.37499999999999994</v>
      </c>
      <c r="C30" s="60" t="n">
        <f>IF(世帯!C30&lt;&gt;0,'男女　３５～４９才'!C30/世帯!C30,0)</f>
        <v>0.28571428571428575</v>
      </c>
      <c r="D30" s="60" t="n">
        <f>IF(世帯!D30&lt;&gt;0,'男女　３５～４９才'!D30/世帯!D30,0)</f>
        <v>0.3333333333333333</v>
      </c>
      <c r="E30" s="60" t="n">
        <f>IF(世帯!E30&lt;&gt;0,'男女　３５～４９才'!E30/世帯!E30,0)</f>
        <v>0.37499999999999994</v>
      </c>
      <c r="F30" s="60" t="n">
        <f>IF(世帯!F30&lt;&gt;0,'男女　３５～４９才'!F30/世帯!F30,0)</f>
        <v>0.4</v>
      </c>
      <c r="G30" s="60" t="n">
        <f>IF(世帯!G30&lt;&gt;0,'男女　３５～４９才'!G30/世帯!G30,0)</f>
        <v>0.2</v>
      </c>
      <c r="H30" s="60" t="n">
        <f>IF(世帯!H30&lt;&gt;0,'男女　３５～４９才'!H30/世帯!H30,0)</f>
        <v>0.3333333333333333</v>
      </c>
      <c r="I30" s="61" t="n">
        <f>IF(世帯!I30&lt;&gt;0,'男女　３５～４９才'!I30/世帯!I30,0)</f>
        <v>0.37499999999999994</v>
      </c>
      <c r="J30" s="62" t="n">
        <f>IF(世帯!J30&lt;&gt;0,'男女　３５～４９才'!J30/世帯!J30,0)</f>
        <v>0.37499999999999994</v>
      </c>
      <c r="K30" s="64" t="str">
        <f>IF('男女　３５～４９才'!K30="","",'男女　３５～４９才'!K30)</f>
        <v/>
      </c>
      <c r="L30" s="62" t="str">
        <f>IF(世帯!L30="","",IF(世帯!L30&lt;&gt;0,'男女　３５～４９才'!L30/世帯!L30,0))</f>
        <v/>
      </c>
      <c r="N30" s="47" t="s">
        <v>40</v>
      </c>
      <c r="O30" s="60" t="n">
        <f>IF(世帯!O30&lt;&gt;0,'男女　３５～４９才'!O30/世帯!O30,0)</f>
        <v>0.2</v>
      </c>
      <c r="P30" s="60" t="n">
        <f>IF(世帯!P30&lt;&gt;0,'男女　３５～４９才'!P30/世帯!P30,0)</f>
        <v>0.09090909090909091</v>
      </c>
      <c r="Q30" s="60" t="n">
        <f>IF(世帯!Q30&lt;&gt;0,'男女　３５～４９才'!Q30/世帯!Q30,0)</f>
        <v>0.1</v>
      </c>
      <c r="R30" s="60" t="n">
        <f>IF(世帯!R30&lt;&gt;0,'男女　３５～４９才'!R30/世帯!R30,0)</f>
        <v>0.3</v>
      </c>
      <c r="S30" s="60" t="n">
        <f>IF(世帯!S30&lt;&gt;0,'男女　３５～４９才'!S30/世帯!S30,0)</f>
        <v>0.4285714285714286</v>
      </c>
      <c r="T30" s="60" t="n">
        <f>IF(世帯!T30&lt;&gt;0,'男女　３５～４９才'!T30/世帯!T30,0)</f>
        <v>0.5</v>
      </c>
      <c r="U30" s="60" t="n">
        <f>IF(世帯!U30&lt;&gt;0,'男女　３５～４９才'!U30/世帯!U30,0)</f>
        <v>0.1</v>
      </c>
      <c r="V30" s="61" t="n">
        <f>IF(世帯!V30&lt;&gt;0,'男女　３５～４９才'!V30/世帯!V30,0)</f>
        <v>0.2</v>
      </c>
      <c r="W30" s="62" t="n">
        <f>IF(世帯!W30&lt;&gt;0,'男女　３５～４９才'!W30/世帯!W30,0)</f>
        <v>0.22222222222222224</v>
      </c>
      <c r="X30" s="64" t="str">
        <f>IF('男女　３５～４９才'!X30="","",'男女　３５～４９才'!X30)</f>
        <v/>
      </c>
      <c r="Y30" s="62" t="str">
        <f>IF(世帯!Y30="","",IF(世帯!Y30&lt;&gt;0,'男女　３５～４９才'!Y30/世帯!Y30,0))</f>
        <v/>
      </c>
      <c r="Z30" s="5"/>
      <c r="AA30" s="47" t="s">
        <v>40</v>
      </c>
      <c r="AB30" s="60" t="n">
        <f>IF(世帯!AB30&lt;&gt;0,'男女　３５～４９才'!AB30/世帯!AB30,0)</f>
        <v>0.18749999999999997</v>
      </c>
      <c r="AC30" s="60" t="n">
        <f>IF(世帯!AC30&lt;&gt;0,'男女　３５～４９才'!AC30/世帯!AC30,0)</f>
        <v>0.18749999999999997</v>
      </c>
      <c r="AD30" s="60" t="n">
        <f>IF(世帯!AD30&lt;&gt;0,'男女　３５～４９才'!AD30/世帯!AD30,0)</f>
        <v>0.25</v>
      </c>
      <c r="AE30" s="60" t="n">
        <f>IF(世帯!AE30&lt;&gt;0,'男女　３５～４９才'!AE30/世帯!AE30,0)</f>
        <v>0.25</v>
      </c>
      <c r="AF30" s="60" t="n">
        <f>IF(世帯!AF30&lt;&gt;0,'男女　３５～４９才'!AF30/世帯!AF30,0)</f>
        <v>0.23076923076923075</v>
      </c>
      <c r="AG30" s="60" t="n">
        <f>IF(世帯!AG30&lt;&gt;0,'男女　３５～４９才'!AG30/世帯!AG30,0)</f>
        <v>0.2727272727272727</v>
      </c>
      <c r="AH30" s="60" t="n">
        <f>IF(世帯!AH30&lt;&gt;0,'男女　３５～４９才'!AH30/世帯!AH30,0)</f>
        <v>0.18749999999999997</v>
      </c>
      <c r="AI30" s="61" t="n">
        <f>IF(世帯!AI30&lt;&gt;0,'男女　３５～４９才'!AI30/世帯!AI30,0)</f>
        <v>0.19999999999999998</v>
      </c>
      <c r="AJ30" s="62" t="n">
        <f>IF(世帯!AJ30&lt;&gt;0,'男女　３５～４９才'!AJ30/世帯!AJ30,0)</f>
        <v>0.19999999999999998</v>
      </c>
      <c r="AK30" s="64" t="str">
        <f>IF('男女　３５～４９才'!AK30="","",'男女　３５～４９才'!AK30)</f>
        <v/>
      </c>
      <c r="AL30" s="62" t="str">
        <f>IF(世帯!AL30="","",IF(世帯!AL30&lt;&gt;0,'男女　３５～４９才'!AL30/世帯!AL30,0))</f>
        <v/>
      </c>
    </row>
    <row r="31" spans="1:38" x14ac:dyDescent="0.2"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8" x14ac:dyDescent="0.2">
      <c r="A32" s="40" t="s">
        <v>880</v>
      </c>
      <c r="B32" s="41" t="s">
        <v>4</v>
      </c>
      <c r="C32" s="41" t="s">
        <v>5</v>
      </c>
      <c r="D32" s="41" t="s">
        <v>6</v>
      </c>
      <c r="E32" s="41" t="s">
        <v>7</v>
      </c>
      <c r="F32" s="41" t="s">
        <v>8</v>
      </c>
      <c r="G32" s="41" t="s">
        <v>9</v>
      </c>
      <c r="H32" s="41" t="s">
        <v>10</v>
      </c>
      <c r="I32" s="42" t="s">
        <v>11</v>
      </c>
      <c r="J32" s="43" t="s">
        <v>12</v>
      </c>
      <c r="K32" s="2"/>
      <c r="L32" s="2"/>
      <c r="N32" s="40" t="s">
        <v>881</v>
      </c>
      <c r="O32" s="41" t="s">
        <v>4</v>
      </c>
      <c r="P32" s="41" t="s">
        <v>5</v>
      </c>
      <c r="Q32" s="41" t="s">
        <v>6</v>
      </c>
      <c r="R32" s="41" t="s">
        <v>7</v>
      </c>
      <c r="S32" s="41" t="s">
        <v>8</v>
      </c>
      <c r="T32" s="41" t="s">
        <v>9</v>
      </c>
      <c r="U32" s="41" t="s">
        <v>10</v>
      </c>
      <c r="V32" s="42" t="s">
        <v>11</v>
      </c>
      <c r="W32" s="43" t="s">
        <v>12</v>
      </c>
      <c r="X32" s="2"/>
      <c r="Y32" s="2"/>
      <c r="Z32" s="5"/>
      <c r="AA32" s="40" t="s">
        <v>882</v>
      </c>
      <c r="AB32" s="41" t="s">
        <v>4</v>
      </c>
      <c r="AC32" s="41" t="s">
        <v>5</v>
      </c>
      <c r="AD32" s="41" t="s">
        <v>6</v>
      </c>
      <c r="AE32" s="41" t="s">
        <v>7</v>
      </c>
      <c r="AF32" s="41" t="s">
        <v>8</v>
      </c>
      <c r="AG32" s="41" t="s">
        <v>9</v>
      </c>
      <c r="AH32" s="41" t="s">
        <v>10</v>
      </c>
      <c r="AI32" s="42" t="s">
        <v>11</v>
      </c>
      <c r="AJ32" s="43" t="s">
        <v>12</v>
      </c>
      <c r="AK32" s="2"/>
      <c r="AL32" s="2"/>
    </row>
    <row r="33" spans="1:38" x14ac:dyDescent="0.2">
      <c r="A33" s="44" t="s">
        <v>16</v>
      </c>
      <c r="B33" s="33" t="n">
        <f>IF(世帯!B33&lt;&gt;0,'男女　３５～４９才'!B33/世帯!B33,0)</f>
        <v>0.5</v>
      </c>
      <c r="C33" s="33" t="n">
        <f>IF(世帯!C33&lt;&gt;0,'男女　３５～４９才'!C33/世帯!C33,0)</f>
        <v>0.5</v>
      </c>
      <c r="D33" s="33" t="n">
        <f>IF(世帯!D33&lt;&gt;0,'男女　３５～４９才'!D33/世帯!D33,0)</f>
        <v>0.5</v>
      </c>
      <c r="E33" s="33" t="n">
        <f>IF(世帯!E33&lt;&gt;0,'男女　３５～４９才'!E33/世帯!E33,0)</f>
        <v>0.5</v>
      </c>
      <c r="F33" s="33" t="n">
        <f>IF(世帯!F33&lt;&gt;0,'男女　３５～４９才'!F33/世帯!F33,0)</f>
        <v>1.0</v>
      </c>
      <c r="G33" s="33" t="n">
        <f>IF(世帯!G33&lt;&gt;0,'男女　３５～４９才'!G33/世帯!G33,0)</f>
        <v>0.0</v>
      </c>
      <c r="H33" s="33" t="n">
        <f>IF(世帯!H33&lt;&gt;0,'男女　３５～４９才'!H33/世帯!H33,0)</f>
        <v>0.2</v>
      </c>
      <c r="I33" s="34" t="n">
        <f>IF(世帯!I33&lt;&gt;0,'男女　３５～４９才'!I33/世帯!I33,0)</f>
        <v>0.5</v>
      </c>
      <c r="J33" s="59" t="n">
        <f>IF(世帯!J33&lt;&gt;0,'男女　３５～４９才'!J33/世帯!J33,0)</f>
        <v>0.5</v>
      </c>
      <c r="K33" s="6"/>
      <c r="L33" s="6"/>
      <c r="N33" s="44" t="s">
        <v>16</v>
      </c>
      <c r="O33" s="33" t="n">
        <f>IF(世帯!O33&lt;&gt;0,'男女　３５～４９才'!O33/世帯!O33,0)</f>
        <v>0.6521739130434783</v>
      </c>
      <c r="P33" s="33" t="n">
        <f>IF(世帯!P33&lt;&gt;0,'男女　３５～４９才'!P33/世帯!P33,0)</f>
        <v>0.5833333333333334</v>
      </c>
      <c r="Q33" s="33" t="n">
        <f>IF(世帯!Q33&lt;&gt;0,'男女　３５～４９才'!Q33/世帯!Q33,0)</f>
        <v>0.6363636363636362</v>
      </c>
      <c r="R33" s="33" t="n">
        <f>IF(世帯!R33&lt;&gt;0,'男女　３５～４９才'!R33/世帯!R33,0)</f>
        <v>0.6666666666666666</v>
      </c>
      <c r="S33" s="33" t="n">
        <f>IF(世帯!S33&lt;&gt;0,'男女　３５～４９才'!S33/世帯!S33,0)</f>
        <v>0.5789473684210527</v>
      </c>
      <c r="T33" s="33" t="n">
        <f>IF(世帯!T33&lt;&gt;0,'男女　３５～４９才'!T33/世帯!T33,0)</f>
        <v>0.5555555555555556</v>
      </c>
      <c r="U33" s="33" t="n">
        <f>IF(世帯!U33&lt;&gt;0,'男女　３５～４９才'!U33/世帯!U33,0)</f>
        <v>0.5</v>
      </c>
      <c r="V33" s="34" t="n">
        <f>IF(世帯!V33&lt;&gt;0,'男女　３５～４９才'!V33/世帯!V33,0)</f>
        <v>0.6363636363636362</v>
      </c>
      <c r="W33" s="59" t="n">
        <f>IF(世帯!W33&lt;&gt;0,'男女　３５～４９才'!W33/世帯!W33,0)</f>
        <v>0.6111111111111112</v>
      </c>
      <c r="X33" s="6"/>
      <c r="Y33" s="6"/>
      <c r="Z33" s="5"/>
      <c r="AA33" s="44" t="s">
        <v>16</v>
      </c>
      <c r="AB33" s="33" t="n">
        <f>IF(世帯!AB33&lt;&gt;0,'男女　３５～４９才'!AB33/世帯!AB33,0)</f>
        <v>0.2892561983471075</v>
      </c>
      <c r="AC33" s="33" t="n">
        <f>IF(世帯!AC33&lt;&gt;0,'男女　３５～４９才'!AC33/世帯!AC33,0)</f>
        <v>0.2950819672131148</v>
      </c>
      <c r="AD33" s="33" t="n">
        <f>IF(世帯!AD33&lt;&gt;0,'男女　３５～４９才'!AD33/世帯!AD33,0)</f>
        <v>0.2975206611570248</v>
      </c>
      <c r="AE33" s="33" t="n">
        <f>IF(世帯!AE33&lt;&gt;0,'男女　３５～４９才'!AE33/世帯!AE33,0)</f>
        <v>0.30833333333333335</v>
      </c>
      <c r="AF33" s="33" t="n">
        <f>IF(世帯!AF33&lt;&gt;0,'男女　３５～４９才'!AF33/世帯!AF33,0)</f>
        <v>0.2719298245614035</v>
      </c>
      <c r="AG33" s="33" t="n">
        <f>IF(世帯!AG33&lt;&gt;0,'男女　３５～４９才'!AG33/世帯!AG33,0)</f>
        <v>0.2298850574712644</v>
      </c>
      <c r="AH33" s="33" t="n">
        <f>IF(世帯!AH33&lt;&gt;0,'男女　３５～４９才'!AH33/世帯!AH33,0)</f>
        <v>0.22666666666666666</v>
      </c>
      <c r="AI33" s="34" t="n">
        <f>IF(世帯!AI33&lt;&gt;0,'男女　３５～４９才'!AI33/世帯!AI33,0)</f>
        <v>0.2916666666666667</v>
      </c>
      <c r="AJ33" s="59" t="n">
        <f>IF(世帯!AJ33&lt;&gt;0,'男女　３５～４９才'!AJ33/世帯!AJ33,0)</f>
        <v>0.27777777777777773</v>
      </c>
      <c r="AK33" s="6"/>
      <c r="AL33" s="6"/>
    </row>
    <row r="34" spans="1:38" x14ac:dyDescent="0.2">
      <c r="A34" s="46" t="s">
        <v>17</v>
      </c>
      <c r="B34" s="33" t="n">
        <f>IF(世帯!B34&lt;&gt;0,'男女　３５～４９才'!B34/世帯!B34,0)</f>
        <v>0.4285714285714286</v>
      </c>
      <c r="C34" s="33" t="n">
        <f>IF(世帯!C34&lt;&gt;0,'男女　３５～４９才'!C34/世帯!C34,0)</f>
        <v>0.4285714285714286</v>
      </c>
      <c r="D34" s="33" t="n">
        <f>IF(世帯!D34&lt;&gt;0,'男女　３５～４９才'!D34/世帯!D34,0)</f>
        <v>0.4285714285714286</v>
      </c>
      <c r="E34" s="33" t="n">
        <f>IF(世帯!E34&lt;&gt;0,'男女　３５～４９才'!E34/世帯!E34,0)</f>
        <v>0.5714285714285715</v>
      </c>
      <c r="F34" s="33" t="n">
        <f>IF(世帯!F34&lt;&gt;0,'男女　３５～４９才'!F34/世帯!F34,0)</f>
        <v>0.4</v>
      </c>
      <c r="G34" s="33" t="n">
        <f>IF(世帯!G34&lt;&gt;0,'男女　３５～４９才'!G34/世帯!G34,0)</f>
        <v>0.0</v>
      </c>
      <c r="H34" s="33" t="n">
        <f>IF(世帯!H34&lt;&gt;0,'男女　３５～４９才'!H34/世帯!H34,0)</f>
        <v>0.33333333333333337</v>
      </c>
      <c r="I34" s="34" t="n">
        <f>IF(世帯!I34&lt;&gt;0,'男女　３５～４９才'!I34/世帯!I34,0)</f>
        <v>0.4285714285714286</v>
      </c>
      <c r="J34" s="59" t="n">
        <f>IF(世帯!J34&lt;&gt;0,'男女　３５～４９才'!J34/世帯!J34,0)</f>
        <v>0.33333333333333337</v>
      </c>
      <c r="K34" s="6"/>
      <c r="L34" s="6"/>
      <c r="N34" s="46" t="s">
        <v>17</v>
      </c>
      <c r="O34" s="33" t="n">
        <f>IF(世帯!O34&lt;&gt;0,'男女　３５～４９才'!O34/世帯!O34,0)</f>
        <v>0.6551724137931034</v>
      </c>
      <c r="P34" s="33" t="n">
        <f>IF(世帯!P34&lt;&gt;0,'男女　３５～４９才'!P34/世帯!P34,0)</f>
        <v>0.6333333333333333</v>
      </c>
      <c r="Q34" s="33" t="n">
        <f>IF(世帯!Q34&lt;&gt;0,'男女　３５～４９才'!Q34/世帯!Q34,0)</f>
        <v>0.7017543859649122</v>
      </c>
      <c r="R34" s="33" t="n">
        <f>IF(世帯!R34&lt;&gt;0,'男女　３５～４９才'!R34/世帯!R34,0)</f>
        <v>0.6779661016949152</v>
      </c>
      <c r="S34" s="33" t="n">
        <f>IF(世帯!S34&lt;&gt;0,'男女　３５～４９才'!S34/世帯!S34,0)</f>
        <v>0.6226415094339622</v>
      </c>
      <c r="T34" s="33" t="n">
        <f>IF(世帯!T34&lt;&gt;0,'男女　３５～４９才'!T34/世帯!T34,0)</f>
        <v>0.48275862068965514</v>
      </c>
      <c r="U34" s="33" t="n">
        <f>IF(世帯!U34&lt;&gt;0,'男女　３５～４９才'!U34/世帯!U34,0)</f>
        <v>0.5833333333333334</v>
      </c>
      <c r="V34" s="34" t="n">
        <f>IF(世帯!V34&lt;&gt;0,'男女　３５～４９才'!V34/世帯!V34,0)</f>
        <v>0.6551724137931034</v>
      </c>
      <c r="W34" s="59" t="n">
        <f>IF(世帯!W34&lt;&gt;0,'男女　３５～４９才'!W34/世帯!W34,0)</f>
        <v>0.6382978723404255</v>
      </c>
      <c r="X34" s="6"/>
      <c r="Y34" s="6"/>
      <c r="Z34" s="5"/>
      <c r="AA34" s="46" t="s">
        <v>17</v>
      </c>
      <c r="AB34" s="33" t="n">
        <f>IF(世帯!AB34&lt;&gt;0,'男女　３５～４９才'!AB34/世帯!AB34,0)</f>
        <v>0.4444444444444445</v>
      </c>
      <c r="AC34" s="33" t="n">
        <f>IF(世帯!AC34&lt;&gt;0,'男女　３５～４９才'!AC34/世帯!AC34,0)</f>
        <v>0.44326241134751776</v>
      </c>
      <c r="AD34" s="33" t="n">
        <f>IF(世帯!AD34&lt;&gt;0,'男女　３５～４９才'!AD34/世帯!AD34,0)</f>
        <v>0.4525547445255475</v>
      </c>
      <c r="AE34" s="33" t="n">
        <f>IF(世帯!AE34&lt;&gt;0,'男女　３５～４９才'!AE34/世帯!AE34,0)</f>
        <v>0.4659498207885305</v>
      </c>
      <c r="AF34" s="33" t="n">
        <f>IF(世帯!AF34&lt;&gt;0,'男女　３５～４９才'!AF34/世帯!AF34,0)</f>
        <v>0.4108527131782945</v>
      </c>
      <c r="AG34" s="33" t="n">
        <f>IF(世帯!AG34&lt;&gt;0,'男女　３５～４９才'!AG34/世帯!AG34,0)</f>
        <v>0.27999999999999997</v>
      </c>
      <c r="AH34" s="33" t="n">
        <f>IF(世帯!AH34&lt;&gt;0,'男女　３５～４９才'!AH34/世帯!AH34,0)</f>
        <v>0.23728813559322035</v>
      </c>
      <c r="AI34" s="34" t="n">
        <f>IF(世帯!AI34&lt;&gt;0,'男女　３５～４９才'!AI34/世帯!AI34,0)</f>
        <v>0.4436363636363636</v>
      </c>
      <c r="AJ34" s="59" t="n">
        <f>IF(世帯!AJ34&lt;&gt;0,'男女　３５～４９才'!AJ34/世帯!AJ34,0)</f>
        <v>0.40562248995983935</v>
      </c>
      <c r="AK34" s="6"/>
      <c r="AL34" s="6"/>
    </row>
    <row r="35" spans="1:38" x14ac:dyDescent="0.2">
      <c r="A35" s="46" t="s">
        <v>18</v>
      </c>
      <c r="B35" s="33" t="n">
        <f>IF(世帯!B35&lt;&gt;0,'男女　３５～４９才'!B35/世帯!B35,0)</f>
        <v>1.0</v>
      </c>
      <c r="C35" s="33" t="n">
        <f>IF(世帯!C35&lt;&gt;0,'男女　３５～４９才'!C35/世帯!C35,0)</f>
        <v>1.0</v>
      </c>
      <c r="D35" s="33" t="n">
        <f>IF(世帯!D35&lt;&gt;0,'男女　３５～４９才'!D35/世帯!D35,0)</f>
        <v>0.7499999999999999</v>
      </c>
      <c r="E35" s="33" t="n">
        <f>IF(世帯!E35&lt;&gt;0,'男女　３５～４９才'!E35/世帯!E35,0)</f>
        <v>0.7499999999999999</v>
      </c>
      <c r="F35" s="33" t="n">
        <f>IF(世帯!F35&lt;&gt;0,'男女　３５～４９才'!F35/世帯!F35,0)</f>
        <v>1.0</v>
      </c>
      <c r="G35" s="33" t="n">
        <f>IF(世帯!G35&lt;&gt;0,'男女　３５～４９才'!G35/世帯!G35,0)</f>
        <v>1.0</v>
      </c>
      <c r="H35" s="33" t="n">
        <f>IF(世帯!H35&lt;&gt;0,'男女　３５～４９才'!H35/世帯!H35,0)</f>
        <v>1.0</v>
      </c>
      <c r="I35" s="34" t="n">
        <f>IF(世帯!I35&lt;&gt;0,'男女　３５～４９才'!I35/世帯!I35,0)</f>
        <v>1.0</v>
      </c>
      <c r="J35" s="59" t="n">
        <f>IF(世帯!J35&lt;&gt;0,'男女　３５～４９才'!J35/世帯!J35,0)</f>
        <v>0.7499999999999999</v>
      </c>
      <c r="K35" s="6"/>
      <c r="L35" s="6"/>
      <c r="N35" s="46" t="s">
        <v>18</v>
      </c>
      <c r="O35" s="33" t="n">
        <f>IF(世帯!O35&lt;&gt;0,'男女　３５～４９才'!O35/世帯!O35,0)</f>
        <v>0.7105263157894738</v>
      </c>
      <c r="P35" s="33" t="n">
        <f>IF(世帯!P35&lt;&gt;0,'男女　３５～４９才'!P35/世帯!P35,0)</f>
        <v>0.7272727272727272</v>
      </c>
      <c r="Q35" s="33" t="n">
        <f>IF(世帯!Q35&lt;&gt;0,'男女　３５～４９才'!Q35/世帯!Q35,0)</f>
        <v>0.7402597402597403</v>
      </c>
      <c r="R35" s="33" t="n">
        <f>IF(世帯!R35&lt;&gt;0,'男女　３５～４９才'!R35/世帯!R35,0)</f>
        <v>0.7105263157894738</v>
      </c>
      <c r="S35" s="33" t="n">
        <f>IF(世帯!S35&lt;&gt;0,'男女　３５～４９才'!S35/世帯!S35,0)</f>
        <v>0.6891891891891891</v>
      </c>
      <c r="T35" s="33" t="n">
        <f>IF(世帯!T35&lt;&gt;0,'男女　３５～４９才'!T35/世帯!T35,0)</f>
        <v>0.47826086956521746</v>
      </c>
      <c r="U35" s="33" t="n">
        <f>IF(世帯!U35&lt;&gt;0,'男女　３５～４９才'!U35/世帯!U35,0)</f>
        <v>0.4444444444444444</v>
      </c>
      <c r="V35" s="34" t="n">
        <f>IF(世帯!V35&lt;&gt;0,'男女　３５～４９才'!V35/世帯!V35,0)</f>
        <v>0.7105263157894738</v>
      </c>
      <c r="W35" s="59" t="n">
        <f>IF(世帯!W35&lt;&gt;0,'男女　３５～４９才'!W35/世帯!W35,0)</f>
        <v>0.6718749999999999</v>
      </c>
      <c r="X35" s="6"/>
      <c r="Y35" s="6"/>
      <c r="Z35" s="5"/>
      <c r="AA35" s="46" t="s">
        <v>18</v>
      </c>
      <c r="AB35" s="33" t="n">
        <f>IF(世帯!AB35&lt;&gt;0,'男女　３５～４９才'!AB35/世帯!AB35,0)</f>
        <v>0.4591346153846154</v>
      </c>
      <c r="AC35" s="33" t="n">
        <f>IF(世帯!AC35&lt;&gt;0,'男女　３５～４９才'!AC35/世帯!AC35,0)</f>
        <v>0.4560570071258907</v>
      </c>
      <c r="AD35" s="33" t="n">
        <f>IF(世帯!AD35&lt;&gt;0,'男女　３５～４９才'!AD35/世帯!AD35,0)</f>
        <v>0.46318289786223277</v>
      </c>
      <c r="AE35" s="33" t="n">
        <f>IF(世帯!AE35&lt;&gt;0,'男女　３５～４９才'!AE35/世帯!AE35,0)</f>
        <v>0.47129186602870815</v>
      </c>
      <c r="AF35" s="33" t="n">
        <f>IF(世帯!AF35&lt;&gt;0,'男女　３５～４９才'!AF35/世帯!AF35,0)</f>
        <v>0.42355889724310775</v>
      </c>
      <c r="AG35" s="33" t="n">
        <f>IF(世帯!AG35&lt;&gt;0,'男女　３５～４９才'!AG35/世帯!AG35,0)</f>
        <v>0.31212121212121213</v>
      </c>
      <c r="AH35" s="33" t="n">
        <f>IF(世帯!AH35&lt;&gt;0,'男女　３５～４９才'!AH35/世帯!AH35,0)</f>
        <v>0.27741935483870966</v>
      </c>
      <c r="AI35" s="34" t="n">
        <f>IF(世帯!AI35&lt;&gt;0,'男女　３５～４９才'!AI35/世帯!AI35,0)</f>
        <v>0.4554216867469879</v>
      </c>
      <c r="AJ35" s="59" t="n">
        <f>IF(世帯!AJ35&lt;&gt;0,'男女　３５～４９才'!AJ35/世帯!AJ35,0)</f>
        <v>0.4160206718346253</v>
      </c>
      <c r="AK35" s="6"/>
      <c r="AL35" s="6"/>
    </row>
    <row r="36" spans="1:38" x14ac:dyDescent="0.2">
      <c r="A36" s="46" t="s">
        <v>19</v>
      </c>
      <c r="B36" s="33" t="n">
        <f>IF(世帯!B36&lt;&gt;0,'男女　３５～４９才'!B36/世帯!B36,0)</f>
        <v>0.25</v>
      </c>
      <c r="C36" s="33" t="n">
        <f>IF(世帯!C36&lt;&gt;0,'男女　３５～４９才'!C36/世帯!C36,0)</f>
        <v>0.23076923076923075</v>
      </c>
      <c r="D36" s="33" t="n">
        <f>IF(世帯!D36&lt;&gt;0,'男女　３５～４９才'!D36/世帯!D36,0)</f>
        <v>0.16666666666666669</v>
      </c>
      <c r="E36" s="33" t="n">
        <f>IF(世帯!E36&lt;&gt;0,'男女　３５～４９才'!E36/世帯!E36,0)</f>
        <v>0.14285714285714288</v>
      </c>
      <c r="F36" s="33" t="n">
        <f>IF(世帯!F36&lt;&gt;0,'男女　３５～４９才'!F36/世帯!F36,0)</f>
        <v>0.14285714285714288</v>
      </c>
      <c r="G36" s="33" t="n">
        <f>IF(世帯!G36&lt;&gt;0,'男女　３５～４９才'!G36/世帯!G36,0)</f>
        <v>1.0</v>
      </c>
      <c r="H36" s="33" t="n">
        <f>IF(世帯!H36&lt;&gt;0,'男女　３５～４９才'!H36/世帯!H36,0)</f>
        <v>1.3333333333333333</v>
      </c>
      <c r="I36" s="34" t="n">
        <f>IF(世帯!I36&lt;&gt;0,'男女　３５～４９才'!I36/世帯!I36,0)</f>
        <v>0.15384615384615385</v>
      </c>
      <c r="J36" s="59" t="n">
        <f>IF(世帯!J36&lt;&gt;0,'男女　３５～４９才'!J36/世帯!J36,0)</f>
        <v>0.36363636363636365</v>
      </c>
      <c r="K36" s="6"/>
      <c r="L36" s="6"/>
      <c r="N36" s="46" t="s">
        <v>19</v>
      </c>
      <c r="O36" s="33" t="n">
        <f>IF(世帯!O36&lt;&gt;0,'男女　３５～４９才'!O36/世帯!O36,0)</f>
        <v>0.5</v>
      </c>
      <c r="P36" s="33" t="n">
        <f>IF(世帯!P36&lt;&gt;0,'男女　３５～４９才'!P36/世帯!P36,0)</f>
        <v>0.5813953488372093</v>
      </c>
      <c r="Q36" s="33" t="n">
        <f>IF(世帯!Q36&lt;&gt;0,'男女　３５～４９才'!Q36/世帯!Q36,0)</f>
        <v>0.5681818181818181</v>
      </c>
      <c r="R36" s="33" t="n">
        <f>IF(世帯!R36&lt;&gt;0,'男女　３５～４９才'!R36/世帯!R36,0)</f>
        <v>0.5111111111111111</v>
      </c>
      <c r="S36" s="33" t="n">
        <f>IF(世帯!S36&lt;&gt;0,'男女　３５～４９才'!S36/世帯!S36,0)</f>
        <v>0.5333333333333333</v>
      </c>
      <c r="T36" s="33" t="n">
        <f>IF(世帯!T36&lt;&gt;0,'男女　３５～４９才'!T36/世帯!T36,0)</f>
        <v>0.5609756097560976</v>
      </c>
      <c r="U36" s="33" t="n">
        <f>IF(世帯!U36&lt;&gt;0,'男女　３５～４９才'!U36/世帯!U36,0)</f>
        <v>0.32142857142857145</v>
      </c>
      <c r="V36" s="34" t="n">
        <f>IF(世帯!V36&lt;&gt;0,'男女　３５～４９才'!V36/世帯!V36,0)</f>
        <v>0.5454545454545454</v>
      </c>
      <c r="W36" s="59" t="n">
        <f>IF(世帯!W36&lt;&gt;0,'男女　３５～４９才'!W36/世帯!W36,0)</f>
        <v>0.5121951219512195</v>
      </c>
      <c r="X36" s="6"/>
      <c r="Y36" s="6"/>
      <c r="Z36" s="5"/>
      <c r="AA36" s="46" t="s">
        <v>19</v>
      </c>
      <c r="AB36" s="33" t="n">
        <f>IF(世帯!AB36&lt;&gt;0,'男女　３５～４９才'!AB36/世帯!AB36,0)</f>
        <v>0.33962264150943394</v>
      </c>
      <c r="AC36" s="33" t="n">
        <f>IF(世帯!AC36&lt;&gt;0,'男女　３５～４９才'!AC36/世帯!AC36,0)</f>
        <v>0.3494623655913978</v>
      </c>
      <c r="AD36" s="33" t="n">
        <f>IF(世帯!AD36&lt;&gt;0,'男女　３５～４９才'!AD36/世帯!AD36,0)</f>
        <v>0.3518518518518519</v>
      </c>
      <c r="AE36" s="33" t="n">
        <f>IF(世帯!AE36&lt;&gt;0,'男女　３５～４９才'!AE36/世帯!AE36,0)</f>
        <v>0.3450134770889488</v>
      </c>
      <c r="AF36" s="33" t="n">
        <f>IF(世帯!AF36&lt;&gt;0,'男女　３５～４９才'!AF36/世帯!AF36,0)</f>
        <v>0.3368700265251989</v>
      </c>
      <c r="AG36" s="33" t="n">
        <f>IF(世帯!AG36&lt;&gt;0,'男女　３５～４９才'!AG36/世帯!AG36,0)</f>
        <v>0.335180055401662</v>
      </c>
      <c r="AH36" s="33" t="n">
        <f>IF(世帯!AH36&lt;&gt;0,'男女　３５～４９才'!AH36/世帯!AH36,0)</f>
        <v>0.304</v>
      </c>
      <c r="AI36" s="34" t="n">
        <f>IF(世帯!AI36&lt;&gt;0,'男女　３５～４９才'!AI36/世帯!AI36,0)</f>
        <v>0.34491978609625673</v>
      </c>
      <c r="AJ36" s="59" t="n">
        <f>IF(世帯!AJ36&lt;&gt;0,'男女　３５～４９才'!AJ36/世帯!AJ36,0)</f>
        <v>0.33602150537634407</v>
      </c>
      <c r="AK36" s="6"/>
      <c r="AL36" s="6"/>
    </row>
    <row r="37" spans="1:38" x14ac:dyDescent="0.2">
      <c r="A37" s="46" t="s">
        <v>20</v>
      </c>
      <c r="B37" s="33" t="n">
        <f>IF(世帯!B37&lt;&gt;0,'男女　３５～４９才'!B37/世帯!B37,0)</f>
        <v>0.2</v>
      </c>
      <c r="C37" s="33" t="n">
        <f>IF(世帯!C37&lt;&gt;0,'男女　３５～４９才'!C37/世帯!C37,0)</f>
        <v>0.2</v>
      </c>
      <c r="D37" s="33" t="n">
        <f>IF(世帯!D37&lt;&gt;0,'男女　３５～４９才'!D37/世帯!D37,0)</f>
        <v>0.2</v>
      </c>
      <c r="E37" s="33" t="n">
        <f>IF(世帯!E37&lt;&gt;0,'男女　３５～４９才'!E37/世帯!E37,0)</f>
        <v>0.16666666666666669</v>
      </c>
      <c r="F37" s="33" t="n">
        <f>IF(世帯!F37&lt;&gt;0,'男女　３５～４９才'!F37/世帯!F37,0)</f>
        <v>0.16666666666666669</v>
      </c>
      <c r="G37" s="33" t="n">
        <f>IF(世帯!G37&lt;&gt;0,'男女　３５～４９才'!G37/世帯!G37,0)</f>
        <v>1.7499999999999998</v>
      </c>
      <c r="H37" s="33" t="n">
        <f>IF(世帯!H37&lt;&gt;0,'男女　３５～４９才'!H37/世帯!H37,0)</f>
        <v>1.4999999999999998</v>
      </c>
      <c r="I37" s="34" t="n">
        <f>IF(世帯!I37&lt;&gt;0,'男女　３５～４９才'!I37/世帯!I37,0)</f>
        <v>0.2</v>
      </c>
      <c r="J37" s="59" t="n">
        <f>IF(世帯!J37&lt;&gt;0,'男女　３５～４９才'!J37/世帯!J37,0)</f>
        <v>0.4</v>
      </c>
      <c r="K37" s="6"/>
      <c r="L37" s="6"/>
      <c r="N37" s="46" t="s">
        <v>20</v>
      </c>
      <c r="O37" s="33" t="n">
        <f>IF(世帯!O37&lt;&gt;0,'男女　３５～４９才'!O37/世帯!O37,0)</f>
        <v>0.35714285714285715</v>
      </c>
      <c r="P37" s="33" t="n">
        <f>IF(世帯!P37&lt;&gt;0,'男女　３５～４９才'!P37/世帯!P37,0)</f>
        <v>0.3928571428571429</v>
      </c>
      <c r="Q37" s="33" t="n">
        <f>IF(世帯!Q37&lt;&gt;0,'男女　３５～４９才'!Q37/世帯!Q37,0)</f>
        <v>0.4230769230769231</v>
      </c>
      <c r="R37" s="33" t="n">
        <f>IF(世帯!R37&lt;&gt;0,'男女　３５～４９才'!R37/世帯!R37,0)</f>
        <v>0.3928571428571429</v>
      </c>
      <c r="S37" s="33" t="n">
        <f>IF(世帯!S37&lt;&gt;0,'男女　３５～４９才'!S37/世帯!S37,0)</f>
        <v>0.4285714285714286</v>
      </c>
      <c r="T37" s="33" t="n">
        <f>IF(世帯!T37&lt;&gt;0,'男女　３５～４９才'!T37/世帯!T37,0)</f>
        <v>0.6176470588235294</v>
      </c>
      <c r="U37" s="33" t="n">
        <f>IF(世帯!U37&lt;&gt;0,'男女　３５～４９才'!U37/世帯!U37,0)</f>
        <v>0.36363636363636365</v>
      </c>
      <c r="V37" s="34" t="n">
        <f>IF(世帯!V37&lt;&gt;0,'男女　３５～４９才'!V37/世帯!V37,0)</f>
        <v>0.40740740740740744</v>
      </c>
      <c r="W37" s="59" t="n">
        <f>IF(世帯!W37&lt;&gt;0,'男女　３５～４９才'!W37/世帯!W37,0)</f>
        <v>0.4230769230769231</v>
      </c>
      <c r="X37" s="6"/>
      <c r="Y37" s="6"/>
      <c r="Z37" s="5"/>
      <c r="AA37" s="46" t="s">
        <v>20</v>
      </c>
      <c r="AB37" s="33" t="n">
        <f>IF(世帯!AB37&lt;&gt;0,'男女　３５～４９才'!AB37/世帯!AB37,0)</f>
        <v>0.25691699604743085</v>
      </c>
      <c r="AC37" s="33" t="n">
        <f>IF(世帯!AC37&lt;&gt;0,'男女　３５～４９才'!AC37/世帯!AC37,0)</f>
        <v>0.2623574144486692</v>
      </c>
      <c r="AD37" s="33" t="n">
        <f>IF(世帯!AD37&lt;&gt;0,'男女　３５～４９才'!AD37/世帯!AD37,0)</f>
        <v>0.2705882352941177</v>
      </c>
      <c r="AE37" s="33" t="n">
        <f>IF(世帯!AE37&lt;&gt;0,'男女　３５～４９才'!AE37/世帯!AE37,0)</f>
        <v>0.2734375</v>
      </c>
      <c r="AF37" s="33" t="n">
        <f>IF(世帯!AF37&lt;&gt;0,'男女　３５～４９才'!AF37/世帯!AF37,0)</f>
        <v>0.2883211678832117</v>
      </c>
      <c r="AG37" s="33" t="n">
        <f>IF(世帯!AG37&lt;&gt;0,'男女　３５～４９才'!AG37/世帯!AG37,0)</f>
        <v>0.37</v>
      </c>
      <c r="AH37" s="33" t="n">
        <f>IF(世帯!AH37&lt;&gt;0,'男女　３５～４９才'!AH37/世帯!AH37,0)</f>
        <v>0.3181818181818182</v>
      </c>
      <c r="AI37" s="34" t="n">
        <f>IF(世帯!AI37&lt;&gt;0,'男女　３５～４９才'!AI37/世帯!AI37,0)</f>
        <v>0.2692307692307692</v>
      </c>
      <c r="AJ37" s="59" t="n">
        <f>IF(世帯!AJ37&lt;&gt;0,'男女　３５～４９才'!AJ37/世帯!AJ37,0)</f>
        <v>0.2924187725631769</v>
      </c>
      <c r="AK37" s="6"/>
      <c r="AL37" s="6"/>
    </row>
    <row r="38" spans="1:38" x14ac:dyDescent="0.2">
      <c r="A38" s="46" t="s">
        <v>21</v>
      </c>
      <c r="B38" s="33" t="n">
        <f>IF(世帯!B38&lt;&gt;0,'男女　３５～４９才'!B38/世帯!B38,0)</f>
        <v>0.0</v>
      </c>
      <c r="C38" s="33" t="n">
        <f>IF(世帯!C38&lt;&gt;0,'男女　３５～４９才'!C38/世帯!C38,0)</f>
        <v>0.33333333333333337</v>
      </c>
      <c r="D38" s="33" t="n">
        <f>IF(世帯!D38&lt;&gt;0,'男女　３５～４９才'!D38/世帯!D38,0)</f>
        <v>0.0</v>
      </c>
      <c r="E38" s="33" t="n">
        <f>IF(世帯!E38&lt;&gt;0,'男女　３５～４９才'!E38/世帯!E38,0)</f>
        <v>0.0</v>
      </c>
      <c r="F38" s="33" t="n">
        <f>IF(世帯!F38&lt;&gt;0,'男女　３５～４９才'!F38/世帯!F38,0)</f>
        <v>0.33333333333333337</v>
      </c>
      <c r="G38" s="33" t="n">
        <f>IF(世帯!G38&lt;&gt;0,'男女　３５～４９才'!G38/世帯!G38,0)</f>
        <v>1.25</v>
      </c>
      <c r="H38" s="33" t="n">
        <f>IF(世帯!H38&lt;&gt;0,'男女　３５～４９才'!H38/世帯!H38,0)</f>
        <v>0.25</v>
      </c>
      <c r="I38" s="34" t="n">
        <f>IF(世帯!I38&lt;&gt;0,'男女　３５～４９才'!I38/世帯!I38,0)</f>
        <v>0.0</v>
      </c>
      <c r="J38" s="59" t="n">
        <f>IF(世帯!J38&lt;&gt;0,'男女　３５～４９才'!J38/世帯!J38,0)</f>
        <v>0.33333333333333337</v>
      </c>
      <c r="K38" s="6"/>
      <c r="L38" s="6"/>
      <c r="N38" s="46" t="s">
        <v>21</v>
      </c>
      <c r="O38" s="33" t="n">
        <f>IF(世帯!O38&lt;&gt;0,'男女　３５～４９才'!O38/世帯!O38,0)</f>
        <v>0.3181818181818181</v>
      </c>
      <c r="P38" s="33" t="n">
        <f>IF(世帯!P38&lt;&gt;0,'男女　３５～４９才'!P38/世帯!P38,0)</f>
        <v>0.40909090909090906</v>
      </c>
      <c r="Q38" s="33" t="n">
        <f>IF(世帯!Q38&lt;&gt;0,'男女　３５～４９才'!Q38/世帯!Q38,0)</f>
        <v>0.3478260869565218</v>
      </c>
      <c r="R38" s="33" t="n">
        <f>IF(世帯!R38&lt;&gt;0,'男女　３５～４９才'!R38/世帯!R38,0)</f>
        <v>0.391304347826087</v>
      </c>
      <c r="S38" s="33" t="n">
        <f>IF(世帯!S38&lt;&gt;0,'男女　３５～４９才'!S38/世帯!S38,0)</f>
        <v>0.34615384615384615</v>
      </c>
      <c r="T38" s="33" t="n">
        <f>IF(世帯!T38&lt;&gt;0,'男女　３５～４９才'!T38/世帯!T38,0)</f>
        <v>0.6363636363636362</v>
      </c>
      <c r="U38" s="33" t="n">
        <f>IF(世帯!U38&lt;&gt;0,'男女　３５～４９才'!U38/世帯!U38,0)</f>
        <v>0.46428571428571436</v>
      </c>
      <c r="V38" s="34" t="n">
        <f>IF(世帯!V38&lt;&gt;0,'男女　３５～４９才'!V38/世帯!V38,0)</f>
        <v>0.3478260869565218</v>
      </c>
      <c r="W38" s="59" t="n">
        <f>IF(世帯!W38&lt;&gt;0,'男女　３５～４９才'!W38/世帯!W38,0)</f>
        <v>0.4166666666666667</v>
      </c>
      <c r="X38" s="6"/>
      <c r="Y38" s="6"/>
      <c r="Z38" s="5"/>
      <c r="AA38" s="46" t="s">
        <v>21</v>
      </c>
      <c r="AB38" s="33" t="n">
        <f>IF(世帯!AB38&lt;&gt;0,'男女　３５～４９才'!AB38/世帯!AB38,0)</f>
        <v>0.22651933701657453</v>
      </c>
      <c r="AC38" s="33" t="n">
        <f>IF(世帯!AC38&lt;&gt;0,'男女　３５～４９才'!AC38/世帯!AC38,0)</f>
        <v>0.23560209424083767</v>
      </c>
      <c r="AD38" s="33" t="n">
        <f>IF(世帯!AD38&lt;&gt;0,'男女　３５～４９才'!AD38/世帯!AD38,0)</f>
        <v>0.24444444444444446</v>
      </c>
      <c r="AE38" s="33" t="n">
        <f>IF(世帯!AE38&lt;&gt;0,'男女　３５～４９才'!AE38/世帯!AE38,0)</f>
        <v>0.23333333333333334</v>
      </c>
      <c r="AF38" s="33" t="n">
        <f>IF(世帯!AF38&lt;&gt;0,'男女　３５～４９才'!AF38/世帯!AF38,0)</f>
        <v>0.2462311557788945</v>
      </c>
      <c r="AG38" s="33" t="n">
        <f>IF(世帯!AG38&lt;&gt;0,'男女　３５～４９才'!AG38/世帯!AG38,0)</f>
        <v>0.34745762711864403</v>
      </c>
      <c r="AH38" s="33" t="n">
        <f>IF(世帯!AH38&lt;&gt;0,'男女　３５～４９才'!AH38/世帯!AH38,0)</f>
        <v>0.3125</v>
      </c>
      <c r="AI38" s="34" t="n">
        <f>IF(世帯!AI38&lt;&gt;0,'男女　３５～４９才'!AI38/世帯!AI38,0)</f>
        <v>0.23655913978494625</v>
      </c>
      <c r="AJ38" s="59" t="n">
        <f>IF(世帯!AJ38&lt;&gt;0,'男女　３５～４９才'!AJ38/世帯!AJ38,0)</f>
        <v>0.27053140096618356</v>
      </c>
      <c r="AK38" s="6"/>
      <c r="AL38" s="6"/>
    </row>
    <row r="39" spans="1:38" x14ac:dyDescent="0.2">
      <c r="A39" s="46" t="s">
        <v>22</v>
      </c>
      <c r="B39" s="33" t="n">
        <f>IF(世帯!B39&lt;&gt;0,'男女　３５～４９才'!B39/世帯!B39,0)</f>
        <v>0.5</v>
      </c>
      <c r="C39" s="33" t="n">
        <f>IF(世帯!C39&lt;&gt;0,'男女　３５～４９才'!C39/世帯!C39,0)</f>
        <v>0.5</v>
      </c>
      <c r="D39" s="33" t="n">
        <f>IF(世帯!D39&lt;&gt;0,'男女　３５～４９才'!D39/世帯!D39,0)</f>
        <v>0.0</v>
      </c>
      <c r="E39" s="33" t="n">
        <f>IF(世帯!E39&lt;&gt;0,'男女　３５～４９才'!E39/世帯!E39,0)</f>
        <v>0.0</v>
      </c>
      <c r="F39" s="33" t="n">
        <f>IF(世帯!F39&lt;&gt;0,'男女　３５～４９才'!F39/世帯!F39,0)</f>
        <v>0.0</v>
      </c>
      <c r="G39" s="33" t="n">
        <f>IF(世帯!G39&lt;&gt;0,'男女　３５～４９才'!G39/世帯!G39,0)</f>
        <v>0.37499999999999994</v>
      </c>
      <c r="H39" s="33" t="n">
        <f>IF(世帯!H39&lt;&gt;0,'男女　３５～４９才'!H39/世帯!H39,0)</f>
        <v>0.2</v>
      </c>
      <c r="I39" s="34" t="n">
        <f>IF(世帯!I39&lt;&gt;0,'男女　３５～４９才'!I39/世帯!I39,0)</f>
        <v>0.0</v>
      </c>
      <c r="J39" s="59" t="n">
        <f>IF(世帯!J39&lt;&gt;0,'男女　３５～４９才'!J39/世帯!J39,0)</f>
        <v>0.25</v>
      </c>
      <c r="K39" s="6"/>
      <c r="L39" s="6"/>
      <c r="N39" s="46" t="s">
        <v>22</v>
      </c>
      <c r="O39" s="33" t="n">
        <f>IF(世帯!O39&lt;&gt;0,'男女　３５～４９才'!O39/世帯!O39,0)</f>
        <v>0.38888888888888884</v>
      </c>
      <c r="P39" s="33" t="n">
        <f>IF(世帯!P39&lt;&gt;0,'男女　３５～４９才'!P39/世帯!P39,0)</f>
        <v>0.4117647058823529</v>
      </c>
      <c r="Q39" s="33" t="n">
        <f>IF(世帯!Q39&lt;&gt;0,'男女　３５～４９才'!Q39/世帯!Q39,0)</f>
        <v>0.3125</v>
      </c>
      <c r="R39" s="33" t="n">
        <f>IF(世帯!R39&lt;&gt;0,'男女　３５～４９才'!R39/世帯!R39,0)</f>
        <v>0.37499999999999994</v>
      </c>
      <c r="S39" s="33" t="n">
        <f>IF(世帯!S39&lt;&gt;0,'男女　３５～４９才'!S39/世帯!S39,0)</f>
        <v>0.4210526315789474</v>
      </c>
      <c r="T39" s="33" t="n">
        <f>IF(世帯!T39&lt;&gt;0,'男女　３５～４９才'!T39/世帯!T39,0)</f>
        <v>0.4736842105263158</v>
      </c>
      <c r="U39" s="33" t="n">
        <f>IF(世帯!U39&lt;&gt;0,'男女　３５～４９才'!U39/世帯!U39,0)</f>
        <v>0.44000000000000006</v>
      </c>
      <c r="V39" s="34" t="n">
        <f>IF(世帯!V39&lt;&gt;0,'男女　３５～４９才'!V39/世帯!V39,0)</f>
        <v>0.4117647058823529</v>
      </c>
      <c r="W39" s="59" t="n">
        <f>IF(世帯!W39&lt;&gt;0,'男女　３５～４９才'!W39/世帯!W39,0)</f>
        <v>0.4210526315789474</v>
      </c>
      <c r="X39" s="6"/>
      <c r="Y39" s="6"/>
      <c r="Z39" s="5"/>
      <c r="AA39" s="46" t="s">
        <v>22</v>
      </c>
      <c r="AB39" s="33" t="n">
        <f>IF(世帯!AB39&lt;&gt;0,'男女　３５～４９才'!AB39/世帯!AB39,0)</f>
        <v>0.19318181818181815</v>
      </c>
      <c r="AC39" s="33" t="n">
        <f>IF(世帯!AC39&lt;&gt;0,'男女　３５～４９才'!AC39/世帯!AC39,0)</f>
        <v>0.20103092783505155</v>
      </c>
      <c r="AD39" s="33" t="n">
        <f>IF(世帯!AD39&lt;&gt;0,'男女　３５～４９才'!AD39/世帯!AD39,0)</f>
        <v>0.19886363636363635</v>
      </c>
      <c r="AE39" s="33" t="n">
        <f>IF(世帯!AE39&lt;&gt;0,'男女　３５～４９才'!AE39/世帯!AE39,0)</f>
        <v>0.19553072625698326</v>
      </c>
      <c r="AF39" s="33" t="n">
        <f>IF(世帯!AF39&lt;&gt;0,'男女　３５～４９才'!AF39/世帯!AF39,0)</f>
        <v>0.2182741116751269</v>
      </c>
      <c r="AG39" s="33" t="n">
        <f>IF(世帯!AG39&lt;&gt;0,'男女　３５～４９才'!AG39/世帯!AG39,0)</f>
        <v>0.29545454545454547</v>
      </c>
      <c r="AH39" s="33" t="n">
        <f>IF(世帯!AH39&lt;&gt;0,'男女　３５～４９才'!AH39/世帯!AH39,0)</f>
        <v>0.28294573643410853</v>
      </c>
      <c r="AI39" s="34" t="n">
        <f>IF(世帯!AI39&lt;&gt;0,'男女　３５～４９才'!AI39/世帯!AI39,0)</f>
        <v>0.20108695652173916</v>
      </c>
      <c r="AJ39" s="59" t="n">
        <f>IF(世帯!AJ39&lt;&gt;0,'男女　３５～４９才'!AJ39/世帯!AJ39,0)</f>
        <v>0.23383084577114427</v>
      </c>
      <c r="AK39" s="6"/>
      <c r="AL39" s="6"/>
    </row>
    <row r="40" spans="1:38" x14ac:dyDescent="0.2">
      <c r="A40" s="46" t="s">
        <v>23</v>
      </c>
      <c r="B40" s="33" t="n">
        <f>IF(世帯!B40&lt;&gt;0,'男女　３５～４９才'!B40/世帯!B40,0)</f>
        <v>0.13333333333333333</v>
      </c>
      <c r="C40" s="33" t="n">
        <f>IF(世帯!C40&lt;&gt;0,'男女　３５～４９才'!C40/世帯!C40,0)</f>
        <v>0.125</v>
      </c>
      <c r="D40" s="33" t="n">
        <f>IF(世帯!D40&lt;&gt;0,'男女　３５～４９才'!D40/世帯!D40,0)</f>
        <v>0.19999999999999998</v>
      </c>
      <c r="E40" s="33" t="n">
        <f>IF(世帯!E40&lt;&gt;0,'男女　３５～４９才'!E40/世帯!E40,0)</f>
        <v>0.125</v>
      </c>
      <c r="F40" s="33" t="n">
        <f>IF(世帯!F40&lt;&gt;0,'男女　３５～４９才'!F40/世帯!F40,0)</f>
        <v>0.23076923076923075</v>
      </c>
      <c r="G40" s="33" t="n">
        <f>IF(世帯!G40&lt;&gt;0,'男女　３５～４９才'!G40/世帯!G40,0)</f>
        <v>0.3333333333333333</v>
      </c>
      <c r="H40" s="33" t="n">
        <f>IF(世帯!H40&lt;&gt;0,'男女　３５～４９才'!H40/世帯!H40,0)</f>
        <v>0.28571428571428575</v>
      </c>
      <c r="I40" s="34" t="n">
        <f>IF(世帯!I40&lt;&gt;0,'男女　３５～４９才'!I40/世帯!I40,0)</f>
        <v>0.13333333333333333</v>
      </c>
      <c r="J40" s="59" t="n">
        <f>IF(世帯!J40&lt;&gt;0,'男女　３５～４９才'!J40/世帯!J40,0)</f>
        <v>0.2142857142857143</v>
      </c>
      <c r="K40" s="6"/>
      <c r="L40" s="6"/>
      <c r="N40" s="46" t="s">
        <v>23</v>
      </c>
      <c r="O40" s="33" t="n">
        <f>IF(世帯!O40&lt;&gt;0,'男女　３５～４９才'!O40/世帯!O40,0)</f>
        <v>0.44000000000000006</v>
      </c>
      <c r="P40" s="33" t="n">
        <f>IF(世帯!P40&lt;&gt;0,'男女　３５～４９才'!P40/世帯!P40,0)</f>
        <v>0.4347826086956522</v>
      </c>
      <c r="Q40" s="33" t="n">
        <f>IF(世帯!Q40&lt;&gt;0,'男女　３５～４９才'!Q40/世帯!Q40,0)</f>
        <v>0.38095238095238093</v>
      </c>
      <c r="R40" s="33" t="n">
        <f>IF(世帯!R40&lt;&gt;0,'男女　３５～４９才'!R40/世帯!R40,0)</f>
        <v>0.42857142857142855</v>
      </c>
      <c r="S40" s="33" t="n">
        <f>IF(世帯!S40&lt;&gt;0,'男女　３５～４９才'!S40/世帯!S40,0)</f>
        <v>0.4166666666666667</v>
      </c>
      <c r="T40" s="33" t="n">
        <f>IF(世帯!T40&lt;&gt;0,'男女　３５～４９才'!T40/世帯!T40,0)</f>
        <v>0.36363636363636365</v>
      </c>
      <c r="U40" s="33" t="n">
        <f>IF(世帯!U40&lt;&gt;0,'男女　３５～４９才'!U40/世帯!U40,0)</f>
        <v>0.3666666666666667</v>
      </c>
      <c r="V40" s="34" t="n">
        <f>IF(世帯!V40&lt;&gt;0,'男女　３５～４９才'!V40/世帯!V40,0)</f>
        <v>0.4347826086956522</v>
      </c>
      <c r="W40" s="59" t="n">
        <f>IF(世帯!W40&lt;&gt;0,'男女　３５～４９才'!W40/世帯!W40,0)</f>
        <v>0.4</v>
      </c>
      <c r="X40" s="6"/>
      <c r="Y40" s="6"/>
      <c r="Z40" s="5"/>
      <c r="AA40" s="46" t="s">
        <v>23</v>
      </c>
      <c r="AB40" s="33" t="n">
        <f>IF(世帯!AB40&lt;&gt;0,'男女　３５～４９才'!AB40/世帯!AB40,0)</f>
        <v>0.19028340080971662</v>
      </c>
      <c r="AC40" s="33" t="n">
        <f>IF(世帯!AC40&lt;&gt;0,'男女　３５～４９才'!AC40/世帯!AC40,0)</f>
        <v>0.19230769230769232</v>
      </c>
      <c r="AD40" s="33" t="n">
        <f>IF(世帯!AD40&lt;&gt;0,'男女　３５～４９才'!AD40/世帯!AD40,0)</f>
        <v>0.19512195121951217</v>
      </c>
      <c r="AE40" s="33" t="n">
        <f>IF(世帯!AE40&lt;&gt;0,'男女　３５～４９才'!AE40/世帯!AE40,0)</f>
        <v>0.19262295081967215</v>
      </c>
      <c r="AF40" s="33" t="n">
        <f>IF(世帯!AF40&lt;&gt;0,'男女　３５～４９才'!AF40/世帯!AF40,0)</f>
        <v>0.20542635658914726</v>
      </c>
      <c r="AG40" s="33" t="n">
        <f>IF(世帯!AG40&lt;&gt;0,'男女　３５～４９才'!AG40/世帯!AG40,0)</f>
        <v>0.25362318840579706</v>
      </c>
      <c r="AH40" s="33" t="n">
        <f>IF(世帯!AH40&lt;&gt;0,'男女　３５～４９才'!AH40/世帯!AH40,0)</f>
        <v>0.27631578947368424</v>
      </c>
      <c r="AI40" s="34" t="n">
        <f>IF(世帯!AI40&lt;&gt;0,'男女　３５～４９才'!AI40/世帯!AI40,0)</f>
        <v>0.1952191235059761</v>
      </c>
      <c r="AJ40" s="59" t="n">
        <f>IF(世帯!AJ40&lt;&gt;0,'男女　３５～４９才'!AJ40/世帯!AJ40,0)</f>
        <v>0.21673003802281368</v>
      </c>
      <c r="AK40" s="6"/>
      <c r="AL40" s="6"/>
    </row>
    <row r="41" spans="1:38" x14ac:dyDescent="0.2">
      <c r="A41" s="46" t="s">
        <v>24</v>
      </c>
      <c r="B41" s="33" t="n">
        <f>IF(世帯!B41&lt;&gt;0,'男女　３５～４９才'!B41/世帯!B41,0)</f>
        <v>0.1</v>
      </c>
      <c r="C41" s="33" t="n">
        <f>IF(世帯!C41&lt;&gt;0,'男女　３５～４９才'!C41/世帯!C41,0)</f>
        <v>0.09523809523809523</v>
      </c>
      <c r="D41" s="33" t="n">
        <f>IF(世帯!D41&lt;&gt;0,'男女　３５～４９才'!D41/世帯!D41,0)</f>
        <v>0.09523809523809523</v>
      </c>
      <c r="E41" s="33" t="n">
        <f>IF(世帯!E41&lt;&gt;0,'男女　３５～４９才'!E41/世帯!E41,0)</f>
        <v>0.09523809523809523</v>
      </c>
      <c r="F41" s="33" t="n">
        <f>IF(世帯!F41&lt;&gt;0,'男女　３５～４９才'!F41/世帯!F41,0)</f>
        <v>0.11764705882352942</v>
      </c>
      <c r="G41" s="33" t="n">
        <f>IF(世帯!G41&lt;&gt;0,'男女　３５～４９才'!G41/世帯!G41,0)</f>
        <v>0.15384615384615385</v>
      </c>
      <c r="H41" s="33" t="n">
        <f>IF(世帯!H41&lt;&gt;0,'男女　３５～４９才'!H41/世帯!H41,0)</f>
        <v>0.10344827586206896</v>
      </c>
      <c r="I41" s="34" t="n">
        <f>IF(世帯!I41&lt;&gt;0,'男女　３５～４９才'!I41/世帯!I41,0)</f>
        <v>0.1</v>
      </c>
      <c r="J41" s="59" t="n">
        <f>IF(世帯!J41&lt;&gt;0,'男女　３５～４９才'!J41/世帯!J41,0)</f>
        <v>0.12</v>
      </c>
      <c r="K41" s="6"/>
      <c r="L41" s="6"/>
      <c r="N41" s="46" t="s">
        <v>24</v>
      </c>
      <c r="O41" s="33" t="n">
        <f>IF(世帯!O41&lt;&gt;0,'男女　３５～４９才'!O41/世帯!O41,0)</f>
        <v>0.375</v>
      </c>
      <c r="P41" s="33" t="n">
        <f>IF(世帯!P41&lt;&gt;0,'男女　３５～４９才'!P41/世帯!P41,0)</f>
        <v>0.3478260869565218</v>
      </c>
      <c r="Q41" s="33" t="n">
        <f>IF(世帯!Q41&lt;&gt;0,'男女　３５～４９才'!Q41/世帯!Q41,0)</f>
        <v>0.38095238095238093</v>
      </c>
      <c r="R41" s="33" t="n">
        <f>IF(世帯!R41&lt;&gt;0,'男女　３５～４９才'!R41/世帯!R41,0)</f>
        <v>0.36363636363636365</v>
      </c>
      <c r="S41" s="33" t="n">
        <f>IF(世帯!S41&lt;&gt;0,'男女　３５～４９才'!S41/世帯!S41,0)</f>
        <v>0.375</v>
      </c>
      <c r="T41" s="33" t="n">
        <f>IF(世帯!T41&lt;&gt;0,'男女　３５～４９才'!T41/世帯!T41,0)</f>
        <v>0.3448275862068966</v>
      </c>
      <c r="U41" s="33" t="n">
        <f>IF(世帯!U41&lt;&gt;0,'男女　３５～４９才'!U41/世帯!U41,0)</f>
        <v>0.3243243243243243</v>
      </c>
      <c r="V41" s="34" t="n">
        <f>IF(世帯!V41&lt;&gt;0,'男女　３５～４９才'!V41/世帯!V41,0)</f>
        <v>0.3478260869565218</v>
      </c>
      <c r="W41" s="59" t="n">
        <f>IF(世帯!W41&lt;&gt;0,'男女　３５～４９才'!W41/世帯!W41,0)</f>
        <v>0.34615384615384615</v>
      </c>
      <c r="X41" s="6"/>
      <c r="Y41" s="6"/>
      <c r="Z41" s="5"/>
      <c r="AA41" s="46" t="s">
        <v>24</v>
      </c>
      <c r="AB41" s="33" t="n">
        <f>IF(世帯!AB41&lt;&gt;0,'男女　３５～４９才'!AB41/世帯!AB41,0)</f>
        <v>0.18303571428571427</v>
      </c>
      <c r="AC41" s="33" t="n">
        <f>IF(世帯!AC41&lt;&gt;0,'男女　３５～４９才'!AC41/世帯!AC41,0)</f>
        <v>0.18181818181818185</v>
      </c>
      <c r="AD41" s="33" t="n">
        <f>IF(世帯!AD41&lt;&gt;0,'男女　３５～４９才'!AD41/世帯!AD41,0)</f>
        <v>0.17410714285714288</v>
      </c>
      <c r="AE41" s="33" t="n">
        <f>IF(世帯!AE41&lt;&gt;0,'男女　３５～４９才'!AE41/世帯!AE41,0)</f>
        <v>0.1891891891891892</v>
      </c>
      <c r="AF41" s="33" t="n">
        <f>IF(世帯!AF41&lt;&gt;0,'男女　３５～４９才'!AF41/世帯!AF41,0)</f>
        <v>0.20258620689655174</v>
      </c>
      <c r="AG41" s="33" t="n">
        <f>IF(世帯!AG41&lt;&gt;0,'男女　３５～４９才'!AG41/世帯!AG41,0)</f>
        <v>0.252</v>
      </c>
      <c r="AH41" s="33" t="n">
        <f>IF(世帯!AH41&lt;&gt;0,'男女　３５～４９才'!AH41/世帯!AH41,0)</f>
        <v>0.2616487455197133</v>
      </c>
      <c r="AI41" s="34" t="n">
        <f>IF(世帯!AI41&lt;&gt;0,'男女　３５～４９才'!AI41/世帯!AI41,0)</f>
        <v>0.18777292576419213</v>
      </c>
      <c r="AJ41" s="59" t="n">
        <f>IF(世帯!AJ41&lt;&gt;0,'男女　３５～４９才'!AJ41/世帯!AJ41,0)</f>
        <v>0.20833333333333334</v>
      </c>
      <c r="AK41" s="6"/>
      <c r="AL41" s="6"/>
    </row>
    <row r="42" spans="1:38" x14ac:dyDescent="0.2">
      <c r="A42" s="46" t="s">
        <v>25</v>
      </c>
      <c r="B42" s="33" t="n">
        <f>IF(世帯!B42&lt;&gt;0,'男女　３５～４９才'!B42/世帯!B42,0)</f>
        <v>0.09523809523809523</v>
      </c>
      <c r="C42" s="33" t="n">
        <f>IF(世帯!C42&lt;&gt;0,'男女　３５～４９才'!C42/世帯!C42,0)</f>
        <v>0.09090909090909091</v>
      </c>
      <c r="D42" s="33" t="n">
        <f>IF(世帯!D42&lt;&gt;0,'男女　３５～４９才'!D42/世帯!D42,0)</f>
        <v>0.10526315789473685</v>
      </c>
      <c r="E42" s="33" t="n">
        <f>IF(世帯!E42&lt;&gt;0,'男女　３５～４９才'!E42/世帯!E42,0)</f>
        <v>0.1</v>
      </c>
      <c r="F42" s="33" t="n">
        <f>IF(世帯!F42&lt;&gt;0,'男女　３５～４９才'!F42/世帯!F42,0)</f>
        <v>0.11111111111111112</v>
      </c>
      <c r="G42" s="33" t="n">
        <f>IF(世帯!G42&lt;&gt;0,'男女　３５～４９才'!G42/世帯!G42,0)</f>
        <v>0.25</v>
      </c>
      <c r="H42" s="33" t="n">
        <f>IF(世帯!H42&lt;&gt;0,'男女　３５～４９才'!H42/世帯!H42,0)</f>
        <v>0.12195121951219513</v>
      </c>
      <c r="I42" s="34" t="n">
        <f>IF(世帯!I42&lt;&gt;0,'男女　３５～４９才'!I42/世帯!I42,0)</f>
        <v>0.1</v>
      </c>
      <c r="J42" s="59" t="n">
        <f>IF(世帯!J42&lt;&gt;0,'男女　３５～４９才'!J42/世帯!J42,0)</f>
        <v>0.09090909090909091</v>
      </c>
      <c r="K42" s="6"/>
      <c r="L42" s="6"/>
      <c r="N42" s="46" t="s">
        <v>25</v>
      </c>
      <c r="O42" s="33" t="n">
        <f>IF(世帯!O42&lt;&gt;0,'男女　３５～４９才'!O42/世帯!O42,0)</f>
        <v>0.35714285714285715</v>
      </c>
      <c r="P42" s="33" t="n">
        <f>IF(世帯!P42&lt;&gt;0,'男女　３５～４９才'!P42/世帯!P42,0)</f>
        <v>0.3076923076923077</v>
      </c>
      <c r="Q42" s="33" t="n">
        <f>IF(世帯!Q42&lt;&gt;0,'男女　３５～４９才'!Q42/世帯!Q42,0)</f>
        <v>0.3846153846153846</v>
      </c>
      <c r="R42" s="33" t="n">
        <f>IF(世帯!R42&lt;&gt;0,'男女　３５～４９才'!R42/世帯!R42,0)</f>
        <v>0.4166666666666667</v>
      </c>
      <c r="S42" s="33" t="n">
        <f>IF(世帯!S42&lt;&gt;0,'男女　３５～４９才'!S42/世帯!S42,0)</f>
        <v>0.28571428571428575</v>
      </c>
      <c r="T42" s="33" t="n">
        <f>IF(世帯!T42&lt;&gt;0,'男女　３５～４９才'!T42/世帯!T42,0)</f>
        <v>0.26666666666666666</v>
      </c>
      <c r="U42" s="33" t="n">
        <f>IF(世帯!U42&lt;&gt;0,'男女　３５～４９才'!U42/世帯!U42,0)</f>
        <v>0.3255813953488372</v>
      </c>
      <c r="V42" s="34" t="n">
        <f>IF(世帯!V42&lt;&gt;0,'男女　３５～４９才'!V42/世帯!V42,0)</f>
        <v>0.3846153846153846</v>
      </c>
      <c r="W42" s="59" t="n">
        <f>IF(世帯!W42&lt;&gt;0,'男女　３５～４９才'!W42/世帯!W42,0)</f>
        <v>0.3333333333333333</v>
      </c>
      <c r="X42" s="6"/>
      <c r="Y42" s="6"/>
      <c r="Z42" s="5"/>
      <c r="AA42" s="46" t="s">
        <v>25</v>
      </c>
      <c r="AB42" s="33" t="n">
        <f>IF(世帯!AB42&lt;&gt;0,'男女　３５～４９才'!AB42/世帯!AB42,0)</f>
        <v>0.18229166666666669</v>
      </c>
      <c r="AC42" s="33" t="n">
        <f>IF(世帯!AC42&lt;&gt;0,'男女　３５～４９才'!AC42/世帯!AC42,0)</f>
        <v>0.1761904761904762</v>
      </c>
      <c r="AD42" s="33" t="n">
        <f>IF(世帯!AD42&lt;&gt;0,'男女　３５～４９才'!AD42/世帯!AD42,0)</f>
        <v>0.16080402010050254</v>
      </c>
      <c r="AE42" s="33" t="n">
        <f>IF(世帯!AE42&lt;&gt;0,'男女　３５～４９才'!AE42/世帯!AE42,0)</f>
        <v>0.17435897435897435</v>
      </c>
      <c r="AF42" s="33" t="n">
        <f>IF(世帯!AF42&lt;&gt;0,'男女　３５～４９才'!AF42/世帯!AF42,0)</f>
        <v>0.19796954314720813</v>
      </c>
      <c r="AG42" s="33" t="n">
        <f>IF(世帯!AG42&lt;&gt;0,'男女　３５～４９才'!AG42/世帯!AG42,0)</f>
        <v>0.2523809523809524</v>
      </c>
      <c r="AH42" s="33" t="n">
        <f>IF(世帯!AH42&lt;&gt;0,'男女　３５～４９才'!AH42/世帯!AH42,0)</f>
        <v>0.2591093117408907</v>
      </c>
      <c r="AI42" s="34" t="n">
        <f>IF(世帯!AI42&lt;&gt;0,'男女　３５～４９才'!AI42/世帯!AI42,0)</f>
        <v>0.17587939698492464</v>
      </c>
      <c r="AJ42" s="59" t="n">
        <f>IF(世帯!AJ42&lt;&gt;0,'男女　３５～４９才'!AJ42/世帯!AJ42,0)</f>
        <v>0.20192307692307693</v>
      </c>
      <c r="AK42" s="6"/>
      <c r="AL42" s="6"/>
    </row>
    <row r="43" spans="1:38" x14ac:dyDescent="0.2">
      <c r="A43" s="46" t="s">
        <v>26</v>
      </c>
      <c r="B43" s="33" t="n">
        <f>IF(世帯!B43&lt;&gt;0,'男女　３５～４９才'!B43/世帯!B43,0)</f>
        <v>0.11111111111111112</v>
      </c>
      <c r="C43" s="33" t="n">
        <f>IF(世帯!C43&lt;&gt;0,'男女　３５～４９才'!C43/世帯!C43,0)</f>
        <v>0.1</v>
      </c>
      <c r="D43" s="33" t="n">
        <f>IF(世帯!D43&lt;&gt;0,'男女　３５～４９才'!D43/世帯!D43,0)</f>
        <v>0.10526315789473685</v>
      </c>
      <c r="E43" s="33" t="n">
        <f>IF(世帯!E43&lt;&gt;0,'男女　３５～４９才'!E43/世帯!E43,0)</f>
        <v>0.11111111111111112</v>
      </c>
      <c r="F43" s="33" t="n">
        <f>IF(世帯!F43&lt;&gt;0,'男女　３５～４９才'!F43/世帯!F43,0)</f>
        <v>0.18749999999999997</v>
      </c>
      <c r="G43" s="33" t="n">
        <f>IF(世帯!G43&lt;&gt;0,'男女　３５～４９才'!G43/世帯!G43,0)</f>
        <v>0.19999999999999998</v>
      </c>
      <c r="H43" s="33" t="n">
        <f>IF(世帯!H43&lt;&gt;0,'男女　３５～４９才'!H43/世帯!H43,0)</f>
        <v>0.13157894736842105</v>
      </c>
      <c r="I43" s="34" t="n">
        <f>IF(世帯!I43&lt;&gt;0,'男女　３５～４９才'!I43/世帯!I43,0)</f>
        <v>0.11111111111111112</v>
      </c>
      <c r="J43" s="59" t="n">
        <f>IF(世帯!J43&lt;&gt;0,'男女　３５～４９才'!J43/世帯!J43,0)</f>
        <v>0.14285714285714285</v>
      </c>
      <c r="K43" s="6"/>
      <c r="L43" s="6"/>
      <c r="N43" s="46" t="s">
        <v>26</v>
      </c>
      <c r="O43" s="33" t="n">
        <f>IF(世帯!O43&lt;&gt;0,'男女　３５～４９才'!O43/世帯!O43,0)</f>
        <v>0.33333333333333337</v>
      </c>
      <c r="P43" s="33" t="n">
        <f>IF(世帯!P43&lt;&gt;0,'男女　３５～４９才'!P43/世帯!P43,0)</f>
        <v>0.33333333333333337</v>
      </c>
      <c r="Q43" s="33" t="n">
        <f>IF(世帯!Q43&lt;&gt;0,'男女　３５～４９才'!Q43/世帯!Q43,0)</f>
        <v>0.3846153846153846</v>
      </c>
      <c r="R43" s="33" t="n">
        <f>IF(世帯!R43&lt;&gt;0,'男女　３５～４９才'!R43/世帯!R43,0)</f>
        <v>0.4</v>
      </c>
      <c r="S43" s="33" t="n">
        <f>IF(世帯!S43&lt;&gt;0,'男女　３５～４９才'!S43/世帯!S43,0)</f>
        <v>0.36363636363636365</v>
      </c>
      <c r="T43" s="33" t="n">
        <f>IF(世帯!T43&lt;&gt;0,'男女　３５～４９才'!T43/世帯!T43,0)</f>
        <v>0.3181818181818181</v>
      </c>
      <c r="U43" s="33" t="n">
        <f>IF(世帯!U43&lt;&gt;0,'男女　３５～４９才'!U43/世帯!U43,0)</f>
        <v>0.37142857142857144</v>
      </c>
      <c r="V43" s="34" t="n">
        <f>IF(世帯!V43&lt;&gt;0,'男女　３５～４９才'!V43/世帯!V43,0)</f>
        <v>0.36363636363636365</v>
      </c>
      <c r="W43" s="59" t="n">
        <f>IF(世帯!W43&lt;&gt;0,'男女　３５～４９才'!W43/世帯!W43,0)</f>
        <v>0.35294117647058826</v>
      </c>
      <c r="X43" s="6"/>
      <c r="Y43" s="6"/>
      <c r="Z43" s="5"/>
      <c r="AA43" s="46" t="s">
        <v>26</v>
      </c>
      <c r="AB43" s="33" t="n">
        <f>IF(世帯!AB43&lt;&gt;0,'男女　３５～４９才'!AB43/世帯!AB43,0)</f>
        <v>0.1692307692307692</v>
      </c>
      <c r="AC43" s="33" t="n">
        <f>IF(世帯!AC43&lt;&gt;0,'男女　３５～４９才'!AC43/世帯!AC43,0)</f>
        <v>0.1619047619047619</v>
      </c>
      <c r="AD43" s="33" t="n">
        <f>IF(世帯!AD43&lt;&gt;0,'男女　３５～４９才'!AD43/世帯!AD43,0)</f>
        <v>0.15789473684210525</v>
      </c>
      <c r="AE43" s="33" t="n">
        <f>IF(世帯!AE43&lt;&gt;0,'男女　３５～４９才'!AE43/世帯!AE43,0)</f>
        <v>0.175</v>
      </c>
      <c r="AF43" s="33" t="n">
        <f>IF(世帯!AF43&lt;&gt;0,'男女　３５～４９才'!AF43/世帯!AF43,0)</f>
        <v>0.17073170731707318</v>
      </c>
      <c r="AG43" s="33" t="n">
        <f>IF(世帯!AG43&lt;&gt;0,'男女　３５～４９才'!AG43/世帯!AG43,0)</f>
        <v>0.2303921568627451</v>
      </c>
      <c r="AH43" s="33" t="n">
        <f>IF(世帯!AH43&lt;&gt;0,'男女　３５～４９才'!AH43/世帯!AH43,0)</f>
        <v>0.23790322580645162</v>
      </c>
      <c r="AI43" s="34" t="n">
        <f>IF(世帯!AI43&lt;&gt;0,'男女　３５～４９才'!AI43/世帯!AI43,0)</f>
        <v>0.16666666666666669</v>
      </c>
      <c r="AJ43" s="59" t="n">
        <f>IF(世帯!AJ43&lt;&gt;0,'男女　３５～４９才'!AJ43/世帯!AJ43,0)</f>
        <v>0.1895734597156398</v>
      </c>
      <c r="AK43" s="6"/>
      <c r="AL43" s="6"/>
    </row>
    <row r="44" spans="1:38" x14ac:dyDescent="0.2">
      <c r="A44" s="46" t="s">
        <v>27</v>
      </c>
      <c r="B44" s="33" t="n">
        <f>IF(世帯!B44&lt;&gt;0,'男女　３５～４９才'!B44/世帯!B44,0)</f>
        <v>0.125</v>
      </c>
      <c r="C44" s="33" t="n">
        <f>IF(世帯!C44&lt;&gt;0,'男女　３５～４９才'!C44/世帯!C44,0)</f>
        <v>0.125</v>
      </c>
      <c r="D44" s="33" t="n">
        <f>IF(世帯!D44&lt;&gt;0,'男女　３５～４９才'!D44/世帯!D44,0)</f>
        <v>0.11111111111111112</v>
      </c>
      <c r="E44" s="33" t="n">
        <f>IF(世帯!E44&lt;&gt;0,'男女　３５～４９才'!E44/世帯!E44,0)</f>
        <v>0.22222222222222224</v>
      </c>
      <c r="F44" s="33" t="n">
        <f>IF(世帯!F44&lt;&gt;0,'男女　３５～４９才'!F44/世帯!F44,0)</f>
        <v>0.11111111111111112</v>
      </c>
      <c r="G44" s="33" t="n">
        <f>IF(世帯!G44&lt;&gt;0,'男女　３５～４９才'!G44/世帯!G44,0)</f>
        <v>0.09090909090909091</v>
      </c>
      <c r="H44" s="33" t="n">
        <f>IF(世帯!H44&lt;&gt;0,'男女　３５～４９才'!H44/世帯!H44,0)</f>
        <v>0.23076923076923075</v>
      </c>
      <c r="I44" s="34" t="n">
        <f>IF(世帯!I44&lt;&gt;0,'男女　３５～４９才'!I44/世帯!I44,0)</f>
        <v>0.11111111111111112</v>
      </c>
      <c r="J44" s="59" t="n">
        <f>IF(世帯!J44&lt;&gt;0,'男女　３５～４９才'!J44/世帯!J44,0)</f>
        <v>0.2</v>
      </c>
      <c r="K44" s="6"/>
      <c r="L44" s="6"/>
      <c r="N44" s="46" t="s">
        <v>27</v>
      </c>
      <c r="O44" s="33" t="n">
        <f>IF(世帯!O44&lt;&gt;0,'男女　３５～４９才'!O44/世帯!O44,0)</f>
        <v>0.3333333333333333</v>
      </c>
      <c r="P44" s="33" t="n">
        <f>IF(世帯!P44&lt;&gt;0,'男女　３５～４９才'!P44/世帯!P44,0)</f>
        <v>0.22222222222222224</v>
      </c>
      <c r="Q44" s="33" t="n">
        <f>IF(世帯!Q44&lt;&gt;0,'男女　３５～４９才'!Q44/世帯!Q44,0)</f>
        <v>0.3333333333333333</v>
      </c>
      <c r="R44" s="33" t="n">
        <f>IF(世帯!R44&lt;&gt;0,'男女　３５～４９才'!R44/世帯!R44,0)</f>
        <v>0.37499999999999994</v>
      </c>
      <c r="S44" s="33" t="n">
        <f>IF(世帯!S44&lt;&gt;0,'男女　３５～４９才'!S44/世帯!S44,0)</f>
        <v>0.43749999999999994</v>
      </c>
      <c r="T44" s="33" t="n">
        <f>IF(世帯!T44&lt;&gt;0,'男女　３５～４９才'!T44/世帯!T44,0)</f>
        <v>0.2608695652173913</v>
      </c>
      <c r="U44" s="33" t="n">
        <f>IF(世帯!U44&lt;&gt;0,'男女　３５～４９才'!U44/世帯!U44,0)</f>
        <v>0.3478260869565218</v>
      </c>
      <c r="V44" s="34" t="n">
        <f>IF(世帯!V44&lt;&gt;0,'男女　３５～４９才'!V44/世帯!V44,0)</f>
        <v>0.3333333333333333</v>
      </c>
      <c r="W44" s="59" t="n">
        <f>IF(世帯!W44&lt;&gt;0,'男女　３５～４９才'!W44/世帯!W44,0)</f>
        <v>0.3157894736842105</v>
      </c>
      <c r="X44" s="6"/>
      <c r="Y44" s="6"/>
      <c r="Z44" s="5"/>
      <c r="AA44" s="46" t="s">
        <v>27</v>
      </c>
      <c r="AB44" s="33" t="n">
        <f>IF(世帯!AB44&lt;&gt;0,'男女　３５～４９才'!AB44/世帯!AB44,0)</f>
        <v>0.16972477064220184</v>
      </c>
      <c r="AC44" s="33" t="n">
        <f>IF(世帯!AC44&lt;&gt;0,'男女　３５～４９才'!AC44/世帯!AC44,0)</f>
        <v>0.16877637130801687</v>
      </c>
      <c r="AD44" s="33" t="n">
        <f>IF(世帯!AD44&lt;&gt;0,'男女　３５～４９才'!AD44/世帯!AD44,0)</f>
        <v>0.17094017094017094</v>
      </c>
      <c r="AE44" s="33" t="n">
        <f>IF(世帯!AE44&lt;&gt;0,'男女　３５～４９才'!AE44/世帯!AE44,0)</f>
        <v>0.17256637168141592</v>
      </c>
      <c r="AF44" s="33" t="n">
        <f>IF(世帯!AF44&lt;&gt;0,'男女　３５～４９才'!AF44/世帯!AF44,0)</f>
        <v>0.18025751072961374</v>
      </c>
      <c r="AG44" s="33" t="n">
        <f>IF(世帯!AG44&lt;&gt;0,'男女　３５～４９才'!AG44/世帯!AG44,0)</f>
        <v>0.23580786026200876</v>
      </c>
      <c r="AH44" s="33" t="n">
        <f>IF(世帯!AH44&lt;&gt;0,'男女　３５～４９才'!AH44/世帯!AH44,0)</f>
        <v>0.24621212121212122</v>
      </c>
      <c r="AI44" s="34" t="n">
        <f>IF(世帯!AI44&lt;&gt;0,'男女　３５～４９才'!AI44/世帯!AI44,0)</f>
        <v>0.1703056768558952</v>
      </c>
      <c r="AJ44" s="59" t="n">
        <f>IF(世帯!AJ44&lt;&gt;0,'男女　３５～４９才'!AJ44/世帯!AJ44,0)</f>
        <v>0.1957446808510638</v>
      </c>
      <c r="AK44" s="6"/>
      <c r="AL44" s="6"/>
    </row>
    <row r="45" spans="1:38" x14ac:dyDescent="0.2">
      <c r="A45" s="46" t="s">
        <v>28</v>
      </c>
      <c r="B45" s="33" t="n">
        <f>IF(世帯!B45&lt;&gt;0,'男女　３５～４９才'!B45/世帯!B45,0)</f>
        <v>0.3333333333333333</v>
      </c>
      <c r="C45" s="33" t="n">
        <f>IF(世帯!C45&lt;&gt;0,'男女　３５～４９才'!C45/世帯!C45,0)</f>
        <v>0.22222222222222224</v>
      </c>
      <c r="D45" s="33" t="n">
        <f>IF(世帯!D45&lt;&gt;0,'男女　３５～４９才'!D45/世帯!D45,0)</f>
        <v>0.18181818181818182</v>
      </c>
      <c r="E45" s="33" t="n">
        <f>IF(世帯!E45&lt;&gt;0,'男女　３５～４９才'!E45/世帯!E45,0)</f>
        <v>0.3</v>
      </c>
      <c r="F45" s="33" t="n">
        <f>IF(世帯!F45&lt;&gt;0,'男女　３５～４９才'!F45/世帯!F45,0)</f>
        <v>0.5</v>
      </c>
      <c r="G45" s="33" t="n">
        <f>IF(世帯!G45&lt;&gt;0,'男女　３５～４９才'!G45/世帯!G45,0)</f>
        <v>0.16666666666666669</v>
      </c>
      <c r="H45" s="33" t="n">
        <f>IF(世帯!H45&lt;&gt;0,'男女　３５～４９才'!H45/世帯!H45,0)</f>
        <v>0.37499999999999994</v>
      </c>
      <c r="I45" s="34" t="n">
        <f>IF(世帯!I45&lt;&gt;0,'男女　３５～４９才'!I45/世帯!I45,0)</f>
        <v>0.25</v>
      </c>
      <c r="J45" s="59" t="n">
        <f>IF(世帯!J45&lt;&gt;0,'男女　３５～４９才'!J45/世帯!J45,0)</f>
        <v>0.22222222222222224</v>
      </c>
      <c r="K45" s="6"/>
      <c r="L45" s="6"/>
      <c r="N45" s="46" t="s">
        <v>28</v>
      </c>
      <c r="O45" s="33" t="n">
        <f>IF(世帯!O45&lt;&gt;0,'男女　３５～４９才'!O45/世帯!O45,0)</f>
        <v>0.33333333333333337</v>
      </c>
      <c r="P45" s="33" t="n">
        <f>IF(世帯!P45&lt;&gt;0,'男女　３５～４９才'!P45/世帯!P45,0)</f>
        <v>0.2692307692307692</v>
      </c>
      <c r="Q45" s="33" t="n">
        <f>IF(世帯!Q45&lt;&gt;0,'男女　３５～４９才'!Q45/世帯!Q45,0)</f>
        <v>0.36</v>
      </c>
      <c r="R45" s="33" t="n">
        <f>IF(世帯!R45&lt;&gt;0,'男女　３５～４９才'!R45/世帯!R45,0)</f>
        <v>0.375</v>
      </c>
      <c r="S45" s="33" t="n">
        <f>IF(世帯!S45&lt;&gt;0,'男女　３５～４９才'!S45/世帯!S45,0)</f>
        <v>0.44000000000000006</v>
      </c>
      <c r="T45" s="33" t="n">
        <f>IF(世帯!T45&lt;&gt;0,'男女　３５～４９才'!T45/世帯!T45,0)</f>
        <v>0.35294117647058826</v>
      </c>
      <c r="U45" s="33" t="n">
        <f>IF(世帯!U45&lt;&gt;0,'男女　３５～４９才'!U45/世帯!U45,0)</f>
        <v>0.4482758620689655</v>
      </c>
      <c r="V45" s="34" t="n">
        <f>IF(世帯!V45&lt;&gt;0,'男女　３５～４９才'!V45/世帯!V45,0)</f>
        <v>0.36</v>
      </c>
      <c r="W45" s="59" t="n">
        <f>IF(世帯!W45&lt;&gt;0,'男女　３５～４９才'!W45/世帯!W45,0)</f>
        <v>0.37037037037037035</v>
      </c>
      <c r="X45" s="6"/>
      <c r="Y45" s="6"/>
      <c r="Z45" s="5"/>
      <c r="AA45" s="46" t="s">
        <v>28</v>
      </c>
      <c r="AB45" s="33" t="n">
        <f>IF(世帯!AB45&lt;&gt;0,'男女　３５～４９才'!AB45/世帯!AB45,0)</f>
        <v>0.19580419580419578</v>
      </c>
      <c r="AC45" s="33" t="n">
        <f>IF(世帯!AC45&lt;&gt;0,'男女　３５～４９才'!AC45/世帯!AC45,0)</f>
        <v>0.18456375838926173</v>
      </c>
      <c r="AD45" s="33" t="n">
        <f>IF(世帯!AD45&lt;&gt;0,'男女　３５～４９才'!AD45/世帯!AD45,0)</f>
        <v>0.19933554817275748</v>
      </c>
      <c r="AE45" s="33" t="n">
        <f>IF(世帯!AE45&lt;&gt;0,'男女　３５～４９才'!AE45/世帯!AE45,0)</f>
        <v>0.20068027210884357</v>
      </c>
      <c r="AF45" s="33" t="n">
        <f>IF(世帯!AF45&lt;&gt;0,'男女　３５～４９才'!AF45/世帯!AF45,0)</f>
        <v>0.20875420875420878</v>
      </c>
      <c r="AG45" s="33" t="n">
        <f>IF(世帯!AG45&lt;&gt;0,'男女　３５～４９才'!AG45/世帯!AG45,0)</f>
        <v>0.2691029900332226</v>
      </c>
      <c r="AH45" s="33" t="n">
        <f>IF(世帯!AH45&lt;&gt;0,'男女　３５～４９才'!AH45/世帯!AH45,0)</f>
        <v>0.2680722891566265</v>
      </c>
      <c r="AI45" s="34" t="n">
        <f>IF(世帯!AI45&lt;&gt;0,'男女　３５～４９才'!AI45/世帯!AI45,0)</f>
        <v>0.1966101694915254</v>
      </c>
      <c r="AJ45" s="59" t="n">
        <f>IF(世帯!AJ45&lt;&gt;0,'男女　３５～４９才'!AJ45/世帯!AJ45,0)</f>
        <v>0.2185430463576159</v>
      </c>
      <c r="AK45" s="6"/>
      <c r="AL45" s="6"/>
    </row>
    <row r="46" spans="1:38" x14ac:dyDescent="0.2">
      <c r="A46" s="46" t="s">
        <v>29</v>
      </c>
      <c r="B46" s="33" t="n">
        <f>IF(世帯!B46&lt;&gt;0,'男女　３５～４９才'!B46/世帯!B46,0)</f>
        <v>0.23076923076923078</v>
      </c>
      <c r="C46" s="33" t="n">
        <f>IF(世帯!C46&lt;&gt;0,'男女　３５～４９才'!C46/世帯!C46,0)</f>
        <v>0.16216216216216214</v>
      </c>
      <c r="D46" s="33" t="n">
        <f>IF(世帯!D46&lt;&gt;0,'男女　３５～４９才'!D46/世帯!D46,0)</f>
        <v>0.22222222222222224</v>
      </c>
      <c r="E46" s="33" t="n">
        <f>IF(世帯!E46&lt;&gt;0,'男女　３５～４９才'!E46/世帯!E46,0)</f>
        <v>0.2571428571428572</v>
      </c>
      <c r="F46" s="33" t="n">
        <f>IF(世帯!F46&lt;&gt;0,'男女　３５～４９才'!F46/世帯!F46,0)</f>
        <v>1.1111111111111112</v>
      </c>
      <c r="G46" s="33" t="n">
        <f>IF(世帯!G46&lt;&gt;0,'男女　３５～４９才'!G46/世帯!G46,0)</f>
        <v>0.23076923076923075</v>
      </c>
      <c r="H46" s="33" t="n">
        <f>IF(世帯!H46&lt;&gt;0,'男女　３５～４９才'!H46/世帯!H46,0)</f>
        <v>0.45454545454545453</v>
      </c>
      <c r="I46" s="34" t="n">
        <f>IF(世帯!I46&lt;&gt;0,'男女　３５～４９才'!I46/世帯!I46,0)</f>
        <v>0.25</v>
      </c>
      <c r="J46" s="59" t="n">
        <f>IF(世帯!J46&lt;&gt;0,'男女　３５～４９才'!J46/世帯!J46,0)</f>
        <v>0.28571428571428575</v>
      </c>
      <c r="K46" s="51" t="s">
        <v>15</v>
      </c>
      <c r="L46" s="52" t="s">
        <v>877</v>
      </c>
      <c r="N46" s="46" t="s">
        <v>29</v>
      </c>
      <c r="O46" s="33" t="n">
        <f>IF(世帯!O46&lt;&gt;0,'男女　３５～４９才'!O46/世帯!O46,0)</f>
        <v>0.41666666666666663</v>
      </c>
      <c r="P46" s="33" t="n">
        <f>IF(世帯!P46&lt;&gt;0,'男女　３５～４９才'!P46/世帯!P46,0)</f>
        <v>0.34210526315789475</v>
      </c>
      <c r="Q46" s="33" t="n">
        <f>IF(世帯!Q46&lt;&gt;0,'男女　３５～４９才'!Q46/世帯!Q46,0)</f>
        <v>0.4390243902439025</v>
      </c>
      <c r="R46" s="33" t="n">
        <f>IF(世帯!R46&lt;&gt;0,'男女　３５～４９才'!R46/世帯!R46,0)</f>
        <v>0.425</v>
      </c>
      <c r="S46" s="33" t="n">
        <f>IF(世帯!S46&lt;&gt;0,'男女　３５～４９才'!S46/世帯!S46,0)</f>
        <v>0.40425531914893614</v>
      </c>
      <c r="T46" s="33" t="n">
        <f>IF(世帯!T46&lt;&gt;0,'男女　３５～４９才'!T46/世帯!T46,0)</f>
        <v>0.5454545454545455</v>
      </c>
      <c r="U46" s="33" t="n">
        <f>IF(世帯!U46&lt;&gt;0,'男女　３５～４９才'!U46/世帯!U46,0)</f>
        <v>0.8833333333333333</v>
      </c>
      <c r="V46" s="34" t="n">
        <f>IF(世帯!V46&lt;&gt;0,'男女　３５～４９才'!V46/世帯!V46,0)</f>
        <v>0.4</v>
      </c>
      <c r="W46" s="59" t="n">
        <f>IF(世帯!W46&lt;&gt;0,'男女　３５～４９才'!W46/世帯!W46,0)</f>
        <v>0.5238095238095238</v>
      </c>
      <c r="X46" s="51" t="s">
        <v>15</v>
      </c>
      <c r="Y46" s="52" t="s">
        <v>877</v>
      </c>
      <c r="Z46" s="5"/>
      <c r="AA46" s="46" t="s">
        <v>29</v>
      </c>
      <c r="AB46" s="33" t="n">
        <f>IF(世帯!AB46&lt;&gt;0,'男女　３５～４９才'!AB46/世帯!AB46,0)</f>
        <v>0.28061224489795916</v>
      </c>
      <c r="AC46" s="33" t="n">
        <f>IF(世帯!AC46&lt;&gt;0,'男女　３５～４９才'!AC46/世帯!AC46,0)</f>
        <v>0.26884422110552764</v>
      </c>
      <c r="AD46" s="33" t="n">
        <f>IF(世帯!AD46&lt;&gt;0,'男女　３５～４９才'!AD46/世帯!AD46,0)</f>
        <v>0.2803030303030303</v>
      </c>
      <c r="AE46" s="33" t="n">
        <f>IF(世帯!AE46&lt;&gt;0,'男女　３５～４９才'!AE46/世帯!AE46,0)</f>
        <v>0.272020725388601</v>
      </c>
      <c r="AF46" s="33" t="n">
        <f>IF(世帯!AF46&lt;&gt;0,'男女　３５～４９才'!AF46/世帯!AF46,0)</f>
        <v>0.296875</v>
      </c>
      <c r="AG46" s="33" t="n">
        <f>IF(世帯!AG46&lt;&gt;0,'男女　３５～４９才'!AG46/世帯!AG46,0)</f>
        <v>0.3116883116883117</v>
      </c>
      <c r="AH46" s="33" t="n">
        <f>IF(世帯!AH46&lt;&gt;0,'男女　３５～４９才'!AH46/世帯!AH46,0)</f>
        <v>0.3682983682983683</v>
      </c>
      <c r="AI46" s="34" t="n">
        <f>IF(世帯!AI46&lt;&gt;0,'男女　３５～４９才'!AI46/世帯!AI46,0)</f>
        <v>0.2780612244897959</v>
      </c>
      <c r="AJ46" s="59" t="n">
        <f>IF(世帯!AJ46&lt;&gt;0,'男女　３５～４９才'!AJ46/世帯!AJ46,0)</f>
        <v>0.2972292191435768</v>
      </c>
      <c r="AK46" s="51" t="s">
        <v>15</v>
      </c>
      <c r="AL46" s="52" t="s">
        <v>877</v>
      </c>
    </row>
    <row r="47" spans="1:38" x14ac:dyDescent="0.2">
      <c r="A47" s="46" t="s">
        <v>31</v>
      </c>
      <c r="B47" s="33" t="n">
        <f>IF(世帯!B47&lt;&gt;0,'男女　３５～４９才'!B47/世帯!B47,0)</f>
        <v>0.22033898305084745</v>
      </c>
      <c r="C47" s="33" t="n">
        <f>IF(世帯!C47&lt;&gt;0,'男女　３５～４９才'!C47/世帯!C47,0)</f>
        <v>0.25925925925925924</v>
      </c>
      <c r="D47" s="33" t="n">
        <f>IF(世帯!D47&lt;&gt;0,'男女　３５～４９才'!D47/世帯!D47,0)</f>
        <v>0.2727272727272727</v>
      </c>
      <c r="E47" s="33" t="n">
        <f>IF(世帯!E47&lt;&gt;0,'男女　３５～４９才'!E47/世帯!E47,0)</f>
        <v>0.29268292682926833</v>
      </c>
      <c r="F47" s="33" t="n">
        <f>IF(世帯!F47&lt;&gt;0,'男女　３５～４９才'!F47/世帯!F47,0)</f>
        <v>0.5909090909090908</v>
      </c>
      <c r="G47" s="33" t="n">
        <f>IF(世帯!G47&lt;&gt;0,'男女　３５～４９才'!G47/世帯!G47,0)</f>
        <v>0.3404255319148936</v>
      </c>
      <c r="H47" s="33" t="n">
        <f>IF(世帯!H47&lt;&gt;0,'男女　３５～４９才'!H47/世帯!H47,0)</f>
        <v>0.425</v>
      </c>
      <c r="I47" s="34" t="n">
        <f>IF(世帯!I47&lt;&gt;0,'男女　３５～４９才'!I47/世帯!I47,0)</f>
        <v>0.2888888888888889</v>
      </c>
      <c r="J47" s="59" t="n">
        <f>IF(世帯!J47&lt;&gt;0,'男女　３５～４９才'!J47/世帯!J47,0)</f>
        <v>0.3111111111111111</v>
      </c>
      <c r="K47" s="63" t="str">
        <f>IF('男女　３５～４９才'!K47="","",'男女　３５～４９才'!K47)</f>
        <v/>
      </c>
      <c r="L47" s="59" t="str">
        <f>IF(世帯!L47="","",IF(世帯!L47&lt;&gt;0,'男女　３５～４９才'!L47/世帯!L47,0))</f>
        <v/>
      </c>
      <c r="N47" s="46" t="s">
        <v>31</v>
      </c>
      <c r="O47" s="33" t="n">
        <f>IF(世帯!O47&lt;&gt;0,'男女　３５～４９才'!O47/世帯!O47,0)</f>
        <v>0.44230769230769224</v>
      </c>
      <c r="P47" s="33" t="n">
        <f>IF(世帯!P47&lt;&gt;0,'男女　３５～４９才'!P47/世帯!P47,0)</f>
        <v>0.38461538461538464</v>
      </c>
      <c r="Q47" s="33" t="n">
        <f>IF(世帯!Q47&lt;&gt;0,'男女　３５～４９才'!Q47/世帯!Q47,0)</f>
        <v>0.4406779661016949</v>
      </c>
      <c r="R47" s="33" t="n">
        <f>IF(世帯!R47&lt;&gt;0,'男女　３５～４９才'!R47/世帯!R47,0)</f>
        <v>0.6086956521739131</v>
      </c>
      <c r="S47" s="33" t="n">
        <f>IF(世帯!S47&lt;&gt;0,'男女　３５～４９才'!S47/世帯!S47,0)</f>
        <v>0.42000000000000004</v>
      </c>
      <c r="T47" s="33" t="n">
        <f>IF(世帯!T47&lt;&gt;0,'男女　３５～４９才'!T47/世帯!T47,0)</f>
        <v>0.9487179487179488</v>
      </c>
      <c r="U47" s="33" t="n">
        <f>IF(世帯!U47&lt;&gt;0,'男女　３５～４９才'!U47/世帯!U47,0)</f>
        <v>0.8409090909090908</v>
      </c>
      <c r="V47" s="34" t="n">
        <f>IF(世帯!V47&lt;&gt;0,'男女　３５～４９才'!V47/世帯!V47,0)</f>
        <v>0.4489795918367347</v>
      </c>
      <c r="W47" s="59" t="n">
        <f>IF(世帯!W47&lt;&gt;0,'男女　３５～４９才'!W47/世帯!W47,0)</f>
        <v>0.5531914893617021</v>
      </c>
      <c r="X47" s="63" t="str">
        <f>IF('男女　３５～４９才'!X47="","",'男女　３５～４９才'!X47)</f>
        <v/>
      </c>
      <c r="Y47" s="59" t="str">
        <f>IF(世帯!Y47="","",IF(世帯!Y47&lt;&gt;0,'男女　３５～４９才'!Y47/世帯!Y47,0))</f>
        <v/>
      </c>
      <c r="Z47" s="5"/>
      <c r="AA47" s="46" t="s">
        <v>31</v>
      </c>
      <c r="AB47" s="33" t="n">
        <f>IF(世帯!AB47&lt;&gt;0,'男女　３５～４９才'!AB47/世帯!AB47,0)</f>
        <v>0.3388773388773389</v>
      </c>
      <c r="AC47" s="33" t="n">
        <f>IF(世帯!AC47&lt;&gt;0,'男女　３５～４９才'!AC47/世帯!AC47,0)</f>
        <v>0.3297644539614561</v>
      </c>
      <c r="AD47" s="33" t="n">
        <f>IF(世帯!AD47&lt;&gt;0,'男女　３５～４９才'!AD47/世帯!AD47,0)</f>
        <v>0.33476394849785407</v>
      </c>
      <c r="AE47" s="33" t="n">
        <f>IF(世帯!AE47&lt;&gt;0,'男女　３５～４９才'!AE47/世帯!AE47,0)</f>
        <v>0.32608695652173914</v>
      </c>
      <c r="AF47" s="33" t="n">
        <f>IF(世帯!AF47&lt;&gt;0,'男女　３５～４９才'!AF47/世帯!AF47,0)</f>
        <v>0.33634311512415355</v>
      </c>
      <c r="AG47" s="33" t="n">
        <f>IF(世帯!AG47&lt;&gt;0,'男女　３５～４９才'!AG47/世帯!AG47,0)</f>
        <v>0.3632286995515695</v>
      </c>
      <c r="AH47" s="33" t="n">
        <f>IF(世帯!AH47&lt;&gt;0,'男女　３５～４９才'!AH47/世帯!AH47,0)</f>
        <v>0.42946058091286304</v>
      </c>
      <c r="AI47" s="34" t="n">
        <f>IF(世帯!AI47&lt;&gt;0,'男女　３５～４９才'!AI47/世帯!AI47,0)</f>
        <v>0.33405172413793105</v>
      </c>
      <c r="AJ47" s="59" t="n">
        <f>IF(世帯!AJ47&lt;&gt;0,'男女　３５～４９才'!AJ47/世帯!AJ47,0)</f>
        <v>0.35268817204301073</v>
      </c>
      <c r="AK47" s="63" t="str">
        <f>IF('男女　３５～４９才'!AK47="","",'男女　３５～４９才'!AK47)</f>
        <v/>
      </c>
      <c r="AL47" s="59" t="str">
        <f>IF(世帯!AL47="","",IF(世帯!AL47&lt;&gt;0,'男女　３５～４９才'!AL47/世帯!AL47,0))</f>
        <v/>
      </c>
    </row>
    <row r="48" spans="1:38" x14ac:dyDescent="0.2">
      <c r="A48" s="46" t="s">
        <v>32</v>
      </c>
      <c r="B48" s="33" t="n">
        <f>IF(世帯!B48&lt;&gt;0,'男女　３５～４９才'!B48/世帯!B48,0)</f>
        <v>0.23076923076923075</v>
      </c>
      <c r="C48" s="33" t="n">
        <f>IF(世帯!C48&lt;&gt;0,'男女　３５～４９才'!C48/世帯!C48,0)</f>
        <v>0.29687499999999994</v>
      </c>
      <c r="D48" s="33" t="n">
        <f>IF(世帯!D48&lt;&gt;0,'男女　３５～４９才'!D48/世帯!D48,0)</f>
        <v>0.23913043478260873</v>
      </c>
      <c r="E48" s="33" t="n">
        <f>IF(世帯!E48&lt;&gt;0,'男女　３５～４９才'!E48/世帯!E48,0)</f>
        <v>0.3061224489795918</v>
      </c>
      <c r="F48" s="33" t="n">
        <f>IF(世帯!F48&lt;&gt;0,'男女　３５～４９才'!F48/世帯!F48,0)</f>
        <v>0.28260869565217395</v>
      </c>
      <c r="G48" s="33" t="n">
        <f>IF(世帯!G48&lt;&gt;0,'男女　３５～４９才'!G48/世帯!G48,0)</f>
        <v>0.3269230769230769</v>
      </c>
      <c r="H48" s="33" t="n">
        <f>IF(世帯!H48&lt;&gt;0,'男女　３５～４９才'!H48/世帯!H48,0)</f>
        <v>0.46153846153846156</v>
      </c>
      <c r="I48" s="34" t="n">
        <f>IF(世帯!I48&lt;&gt;0,'男女　３５～４９才'!I48/世帯!I48,0)</f>
        <v>0.2692307692307692</v>
      </c>
      <c r="J48" s="59" t="n">
        <f>IF(世帯!J48&lt;&gt;0,'男女　３５～４９才'!J48/世帯!J48,0)</f>
        <v>0.3</v>
      </c>
      <c r="K48" s="63" t="str">
        <f>IF('男女　３５～４９才'!K48="","",'男女　３５～４９才'!K48)</f>
        <v/>
      </c>
      <c r="L48" s="59" t="str">
        <f>IF(世帯!L48="","",IF(世帯!L48&lt;&gt;0,'男女　３５～４９才'!L48/世帯!L48,0))</f>
        <v/>
      </c>
      <c r="N48" s="46" t="s">
        <v>32</v>
      </c>
      <c r="O48" s="33" t="n">
        <f>IF(世帯!O48&lt;&gt;0,'男女　３５～４９才'!O48/世帯!O48,0)</f>
        <v>0.4406779661016949</v>
      </c>
      <c r="P48" s="33" t="n">
        <f>IF(世帯!P48&lt;&gt;0,'男女　３５～４９才'!P48/世帯!P48,0)</f>
        <v>0.36363636363636365</v>
      </c>
      <c r="Q48" s="33" t="n">
        <f>IF(世帯!Q48&lt;&gt;0,'男女　３５～４９才'!Q48/世帯!Q48,0)</f>
        <v>0.4393939393939394</v>
      </c>
      <c r="R48" s="33" t="n">
        <f>IF(世帯!R48&lt;&gt;0,'男女　３５～４９才'!R48/世帯!R48,0)</f>
        <v>0.7115384615384616</v>
      </c>
      <c r="S48" s="33" t="n">
        <f>IF(世帯!S48&lt;&gt;0,'男女　３５～４９才'!S48/世帯!S48,0)</f>
        <v>0.48837209302325585</v>
      </c>
      <c r="T48" s="33" t="n">
        <f>IF(世帯!T48&lt;&gt;0,'男女　３５～４９才'!T48/世帯!T48,0)</f>
        <v>0.9591836734693877</v>
      </c>
      <c r="U48" s="33" t="n">
        <f>IF(世帯!U48&lt;&gt;0,'男女　３５～４９才'!U48/世帯!U48,0)</f>
        <v>0.7804878048780489</v>
      </c>
      <c r="V48" s="34" t="n">
        <f>IF(世帯!V48&lt;&gt;0,'男女　３５～４９才'!V48/世帯!V48,0)</f>
        <v>0.4716981132075472</v>
      </c>
      <c r="W48" s="59" t="n">
        <f>IF(世帯!W48&lt;&gt;0,'男女　３５～４９才'!W48/世帯!W48,0)</f>
        <v>0.58</v>
      </c>
      <c r="X48" s="63" t="str">
        <f>IF('男女　３５～４９才'!X48="","",'男女　３５～４９才'!X48)</f>
        <v/>
      </c>
      <c r="Y48" s="59" t="str">
        <f>IF(世帯!Y48="","",IF(世帯!Y48&lt;&gt;0,'男女　３５～４９才'!Y48/世帯!Y48,0))</f>
        <v/>
      </c>
      <c r="Z48" s="5"/>
      <c r="AA48" s="46" t="s">
        <v>32</v>
      </c>
      <c r="AB48" s="33" t="n">
        <f>IF(世帯!AB48&lt;&gt;0,'男女　３５～４９才'!AB48/世帯!AB48,0)</f>
        <v>0.3609958506224066</v>
      </c>
      <c r="AC48" s="33" t="n">
        <f>IF(世帯!AC48&lt;&gt;0,'男女　３５～４９才'!AC48/世帯!AC48,0)</f>
        <v>0.34913793103448276</v>
      </c>
      <c r="AD48" s="33" t="n">
        <f>IF(世帯!AD48&lt;&gt;0,'男女　３５～４９才'!AD48/世帯!AD48,0)</f>
        <v>0.3333333333333333</v>
      </c>
      <c r="AE48" s="33" t="n">
        <f>IF(世帯!AE48&lt;&gt;0,'男女　３５～４９才'!AE48/世帯!AE48,0)</f>
        <v>0.35974304068522484</v>
      </c>
      <c r="AF48" s="33" t="n">
        <f>IF(世帯!AF48&lt;&gt;0,'男女　３５～４９才'!AF48/世帯!AF48,0)</f>
        <v>0.3553530751708428</v>
      </c>
      <c r="AG48" s="33" t="n">
        <f>IF(世帯!AG48&lt;&gt;0,'男女　３５～４９才'!AG48/世帯!AG48,0)</f>
        <v>0.3854875283446712</v>
      </c>
      <c r="AH48" s="33" t="n">
        <f>IF(世帯!AH48&lt;&gt;0,'男女　３５～４９才'!AH48/世帯!AH48,0)</f>
        <v>0.4303030303030303</v>
      </c>
      <c r="AI48" s="34" t="n">
        <f>IF(世帯!AI48&lt;&gt;0,'男女　３５～４９才'!AI48/世帯!AI48,0)</f>
        <v>0.3512931034482759</v>
      </c>
      <c r="AJ48" s="59" t="n">
        <f>IF(世帯!AJ48&lt;&gt;0,'男女　３５～４９才'!AJ48/世帯!AJ48,0)</f>
        <v>0.3690987124463519</v>
      </c>
      <c r="AK48" s="63" t="str">
        <f>IF('男女　３５～４９才'!AK48="","",'男女　３５～４９才'!AK48)</f>
        <v/>
      </c>
      <c r="AL48" s="59" t="str">
        <f>IF(世帯!AL48="","",IF(世帯!AL48&lt;&gt;0,'男女　３５～４９才'!AL48/世帯!AL48,0))</f>
        <v/>
      </c>
    </row>
    <row r="49" spans="1:38" x14ac:dyDescent="0.2">
      <c r="A49" s="46" t="s">
        <v>33</v>
      </c>
      <c r="B49" s="33" t="n">
        <f>IF(世帯!B49&lt;&gt;0,'男女　３５～４９才'!B49/世帯!B49,0)</f>
        <v>0.23255813953488372</v>
      </c>
      <c r="C49" s="33" t="n">
        <f>IF(世帯!C49&lt;&gt;0,'男女　３５～４９才'!C49/世帯!C49,0)</f>
        <v>0.16129032258064516</v>
      </c>
      <c r="D49" s="33" t="n">
        <f>IF(世帯!D49&lt;&gt;0,'男女　３５～４９才'!D49/世帯!D49,0)</f>
        <v>0.3448275862068966</v>
      </c>
      <c r="E49" s="33" t="n">
        <f>IF(世帯!E49&lt;&gt;0,'男女　３５～４９才'!E49/世帯!E49,0)</f>
        <v>0.2857142857142857</v>
      </c>
      <c r="F49" s="33" t="n">
        <f>IF(世帯!F49&lt;&gt;0,'男女　３５～４９才'!F49/世帯!F49,0)</f>
        <v>0.22000000000000003</v>
      </c>
      <c r="G49" s="33" t="n">
        <f>IF(世帯!G49&lt;&gt;0,'男女　３５～４９才'!G49/世帯!G49,0)</f>
        <v>0.3448275862068966</v>
      </c>
      <c r="H49" s="33" t="n">
        <f>IF(世帯!H49&lt;&gt;0,'男女　３５～４９才'!H49/世帯!H49,0)</f>
        <v>0.4166666666666667</v>
      </c>
      <c r="I49" s="34" t="n">
        <f>IF(世帯!I49&lt;&gt;0,'男女　３５～４９才'!I49/世帯!I49,0)</f>
        <v>0.23404255319148937</v>
      </c>
      <c r="J49" s="59" t="n">
        <f>IF(世帯!J49&lt;&gt;0,'男女　３５～４９才'!J49/世帯!J49,0)</f>
        <v>0.2857142857142857</v>
      </c>
      <c r="K49" s="63" t="str">
        <f>IF('男女　３５～４９才'!K49="","",'男女　３５～４９才'!K49)</f>
        <v/>
      </c>
      <c r="L49" s="59" t="str">
        <f>IF(世帯!L49="","",IF(世帯!L49&lt;&gt;0,'男女　３５～４９才'!L49/世帯!L49,0))</f>
        <v/>
      </c>
      <c r="N49" s="46" t="s">
        <v>33</v>
      </c>
      <c r="O49" s="33" t="n">
        <f>IF(世帯!O49&lt;&gt;0,'男女　３５～４９才'!O49/世帯!O49,0)</f>
        <v>0.4444444444444444</v>
      </c>
      <c r="P49" s="33" t="n">
        <f>IF(世帯!P49&lt;&gt;0,'男女　３５～４９才'!P49/世帯!P49,0)</f>
        <v>0.29411764705882354</v>
      </c>
      <c r="Q49" s="33" t="n">
        <f>IF(世帯!Q49&lt;&gt;0,'男女　３５～４９才'!Q49/世帯!Q49,0)</f>
        <v>0.4067796610169491</v>
      </c>
      <c r="R49" s="33" t="n">
        <f>IF(世帯!R49&lt;&gt;0,'男女　３５～４９才'!R49/世帯!R49,0)</f>
        <v>0.725</v>
      </c>
      <c r="S49" s="33" t="n">
        <f>IF(世帯!S49&lt;&gt;0,'男女　３５～４９才'!S49/世帯!S49,0)</f>
        <v>0.38461538461538464</v>
      </c>
      <c r="T49" s="33" t="n">
        <f>IF(世帯!T49&lt;&gt;0,'男女　３５～４９才'!T49/世帯!T49,0)</f>
        <v>0.8367346938775508</v>
      </c>
      <c r="U49" s="33" t="n">
        <f>IF(世帯!U49&lt;&gt;0,'男女　３５～４９才'!U49/世帯!U49,0)</f>
        <v>0.475</v>
      </c>
      <c r="V49" s="34" t="n">
        <f>IF(世帯!V49&lt;&gt;0,'男女　３５～４９才'!V49/世帯!V49,0)</f>
        <v>0.4444444444444444</v>
      </c>
      <c r="W49" s="59" t="n">
        <f>IF(世帯!W49&lt;&gt;0,'男女　３５～４９才'!W49/世帯!W49,0)</f>
        <v>0.5111111111111111</v>
      </c>
      <c r="X49" s="63" t="str">
        <f>IF('男女　３５～４９才'!X49="","",'男女　３５～４９才'!X49)</f>
        <v/>
      </c>
      <c r="Y49" s="59" t="str">
        <f>IF(世帯!Y49="","",IF(世帯!Y49&lt;&gt;0,'男女　３５～４９才'!Y49/世帯!Y49,0))</f>
        <v/>
      </c>
      <c r="Z49" s="5"/>
      <c r="AA49" s="46" t="s">
        <v>33</v>
      </c>
      <c r="AB49" s="33" t="n">
        <f>IF(世帯!AB49&lt;&gt;0,'男女　３５～４９才'!AB49/世帯!AB49,0)</f>
        <v>0.3590308370044053</v>
      </c>
      <c r="AC49" s="33" t="n">
        <f>IF(世帯!AC49&lt;&gt;0,'男女　３５～４９才'!AC49/世帯!AC49,0)</f>
        <v>0.34615384615384615</v>
      </c>
      <c r="AD49" s="33" t="n">
        <f>IF(世帯!AD49&lt;&gt;0,'男女　３５～４９才'!AD49/世帯!AD49,0)</f>
        <v>0.3401360544217687</v>
      </c>
      <c r="AE49" s="33" t="n">
        <f>IF(世帯!AE49&lt;&gt;0,'男女　３５～４９才'!AE49/世帯!AE49,0)</f>
        <v>0.3569794050343249</v>
      </c>
      <c r="AF49" s="33" t="n">
        <f>IF(世帯!AF49&lt;&gt;0,'男女　３５～４９才'!AF49/世帯!AF49,0)</f>
        <v>0.3578199052132701</v>
      </c>
      <c r="AG49" s="33" t="n">
        <f>IF(世帯!AG49&lt;&gt;0,'男女　３５～４９才'!AG49/世帯!AG49,0)</f>
        <v>0.3810679611650485</v>
      </c>
      <c r="AH49" s="33" t="n">
        <f>IF(世帯!AH49&lt;&gt;0,'男女　３５～４９才'!AH49/世帯!AH49,0)</f>
        <v>0.4183908045977011</v>
      </c>
      <c r="AI49" s="34" t="n">
        <f>IF(世帯!AI49&lt;&gt;0,'男女　３５～４９才'!AI49/世帯!AI49,0)</f>
        <v>0.3522727272727273</v>
      </c>
      <c r="AJ49" s="59" t="n">
        <f>IF(世帯!AJ49&lt;&gt;0,'男女　３５～４９才'!AJ49/世帯!AJ49,0)</f>
        <v>0.36551724137931035</v>
      </c>
      <c r="AK49" s="63" t="str">
        <f>IF('男女　３５～４９才'!AK49="","",'男女　３５～４９才'!AK49)</f>
        <v/>
      </c>
      <c r="AL49" s="59" t="str">
        <f>IF(世帯!AL49="","",IF(世帯!AL49&lt;&gt;0,'男女　３５～４９才'!AL49/世帯!AL49,0))</f>
        <v/>
      </c>
    </row>
    <row r="50" spans="1:38" x14ac:dyDescent="0.2">
      <c r="A50" s="46" t="s">
        <v>34</v>
      </c>
      <c r="B50" s="33" t="n">
        <f>IF(世帯!B50&lt;&gt;0,'男女　３５～４９才'!B50/世帯!B50,0)</f>
        <v>0.391304347826087</v>
      </c>
      <c r="C50" s="33" t="n">
        <f>IF(世帯!C50&lt;&gt;0,'男女　３５～４９才'!C50/世帯!C50,0)</f>
        <v>0.3666666666666667</v>
      </c>
      <c r="D50" s="33" t="n">
        <f>IF(世帯!D50&lt;&gt;0,'男女　３５～４９才'!D50/世帯!D50,0)</f>
        <v>0.37037037037037035</v>
      </c>
      <c r="E50" s="33" t="n">
        <f>IF(世帯!E50&lt;&gt;0,'男女　３５～４９才'!E50/世帯!E50,0)</f>
        <v>0.3478260869565218</v>
      </c>
      <c r="F50" s="33" t="n">
        <f>IF(世帯!F50&lt;&gt;0,'男女　３５～４９才'!F50/世帯!F50,0)</f>
        <v>0.25</v>
      </c>
      <c r="G50" s="33" t="n">
        <f>IF(世帯!G50&lt;&gt;0,'男女　３５～４９才'!G50/世帯!G50,0)</f>
        <v>0.3333333333333333</v>
      </c>
      <c r="H50" s="33" t="n">
        <f>IF(世帯!H50&lt;&gt;0,'男女　３５～４９才'!H50/世帯!H50,0)</f>
        <v>0.9565217391304349</v>
      </c>
      <c r="I50" s="34" t="n">
        <f>IF(世帯!I50&lt;&gt;0,'男女　３５～４９才'!I50/世帯!I50,0)</f>
        <v>0.36</v>
      </c>
      <c r="J50" s="59" t="n">
        <f>IF(世帯!J50&lt;&gt;0,'男女　３５～４９才'!J50/世帯!J50,0)</f>
        <v>0.44000000000000006</v>
      </c>
      <c r="K50" s="63" t="str">
        <f>IF('男女　３５～４９才'!K50="","",'男女　３５～４９才'!K50)</f>
        <v/>
      </c>
      <c r="L50" s="59" t="str">
        <f>IF(世帯!L50="","",IF(世帯!L50&lt;&gt;0,'男女　３５～４９才'!L50/世帯!L50,0))</f>
        <v/>
      </c>
      <c r="N50" s="46" t="s">
        <v>34</v>
      </c>
      <c r="O50" s="33" t="n">
        <f>IF(世帯!O50&lt;&gt;0,'男女　３５～４９才'!O50/世帯!O50,0)</f>
        <v>0.4117647058823529</v>
      </c>
      <c r="P50" s="33" t="n">
        <f>IF(世帯!P50&lt;&gt;0,'男女　３５～４９才'!P50/世帯!P50,0)</f>
        <v>0.5937499999999999</v>
      </c>
      <c r="Q50" s="33" t="n">
        <f>IF(世帯!Q50&lt;&gt;0,'男女　３５～４９才'!Q50/世帯!Q50,0)</f>
        <v>0.3235294117647059</v>
      </c>
      <c r="R50" s="33" t="n">
        <f>IF(世帯!R50&lt;&gt;0,'男女　３５～４９才'!R50/世帯!R50,0)</f>
        <v>0.45945945945945943</v>
      </c>
      <c r="S50" s="33" t="n">
        <f>IF(世帯!S50&lt;&gt;0,'男女　３５～４９才'!S50/世帯!S50,0)</f>
        <v>0.4358974358974359</v>
      </c>
      <c r="T50" s="33" t="n">
        <f>IF(世帯!T50&lt;&gt;0,'男女　３５～４９才'!T50/世帯!T50,0)</f>
        <v>0.7358490566037736</v>
      </c>
      <c r="U50" s="33" t="n">
        <f>IF(世帯!U50&lt;&gt;0,'男女　３５～４９才'!U50/世帯!U50,0)</f>
        <v>0.3333333333333333</v>
      </c>
      <c r="V50" s="34" t="n">
        <f>IF(世帯!V50&lt;&gt;0,'男女　３５～４９才'!V50/世帯!V50,0)</f>
        <v>0.4571428571428572</v>
      </c>
      <c r="W50" s="59" t="n">
        <f>IF(世帯!W50&lt;&gt;0,'男女　３５～４９才'!W50/世帯!W50,0)</f>
        <v>0.46511627906976744</v>
      </c>
      <c r="X50" s="63" t="str">
        <f>IF('男女　３５～４９才'!X50="","",'男女　３５～４９才'!X50)</f>
        <v/>
      </c>
      <c r="Y50" s="59" t="str">
        <f>IF(世帯!Y50="","",IF(世帯!Y50&lt;&gt;0,'男女　３５～４９才'!Y50/世帯!Y50,0))</f>
        <v/>
      </c>
      <c r="Z50" s="5"/>
      <c r="AA50" s="46" t="s">
        <v>34</v>
      </c>
      <c r="AB50" s="33" t="n">
        <f>IF(世帯!AB50&lt;&gt;0,'男女　３５～４９才'!AB50/世帯!AB50,0)</f>
        <v>0.3784530386740331</v>
      </c>
      <c r="AC50" s="33" t="n">
        <f>IF(世帯!AC50&lt;&gt;0,'男女　３５～４９才'!AC50/世帯!AC50,0)</f>
        <v>0.3792134831460674</v>
      </c>
      <c r="AD50" s="33" t="n">
        <f>IF(世帯!AD50&lt;&gt;0,'男女　３５～４９才'!AD50/世帯!AD50,0)</f>
        <v>0.3659942363112391</v>
      </c>
      <c r="AE50" s="33" t="n">
        <f>IF(世帯!AE50&lt;&gt;0,'男女　３５～４９才'!AE50/世帯!AE50,0)</f>
        <v>0.361271676300578</v>
      </c>
      <c r="AF50" s="33" t="n">
        <f>IF(世帯!AF50&lt;&gt;0,'男女　３５～４９才'!AF50/世帯!AF50,0)</f>
        <v>0.38397790055248615</v>
      </c>
      <c r="AG50" s="33" t="n">
        <f>IF(世帯!AG50&lt;&gt;0,'男女　３５～４９才'!AG50/世帯!AG50,0)</f>
        <v>0.3696275071633238</v>
      </c>
      <c r="AH50" s="33" t="n">
        <f>IF(世帯!AH50&lt;&gt;0,'男女　３５～４９才'!AH50/世帯!AH50,0)</f>
        <v>0.40540540540540543</v>
      </c>
      <c r="AI50" s="34" t="n">
        <f>IF(世帯!AI50&lt;&gt;0,'男女　３５～４９才'!AI50/世帯!AI50,0)</f>
        <v>0.37464788732394366</v>
      </c>
      <c r="AJ50" s="59" t="n">
        <f>IF(世帯!AJ50&lt;&gt;0,'男女　３５～４９才'!AJ50/世帯!AJ50,0)</f>
        <v>0.3789173789173789</v>
      </c>
      <c r="AK50" s="63" t="str">
        <f>IF('男女　３５～４９才'!AK50="","",'男女　３５～４９才'!AK50)</f>
        <v/>
      </c>
      <c r="AL50" s="59" t="str">
        <f>IF(世帯!AL50="","",IF(世帯!AL50&lt;&gt;0,'男女　３５～４９才'!AL50/世帯!AL50,0))</f>
        <v/>
      </c>
    </row>
    <row r="51" spans="1:38" x14ac:dyDescent="0.2">
      <c r="A51" s="46" t="s">
        <v>35</v>
      </c>
      <c r="B51" s="33" t="n">
        <f>IF(世帯!B51&lt;&gt;0,'男女　３５～４９才'!B51/世帯!B51,0)</f>
        <v>0.3333333333333333</v>
      </c>
      <c r="C51" s="33" t="n">
        <f>IF(世帯!C51&lt;&gt;0,'男女　３５～４９才'!C51/世帯!C51,0)</f>
        <v>0.35294117647058826</v>
      </c>
      <c r="D51" s="33" t="n">
        <f>IF(世帯!D51&lt;&gt;0,'男女　３５～４９才'!D51/世帯!D51,0)</f>
        <v>0.38888888888888884</v>
      </c>
      <c r="E51" s="33" t="n">
        <f>IF(世帯!E51&lt;&gt;0,'男女　３５～４９才'!E51/世帯!E51,0)</f>
        <v>0.3076923076923077</v>
      </c>
      <c r="F51" s="33" t="n">
        <f>IF(世帯!F51&lt;&gt;0,'男女　３５～４９才'!F51/世帯!F51,0)</f>
        <v>0.3333333333333333</v>
      </c>
      <c r="G51" s="33" t="n">
        <f>IF(世帯!G51&lt;&gt;0,'男女　３５～４９才'!G51/世帯!G51,0)</f>
        <v>0.36363636363636365</v>
      </c>
      <c r="H51" s="33" t="n">
        <f>IF(世帯!H51&lt;&gt;0,'男女　３５～４９才'!H51/世帯!H51,0)</f>
        <v>0.5</v>
      </c>
      <c r="I51" s="34" t="n">
        <f>IF(世帯!I51&lt;&gt;0,'男女　３５～４９才'!I51/世帯!I51,0)</f>
        <v>0.35294117647058826</v>
      </c>
      <c r="J51" s="59" t="n">
        <f>IF(世帯!J51&lt;&gt;0,'男女　３５～４９才'!J51/世帯!J51,0)</f>
        <v>0.37499999999999994</v>
      </c>
      <c r="K51" s="63" t="str">
        <f>IF('男女　３５～４９才'!K51="","",'男女　３５～４９才'!K51)</f>
        <v/>
      </c>
      <c r="L51" s="59" t="str">
        <f>IF(世帯!L51="","",IF(世帯!L51&lt;&gt;0,'男女　３５～４９才'!L51/世帯!L51,0))</f>
        <v/>
      </c>
      <c r="N51" s="46" t="s">
        <v>35</v>
      </c>
      <c r="O51" s="33" t="n">
        <f>IF(世帯!O51&lt;&gt;0,'男女　３５～４９才'!O51/世帯!O51,0)</f>
        <v>0.5</v>
      </c>
      <c r="P51" s="33" t="n">
        <f>IF(世帯!P51&lt;&gt;0,'男女　３５～４９才'!P51/世帯!P51,0)</f>
        <v>0.5333333333333333</v>
      </c>
      <c r="Q51" s="33" t="n">
        <f>IF(世帯!Q51&lt;&gt;0,'男女　３５～４９才'!Q51/世帯!Q51,0)</f>
        <v>0.4210526315789474</v>
      </c>
      <c r="R51" s="33" t="n">
        <f>IF(世帯!R51&lt;&gt;0,'男女　３５～４９才'!R51/世帯!R51,0)</f>
        <v>0.45833333333333337</v>
      </c>
      <c r="S51" s="33" t="n">
        <f>IF(世帯!S51&lt;&gt;0,'男女　３５～４９才'!S51/世帯!S51,0)</f>
        <v>0.6363636363636362</v>
      </c>
      <c r="T51" s="33" t="n">
        <f>IF(世帯!T51&lt;&gt;0,'男女　３５～４９才'!T51/世帯!T51,0)</f>
        <v>0.5625</v>
      </c>
      <c r="U51" s="33" t="n">
        <f>IF(世帯!U51&lt;&gt;0,'男女　３５～４９才'!U51/世帯!U51,0)</f>
        <v>0.35135135135135137</v>
      </c>
      <c r="V51" s="34" t="n">
        <f>IF(世帯!V51&lt;&gt;0,'男女　３５～４９才'!V51/世帯!V51,0)</f>
        <v>0.5263157894736842</v>
      </c>
      <c r="W51" s="59" t="n">
        <f>IF(世帯!W51&lt;&gt;0,'男女　３５～４９才'!W51/世帯!W51,0)</f>
        <v>0.45833333333333337</v>
      </c>
      <c r="X51" s="63" t="str">
        <f>IF('男女　３５～４９才'!X51="","",'男女　３５～４９才'!X51)</f>
        <v/>
      </c>
      <c r="Y51" s="59" t="str">
        <f>IF(世帯!Y51="","",IF(世帯!Y51&lt;&gt;0,'男女　３５～４９才'!Y51/世帯!Y51,0))</f>
        <v/>
      </c>
      <c r="Z51" s="5"/>
      <c r="AA51" s="46" t="s">
        <v>35</v>
      </c>
      <c r="AB51" s="33" t="n">
        <f>IF(世帯!AB51&lt;&gt;0,'男女　３５～４９才'!AB51/世帯!AB51,0)</f>
        <v>0.3716814159292035</v>
      </c>
      <c r="AC51" s="33" t="n">
        <f>IF(世帯!AC51&lt;&gt;0,'男女　３５～４９才'!AC51/世帯!AC51,0)</f>
        <v>0.36</v>
      </c>
      <c r="AD51" s="33" t="n">
        <f>IF(世帯!AD51&lt;&gt;0,'男女　３５～４９才'!AD51/世帯!AD51,0)</f>
        <v>0.36073059360730597</v>
      </c>
      <c r="AE51" s="33" t="n">
        <f>IF(世帯!AE51&lt;&gt;0,'男女　３５～４９才'!AE51/世帯!AE51,0)</f>
        <v>0.3896103896103896</v>
      </c>
      <c r="AF51" s="33" t="n">
        <f>IF(世帯!AF51&lt;&gt;0,'男女　３５～４９才'!AF51/世帯!AF51,0)</f>
        <v>0.3941908713692946</v>
      </c>
      <c r="AG51" s="33" t="n">
        <f>IF(世帯!AG51&lt;&gt;0,'男女　３５～４９才'!AG51/世帯!AG51,0)</f>
        <v>0.3632478632478633</v>
      </c>
      <c r="AH51" s="33" t="n">
        <f>IF(世帯!AH51&lt;&gt;0,'男女　３５～４９才'!AH51/世帯!AH51,0)</f>
        <v>0.40191387559808617</v>
      </c>
      <c r="AI51" s="34" t="n">
        <f>IF(世帯!AI51&lt;&gt;0,'男女　３５～４９才'!AI51/世帯!AI51,0)</f>
        <v>0.3771929824561403</v>
      </c>
      <c r="AJ51" s="59" t="n">
        <f>IF(世帯!AJ51&lt;&gt;0,'男女　３５～４９才'!AJ51/世帯!AJ51,0)</f>
        <v>0.37610619469026546</v>
      </c>
      <c r="AK51" s="63" t="str">
        <f>IF('男女　３５～４９才'!AK51="","",'男女　３５～４９才'!AK51)</f>
        <v/>
      </c>
      <c r="AL51" s="59" t="str">
        <f>IF(世帯!AL51="","",IF(世帯!AL51&lt;&gt;0,'男女　３５～４９才'!AL51/世帯!AL51,0))</f>
        <v/>
      </c>
    </row>
    <row r="52" spans="1:38" x14ac:dyDescent="0.2">
      <c r="A52" s="46" t="s">
        <v>36</v>
      </c>
      <c r="B52" s="33" t="n">
        <f>IF(世帯!B52&lt;&gt;0,'男女　３５～４９才'!B52/世帯!B52,0)</f>
        <v>0.4</v>
      </c>
      <c r="C52" s="33" t="n">
        <f>IF(世帯!C52&lt;&gt;0,'男女　３５～４９才'!C52/世帯!C52,0)</f>
        <v>0.37499999999999994</v>
      </c>
      <c r="D52" s="33" t="n">
        <f>IF(世帯!D52&lt;&gt;0,'男女　３５～４９才'!D52/世帯!D52,0)</f>
        <v>0.4285714285714286</v>
      </c>
      <c r="E52" s="33" t="n">
        <f>IF(世帯!E52&lt;&gt;0,'男女　３５～４９才'!E52/世帯!E52,0)</f>
        <v>0.3</v>
      </c>
      <c r="F52" s="33" t="n">
        <f>IF(世帯!F52&lt;&gt;0,'男女　３５～４９才'!F52/世帯!F52,0)</f>
        <v>0.3</v>
      </c>
      <c r="G52" s="33" t="n">
        <f>IF(世帯!G52&lt;&gt;0,'男女　３５～４９才'!G52/世帯!G52,0)</f>
        <v>0.4285714285714286</v>
      </c>
      <c r="H52" s="33" t="n">
        <f>IF(世帯!H52&lt;&gt;0,'男女　３５～４９才'!H52/世帯!H52,0)</f>
        <v>0.6666666666666666</v>
      </c>
      <c r="I52" s="34" t="n">
        <f>IF(世帯!I52&lt;&gt;0,'男女　３５～４９才'!I52/世帯!I52,0)</f>
        <v>0.37499999999999994</v>
      </c>
      <c r="J52" s="59" t="n">
        <f>IF(世帯!J52&lt;&gt;0,'男女　３５～４９才'!J52/世帯!J52,0)</f>
        <v>0.37499999999999994</v>
      </c>
      <c r="K52" s="63" t="str">
        <f>IF('男女　３５～４９才'!K52="","",'男女　３５～４９才'!K52)</f>
        <v/>
      </c>
      <c r="L52" s="59" t="str">
        <f>IF(世帯!L52="","",IF(世帯!L52&lt;&gt;0,'男女　３５～４９才'!L52/世帯!L52,0))</f>
        <v/>
      </c>
      <c r="N52" s="46" t="s">
        <v>36</v>
      </c>
      <c r="O52" s="33" t="n">
        <f>IF(世帯!O52&lt;&gt;0,'男女　３５～４９才'!O52/世帯!O52,0)</f>
        <v>0.4615384615384615</v>
      </c>
      <c r="P52" s="33" t="n">
        <f>IF(世帯!P52&lt;&gt;0,'男女　３５～４９才'!P52/世帯!P52,0)</f>
        <v>0.4285714285714286</v>
      </c>
      <c r="Q52" s="33" t="n">
        <f>IF(世帯!Q52&lt;&gt;0,'男女　３５～４９才'!Q52/世帯!Q52,0)</f>
        <v>0.35714285714285715</v>
      </c>
      <c r="R52" s="33" t="n">
        <f>IF(世帯!R52&lt;&gt;0,'男女　３５～４９才'!R52/世帯!R52,0)</f>
        <v>0.35294117647058826</v>
      </c>
      <c r="S52" s="33" t="n">
        <f>IF(世帯!S52&lt;&gt;0,'男女　３５～４９才'!S52/世帯!S52,0)</f>
        <v>0.5</v>
      </c>
      <c r="T52" s="33" t="n">
        <f>IF(世帯!T52&lt;&gt;0,'男女　３５～４９才'!T52/世帯!T52,0)</f>
        <v>0.45</v>
      </c>
      <c r="U52" s="33" t="n">
        <f>IF(世帯!U52&lt;&gt;0,'男女　３５～４９才'!U52/世帯!U52,0)</f>
        <v>0.36363636363636365</v>
      </c>
      <c r="V52" s="34" t="n">
        <f>IF(世帯!V52&lt;&gt;0,'男女　３５～４９才'!V52/世帯!V52,0)</f>
        <v>0.4285714285714286</v>
      </c>
      <c r="W52" s="59" t="n">
        <f>IF(世帯!W52&lt;&gt;0,'男女　３５～４９才'!W52/世帯!W52,0)</f>
        <v>0.43749999999999994</v>
      </c>
      <c r="X52" s="63" t="str">
        <f>IF('男女　３５～４９才'!X52="","",'男女　３５～４９才'!X52)</f>
        <v/>
      </c>
      <c r="Y52" s="59" t="str">
        <f>IF(世帯!Y52="","",IF(世帯!Y52&lt;&gt;0,'男女　３５～４９才'!Y52/世帯!Y52,0))</f>
        <v/>
      </c>
      <c r="Z52" s="5"/>
      <c r="AA52" s="46" t="s">
        <v>36</v>
      </c>
      <c r="AB52" s="33" t="n">
        <f>IF(世帯!AB52&lt;&gt;0,'男女　３５～４９才'!AB52/世帯!AB52,0)</f>
        <v>0.37499999999999994</v>
      </c>
      <c r="AC52" s="33" t="n">
        <f>IF(世帯!AC52&lt;&gt;0,'男女　３５～４９才'!AC52/世帯!AC52,0)</f>
        <v>0.3798449612403101</v>
      </c>
      <c r="AD52" s="33" t="n">
        <f>IF(世帯!AD52&lt;&gt;0,'男女　３５～４９才'!AD52/世帯!AD52,0)</f>
        <v>0.3801652892561983</v>
      </c>
      <c r="AE52" s="33" t="n">
        <f>IF(世帯!AE52&lt;&gt;0,'男女　３５～４９才'!AE52/世帯!AE52,0)</f>
        <v>0.43065693430656937</v>
      </c>
      <c r="AF52" s="33" t="n">
        <f>IF(世帯!AF52&lt;&gt;0,'男女　３５～４９才'!AF52/世帯!AF52,0)</f>
        <v>0.38888888888888884</v>
      </c>
      <c r="AG52" s="33" t="n">
        <f>IF(世帯!AG52&lt;&gt;0,'男女　３５～４９才'!AG52/世帯!AG52,0)</f>
        <v>0.3931034482758621</v>
      </c>
      <c r="AH52" s="33" t="n">
        <f>IF(世帯!AH52&lt;&gt;0,'男女　３５～４９才'!AH52/世帯!AH52,0)</f>
        <v>0.39682539682539686</v>
      </c>
      <c r="AI52" s="34" t="n">
        <f>IF(世帯!AI52&lt;&gt;0,'男女　３５～４９才'!AI52/世帯!AI52,0)</f>
        <v>0.38636363636363635</v>
      </c>
      <c r="AJ52" s="59" t="n">
        <f>IF(世帯!AJ52&lt;&gt;0,'男女　３５～４９才'!AJ52/世帯!AJ52,0)</f>
        <v>0.393939393939394</v>
      </c>
      <c r="AK52" s="63" t="str">
        <f>IF('男女　３５～４９才'!AK52="","",'男女　３５～４９才'!AK52)</f>
        <v/>
      </c>
      <c r="AL52" s="59" t="str">
        <f>IF(世帯!AL52="","",IF(世帯!AL52&lt;&gt;0,'男女　３５～４９才'!AL52/世帯!AL52,0))</f>
        <v/>
      </c>
    </row>
    <row r="53" spans="1:38" x14ac:dyDescent="0.2">
      <c r="A53" s="46" t="s">
        <v>37</v>
      </c>
      <c r="B53" s="33" t="n">
        <f>IF(世帯!B53&lt;&gt;0,'男女　３５～４９才'!B53/世帯!B53,0)</f>
        <v>0.33333333333333337</v>
      </c>
      <c r="C53" s="33" t="n">
        <f>IF(世帯!C53&lt;&gt;0,'男女　３５～４９才'!C53/世帯!C53,0)</f>
        <v>0.33333333333333337</v>
      </c>
      <c r="D53" s="33" t="n">
        <f>IF(世帯!D53&lt;&gt;0,'男女　３５～４９才'!D53/世帯!D53,0)</f>
        <v>0.4</v>
      </c>
      <c r="E53" s="33" t="n">
        <f>IF(世帯!E53&lt;&gt;0,'男女　３５～４９才'!E53/世帯!E53,0)</f>
        <v>0.2</v>
      </c>
      <c r="F53" s="33" t="n">
        <f>IF(世帯!F53&lt;&gt;0,'男女　３５～４９才'!F53/世帯!F53,0)</f>
        <v>0.25</v>
      </c>
      <c r="G53" s="33" t="n">
        <f>IF(世帯!G53&lt;&gt;0,'男女　３５～４９才'!G53/世帯!G53,0)</f>
        <v>0.4</v>
      </c>
      <c r="H53" s="33" t="n">
        <f>IF(世帯!H53&lt;&gt;0,'男女　３５～４９才'!H53/世帯!H53,0)</f>
        <v>0.7142857142857143</v>
      </c>
      <c r="I53" s="34" t="n">
        <f>IF(世帯!I53&lt;&gt;0,'男女　３５～４９才'!I53/世帯!I53,0)</f>
        <v>0.25</v>
      </c>
      <c r="J53" s="59" t="n">
        <f>IF(世帯!J53&lt;&gt;0,'男女　３５～４９才'!J53/世帯!J53,0)</f>
        <v>0.33333333333333337</v>
      </c>
      <c r="K53" s="63" t="str">
        <f>IF('男女　３５～４９才'!K53="","",'男女　３５～４９才'!K53)</f>
        <v/>
      </c>
      <c r="L53" s="59" t="str">
        <f>IF(世帯!L53="","",IF(世帯!L53&lt;&gt;0,'男女　３５～４９才'!L53/世帯!L53,0))</f>
        <v/>
      </c>
      <c r="N53" s="46" t="s">
        <v>37</v>
      </c>
      <c r="O53" s="33" t="n">
        <f>IF(世帯!O53&lt;&gt;0,'男女　３５～４９才'!O53/世帯!O53,0)</f>
        <v>0.4444444444444445</v>
      </c>
      <c r="P53" s="33" t="n">
        <f>IF(世帯!P53&lt;&gt;0,'男女　３５～４９才'!P53/世帯!P53,0)</f>
        <v>0.4</v>
      </c>
      <c r="Q53" s="33" t="n">
        <f>IF(世帯!Q53&lt;&gt;0,'男女　３５～４９才'!Q53/世帯!Q53,0)</f>
        <v>0.33333333333333337</v>
      </c>
      <c r="R53" s="33" t="n">
        <f>IF(世帯!R53&lt;&gt;0,'男女　３５～４９才'!R53/世帯!R53,0)</f>
        <v>0.37499999999999994</v>
      </c>
      <c r="S53" s="33" t="n">
        <f>IF(世帯!S53&lt;&gt;0,'男女　３５～４９才'!S53/世帯!S53,0)</f>
        <v>0.4</v>
      </c>
      <c r="T53" s="33" t="n">
        <f>IF(世帯!T53&lt;&gt;0,'男女　３５～４９才'!T53/世帯!T53,0)</f>
        <v>0.3846153846153846</v>
      </c>
      <c r="U53" s="33" t="n">
        <f>IF(世帯!U53&lt;&gt;0,'男女　３５～４９才'!U53/世帯!U53,0)</f>
        <v>0.3846153846153846</v>
      </c>
      <c r="V53" s="34" t="n">
        <f>IF(世帯!V53&lt;&gt;0,'男女　３５～４９才'!V53/世帯!V53,0)</f>
        <v>0.3333333333333333</v>
      </c>
      <c r="W53" s="59" t="n">
        <f>IF(世帯!W53&lt;&gt;0,'男女　３５～４９才'!W53/世帯!W53,0)</f>
        <v>0.4</v>
      </c>
      <c r="X53" s="63" t="str">
        <f>IF('男女　３５～４９才'!X53="","",'男女　３５～４９才'!X53)</f>
        <v/>
      </c>
      <c r="Y53" s="59" t="str">
        <f>IF(世帯!Y53="","",IF(世帯!Y53&lt;&gt;0,'男女　３５～４９才'!Y53/世帯!Y53,0))</f>
        <v/>
      </c>
      <c r="Z53" s="5"/>
      <c r="AA53" s="46" t="s">
        <v>37</v>
      </c>
      <c r="AB53" s="33" t="n">
        <f>IF(世帯!AB53&lt;&gt;0,'男女　３５～４９才'!AB53/世帯!AB53,0)</f>
        <v>0.35135135135135137</v>
      </c>
      <c r="AC53" s="33" t="n">
        <f>IF(世帯!AC53&lt;&gt;0,'男女　３５～４９才'!AC53/世帯!AC53,0)</f>
        <v>0.35064935064935066</v>
      </c>
      <c r="AD53" s="33" t="n">
        <f>IF(世帯!AD53&lt;&gt;0,'男女　３５～４９才'!AD53/世帯!AD53,0)</f>
        <v>0.36486486486486486</v>
      </c>
      <c r="AE53" s="33" t="n">
        <f>IF(世帯!AE53&lt;&gt;0,'男女　３５～４９才'!AE53/世帯!AE53,0)</f>
        <v>0.358974358974359</v>
      </c>
      <c r="AF53" s="33" t="n">
        <f>IF(世帯!AF53&lt;&gt;0,'男女　３５～４９才'!AF53/世帯!AF53,0)</f>
        <v>0.3488372093023256</v>
      </c>
      <c r="AG53" s="33" t="n">
        <f>IF(世帯!AG53&lt;&gt;0,'男女　３５～４９才'!AG53/世帯!AG53,0)</f>
        <v>0.4021739130434783</v>
      </c>
      <c r="AH53" s="33" t="n">
        <f>IF(世帯!AH53&lt;&gt;0,'男女　３５～４９才'!AH53/世帯!AH53,0)</f>
        <v>0.3815789473684211</v>
      </c>
      <c r="AI53" s="34" t="n">
        <f>IF(世帯!AI53&lt;&gt;0,'男女　３５～４９才'!AI53/世帯!AI53,0)</f>
        <v>0.3461538461538462</v>
      </c>
      <c r="AJ53" s="59" t="n">
        <f>IF(世帯!AJ53&lt;&gt;0,'男女　３５～４９才'!AJ53/世帯!AJ53,0)</f>
        <v>0.36708860759493667</v>
      </c>
      <c r="AK53" s="63" t="str">
        <f>IF('男女　３５～４９才'!AK53="","",'男女　３５～４９才'!AK53)</f>
        <v/>
      </c>
      <c r="AL53" s="59" t="str">
        <f>IF(世帯!AL53="","",IF(世帯!AL53&lt;&gt;0,'男女　３５～４９才'!AL53/世帯!AL53,0))</f>
        <v/>
      </c>
    </row>
    <row r="54" spans="1:38" x14ac:dyDescent="0.2">
      <c r="A54" s="46" t="s">
        <v>38</v>
      </c>
      <c r="B54" s="33" t="n">
        <f>IF(世帯!B54&lt;&gt;0,'男女　３５～４９才'!B54/世帯!B54,0)</f>
        <v>0.5</v>
      </c>
      <c r="C54" s="33" t="n">
        <f>IF(世帯!C54&lt;&gt;0,'男女　３５～４９才'!C54/世帯!C54,0)</f>
        <v>0.25</v>
      </c>
      <c r="D54" s="33" t="n">
        <f>IF(世帯!D54&lt;&gt;0,'男女　３５～４９才'!D54/世帯!D54,0)</f>
        <v>0.33333333333333337</v>
      </c>
      <c r="E54" s="33" t="n">
        <f>IF(世帯!E54&lt;&gt;0,'男女　３５～４９才'!E54/世帯!E54,0)</f>
        <v>0.0</v>
      </c>
      <c r="F54" s="33" t="n">
        <f>IF(世帯!F54&lt;&gt;0,'男女　３５～４９才'!F54/世帯!F54,0)</f>
        <v>0.0</v>
      </c>
      <c r="G54" s="33" t="n">
        <f>IF(世帯!G54&lt;&gt;0,'男女　３５～４９才'!G54/世帯!G54,0)</f>
        <v>0.4285714285714286</v>
      </c>
      <c r="H54" s="33" t="n">
        <f>IF(世帯!H54&lt;&gt;0,'男女　３５～４９才'!H54/世帯!H54,0)</f>
        <v>0.7499999999999999</v>
      </c>
      <c r="I54" s="34" t="n">
        <f>IF(世帯!I54&lt;&gt;0,'男女　３５～４９才'!I54/世帯!I54,0)</f>
        <v>0.33333333333333337</v>
      </c>
      <c r="J54" s="59" t="n">
        <f>IF(世帯!J54&lt;&gt;0,'男女　３５～４９才'!J54/世帯!J54,0)</f>
        <v>0.33333333333333337</v>
      </c>
      <c r="K54" s="63" t="str">
        <f>IF('男女　３５～４９才'!K54="","",'男女　３５～４９才'!K54)</f>
        <v/>
      </c>
      <c r="L54" s="59" t="str">
        <f>IF(世帯!L54="","",IF(世帯!L54&lt;&gt;0,'男女　３５～４９才'!L54/世帯!L54,0))</f>
        <v/>
      </c>
      <c r="N54" s="46" t="s">
        <v>38</v>
      </c>
      <c r="O54" s="33" t="n">
        <f>IF(世帯!O54&lt;&gt;0,'男女　３５～４９才'!O54/世帯!O54,0)</f>
        <v>0.6</v>
      </c>
      <c r="P54" s="33" t="n">
        <f>IF(世帯!P54&lt;&gt;0,'男女　３５～４９才'!P54/世帯!P54,0)</f>
        <v>0.4285714285714286</v>
      </c>
      <c r="Q54" s="33" t="n">
        <f>IF(世帯!Q54&lt;&gt;0,'男女　３５～４９才'!Q54/世帯!Q54,0)</f>
        <v>0.4</v>
      </c>
      <c r="R54" s="33" t="n">
        <f>IF(世帯!R54&lt;&gt;0,'男女　３５～４９才'!R54/世帯!R54,0)</f>
        <v>0.4</v>
      </c>
      <c r="S54" s="33" t="n">
        <f>IF(世帯!S54&lt;&gt;0,'男女　３５～４９才'!S54/世帯!S54,0)</f>
        <v>0.4285714285714286</v>
      </c>
      <c r="T54" s="33" t="n">
        <f>IF(世帯!T54&lt;&gt;0,'男女　３５～４９才'!T54/世帯!T54,0)</f>
        <v>0.37499999999999994</v>
      </c>
      <c r="U54" s="33" t="n">
        <f>IF(世帯!U54&lt;&gt;0,'男女　３５～４９才'!U54/世帯!U54,0)</f>
        <v>0.37499999999999994</v>
      </c>
      <c r="V54" s="34" t="n">
        <f>IF(世帯!V54&lt;&gt;0,'男女　３５～４９才'!V54/世帯!V54,0)</f>
        <v>0.33333333333333337</v>
      </c>
      <c r="W54" s="59" t="n">
        <f>IF(世帯!W54&lt;&gt;0,'男女　３５～４９才'!W54/世帯!W54,0)</f>
        <v>0.5</v>
      </c>
      <c r="X54" s="63" t="str">
        <f>IF('男女　３５～４９才'!X54="","",'男女　３５～４９才'!X54)</f>
        <v/>
      </c>
      <c r="Y54" s="59" t="str">
        <f>IF(世帯!Y54="","",IF(世帯!Y54&lt;&gt;0,'男女　３５～４９才'!Y54/世帯!Y54,0))</f>
        <v/>
      </c>
      <c r="Z54" s="5"/>
      <c r="AA54" s="46" t="s">
        <v>38</v>
      </c>
      <c r="AB54" s="33" t="n">
        <f>IF(世帯!AB54&lt;&gt;0,'男女　３５～４９才'!AB54/世帯!AB54,0)</f>
        <v>0.346938775510204</v>
      </c>
      <c r="AC54" s="33" t="n">
        <f>IF(世帯!AC54&lt;&gt;0,'男女　３５～４９才'!AC54/世帯!AC54,0)</f>
        <v>0.33333333333333337</v>
      </c>
      <c r="AD54" s="33" t="n">
        <f>IF(世帯!AD54&lt;&gt;0,'男女　３５～４９才'!AD54/世帯!AD54,0)</f>
        <v>0.33999999999999997</v>
      </c>
      <c r="AE54" s="33" t="n">
        <f>IF(世帯!AE54&lt;&gt;0,'男女　３５～４９才'!AE54/世帯!AE54,0)</f>
        <v>0.346938775510204</v>
      </c>
      <c r="AF54" s="33" t="n">
        <f>IF(世帯!AF54&lt;&gt;0,'男女　３５～４９才'!AF54/世帯!AF54,0)</f>
        <v>0.3333333333333333</v>
      </c>
      <c r="AG54" s="33" t="n">
        <f>IF(世帯!AG54&lt;&gt;0,'男女　３５～４９才'!AG54/世帯!AG54,0)</f>
        <v>0.40625</v>
      </c>
      <c r="AH54" s="33" t="n">
        <f>IF(世帯!AH54&lt;&gt;0,'男女　３５～４９才'!AH54/世帯!AH54,0)</f>
        <v>0.3269230769230769</v>
      </c>
      <c r="AI54" s="34" t="n">
        <f>IF(世帯!AI54&lt;&gt;0,'男女　３５～４９才'!AI54/世帯!AI54,0)</f>
        <v>0.33333333333333337</v>
      </c>
      <c r="AJ54" s="59" t="n">
        <f>IF(世帯!AJ54&lt;&gt;0,'男女　３５～４９才'!AJ54/世帯!AJ54,0)</f>
        <v>0.34615384615384615</v>
      </c>
      <c r="AK54" s="63" t="str">
        <f>IF('男女　３５～４９才'!AK54="","",'男女　３５～４９才'!AK54)</f>
        <v/>
      </c>
      <c r="AL54" s="59" t="str">
        <f>IF(世帯!AL54="","",IF(世帯!AL54&lt;&gt;0,'男女　３５～４９才'!AL54/世帯!AL54,0))</f>
        <v/>
      </c>
    </row>
    <row r="55" spans="1:38" x14ac:dyDescent="0.2">
      <c r="A55" s="46" t="s">
        <v>39</v>
      </c>
      <c r="B55" s="33" t="n">
        <f>IF(世帯!B55&lt;&gt;0,'男女　３５～４９才'!B55/世帯!B55,0)</f>
        <v>1.0</v>
      </c>
      <c r="C55" s="33" t="n">
        <f>IF(世帯!C55&lt;&gt;0,'男女　３５～４９才'!C55/世帯!C55,0)</f>
        <v>0.5</v>
      </c>
      <c r="D55" s="33" t="n">
        <f>IF(世帯!D55&lt;&gt;0,'男女　３５～４９才'!D55/世帯!D55,0)</f>
        <v>0.5</v>
      </c>
      <c r="E55" s="33" t="n">
        <f>IF(世帯!E55&lt;&gt;0,'男女　３５～４９才'!E55/世帯!E55,0)</f>
        <v>0.5</v>
      </c>
      <c r="F55" s="33" t="n">
        <f>IF(世帯!F55&lt;&gt;0,'男女　３５～４９才'!F55/世帯!F55,0)</f>
        <v>0.0</v>
      </c>
      <c r="G55" s="33" t="n">
        <f>IF(世帯!G55&lt;&gt;0,'男女　３５～４９才'!G55/世帯!G55,0)</f>
        <v>0.4</v>
      </c>
      <c r="H55" s="33" t="n">
        <f>IF(世帯!H55&lt;&gt;0,'男女　３５～４９才'!H55/世帯!H55,0)</f>
        <v>0.6666666666666667</v>
      </c>
      <c r="I55" s="34" t="n">
        <f>IF(世帯!I55&lt;&gt;0,'男女　３５～４９才'!I55/世帯!I55,0)</f>
        <v>0.5</v>
      </c>
      <c r="J55" s="59" t="n">
        <f>IF(世帯!J55&lt;&gt;0,'男女　３５～４９才'!J55/世帯!J55,0)</f>
        <v>0.5</v>
      </c>
      <c r="K55" s="63" t="str">
        <f>IF('男女　３５～４９才'!K55="","",'男女　３５～４９才'!K55)</f>
        <v/>
      </c>
      <c r="L55" s="59" t="str">
        <f>IF(世帯!L55="","",IF(世帯!L55&lt;&gt;0,'男女　３５～４９才'!L55/世帯!L55,0))</f>
        <v/>
      </c>
      <c r="N55" s="46" t="s">
        <v>39</v>
      </c>
      <c r="O55" s="33" t="n">
        <f>IF(世帯!O55&lt;&gt;0,'男女　３５～４９才'!O55/世帯!O55,0)</f>
        <v>0.5</v>
      </c>
      <c r="P55" s="33" t="n">
        <f>IF(世帯!P55&lt;&gt;0,'男女　３５～４９才'!P55/世帯!P55,0)</f>
        <v>0.33333333333333337</v>
      </c>
      <c r="Q55" s="33" t="n">
        <f>IF(世帯!Q55&lt;&gt;0,'男女　３５～４９才'!Q55/世帯!Q55,0)</f>
        <v>0.5</v>
      </c>
      <c r="R55" s="33" t="n">
        <f>IF(世帯!R55&lt;&gt;0,'男女　３５～４９才'!R55/世帯!R55,0)</f>
        <v>0.25</v>
      </c>
      <c r="S55" s="33" t="n">
        <f>IF(世帯!S55&lt;&gt;0,'男女　３５～４９才'!S55/世帯!S55,0)</f>
        <v>0.4</v>
      </c>
      <c r="T55" s="33" t="n">
        <f>IF(世帯!T55&lt;&gt;0,'男女　３５～４９才'!T55/世帯!T55,0)</f>
        <v>0.5</v>
      </c>
      <c r="U55" s="33" t="n">
        <f>IF(世帯!U55&lt;&gt;0,'男女　３５～４９才'!U55/世帯!U55,0)</f>
        <v>0.33333333333333337</v>
      </c>
      <c r="V55" s="34" t="n">
        <f>IF(世帯!V55&lt;&gt;0,'男女　３５～４９才'!V55/世帯!V55,0)</f>
        <v>0.4</v>
      </c>
      <c r="W55" s="59" t="n">
        <f>IF(世帯!W55&lt;&gt;0,'男女　３５～４９才'!W55/世帯!W55,0)</f>
        <v>0.4</v>
      </c>
      <c r="X55" s="63" t="str">
        <f>IF('男女　３５～４９才'!X55="","",'男女　３５～４９才'!X55)</f>
        <v/>
      </c>
      <c r="Y55" s="59" t="str">
        <f>IF(世帯!Y55="","",IF(世帯!Y55&lt;&gt;0,'男女　３５～４９才'!Y55/世帯!Y55,0))</f>
        <v/>
      </c>
      <c r="Z55" s="5"/>
      <c r="AA55" s="46" t="s">
        <v>39</v>
      </c>
      <c r="AB55" s="33" t="n">
        <f>IF(世帯!AB55&lt;&gt;0,'男女　３５～４９才'!AB55/世帯!AB55,0)</f>
        <v>0.325</v>
      </c>
      <c r="AC55" s="33" t="n">
        <f>IF(世帯!AC55&lt;&gt;0,'男女　３５～４９才'!AC55/世帯!AC55,0)</f>
        <v>0.3023255813953489</v>
      </c>
      <c r="AD55" s="33" t="n">
        <f>IF(世帯!AD55&lt;&gt;0,'男女　３５～４９才'!AD55/世帯!AD55,0)</f>
        <v>0.3170731707317074</v>
      </c>
      <c r="AE55" s="33" t="n">
        <f>IF(世帯!AE55&lt;&gt;0,'男女　３５～４９才'!AE55/世帯!AE55,0)</f>
        <v>0.3076923076923077</v>
      </c>
      <c r="AF55" s="33" t="n">
        <f>IF(世帯!AF55&lt;&gt;0,'男女　３５～４９才'!AF55/世帯!AF55,0)</f>
        <v>0.3181818181818181</v>
      </c>
      <c r="AG55" s="33" t="n">
        <f>IF(世帯!AG55&lt;&gt;0,'男女　３５～４９才'!AG55/世帯!AG55,0)</f>
        <v>0.38</v>
      </c>
      <c r="AH55" s="33" t="n">
        <f>IF(世帯!AH55&lt;&gt;0,'男女　３５～４９才'!AH55/世帯!AH55,0)</f>
        <v>0.27027027027027023</v>
      </c>
      <c r="AI55" s="34" t="n">
        <f>IF(世帯!AI55&lt;&gt;0,'男女　３５～４９才'!AI55/世帯!AI55,0)</f>
        <v>0.30952380952380953</v>
      </c>
      <c r="AJ55" s="59" t="n">
        <f>IF(世帯!AJ55&lt;&gt;0,'男女　３５～４９才'!AJ55/世帯!AJ55,0)</f>
        <v>0.30952380952380953</v>
      </c>
      <c r="AK55" s="63" t="str">
        <f>IF('男女　３５～４９才'!AK55="","",'男女　３５～４９才'!AK55)</f>
        <v/>
      </c>
      <c r="AL55" s="59" t="str">
        <f>IF(世帯!AL55="","",IF(世帯!AL55&lt;&gt;0,'男女　３５～４９才'!AL55/世帯!AL55,0))</f>
        <v/>
      </c>
    </row>
    <row r="56" spans="1:38" x14ac:dyDescent="0.2">
      <c r="A56" s="47" t="s">
        <v>40</v>
      </c>
      <c r="B56" s="60" t="n">
        <f>IF(世帯!B56&lt;&gt;0,'男女　３５～４９才'!B56/世帯!B56,0)</f>
        <v>0.0</v>
      </c>
      <c r="C56" s="60" t="n">
        <f>IF(世帯!C56&lt;&gt;0,'男女　３５～４９才'!C56/世帯!C56,0)</f>
        <v>1.0</v>
      </c>
      <c r="D56" s="60" t="n">
        <f>IF(世帯!D56&lt;&gt;0,'男女　３５～４９才'!D56/世帯!D56,0)</f>
        <v>1.0</v>
      </c>
      <c r="E56" s="60" t="n">
        <f>IF(世帯!E56&lt;&gt;0,'男女　３５～４９才'!E56/世帯!E56,0)</f>
        <v>1.0</v>
      </c>
      <c r="F56" s="60" t="n">
        <f>IF(世帯!F56&lt;&gt;0,'男女　３５～４９才'!F56/世帯!F56,0)</f>
        <v>0.0</v>
      </c>
      <c r="G56" s="60" t="n">
        <f>IF(世帯!G56&lt;&gt;0,'男女　３５～４９才'!G56/世帯!G56,0)</f>
        <v>0.0</v>
      </c>
      <c r="H56" s="60" t="n">
        <f>IF(世帯!H56&lt;&gt;0,'男女　３５～４９才'!H56/世帯!H56,0)</f>
        <v>2.0</v>
      </c>
      <c r="I56" s="61" t="n">
        <f>IF(世帯!I56&lt;&gt;0,'男女　３５～４９才'!I56/世帯!I56,0)</f>
        <v>0.0</v>
      </c>
      <c r="J56" s="62" t="n">
        <f>IF(世帯!J56&lt;&gt;0,'男女　３５～４９才'!J56/世帯!J56,0)</f>
        <v>1.0</v>
      </c>
      <c r="K56" s="64" t="str">
        <f>IF('男女　３５～４９才'!K56="","",'男女　３５～４９才'!K56)</f>
        <v/>
      </c>
      <c r="L56" s="62" t="str">
        <f>IF(世帯!L56="","",IF(世帯!L56&lt;&gt;0,'男女　３５～４９才'!L56/世帯!L56,0))</f>
        <v/>
      </c>
      <c r="N56" s="47" t="s">
        <v>40</v>
      </c>
      <c r="O56" s="60" t="n">
        <f>IF(世帯!O56&lt;&gt;0,'男女　３５～４９才'!O56/世帯!O56,0)</f>
        <v>0.5</v>
      </c>
      <c r="P56" s="60" t="n">
        <f>IF(世帯!P56&lt;&gt;0,'男女　３５～４９才'!P56/世帯!P56,0)</f>
        <v>0.6</v>
      </c>
      <c r="Q56" s="60" t="n">
        <f>IF(世帯!Q56&lt;&gt;0,'男女　３５～４９才'!Q56/世帯!Q56,0)</f>
        <v>0.7499999999999999</v>
      </c>
      <c r="R56" s="60" t="n">
        <f>IF(世帯!R56&lt;&gt;0,'男女　３５～４９才'!R56/世帯!R56,0)</f>
        <v>0.25</v>
      </c>
      <c r="S56" s="60" t="n">
        <f>IF(世帯!S56&lt;&gt;0,'男女　３５～４９才'!S56/世帯!S56,0)</f>
        <v>0.5</v>
      </c>
      <c r="T56" s="60" t="n">
        <f>IF(世帯!T56&lt;&gt;0,'男女　３５～４９才'!T56/世帯!T56,0)</f>
        <v>0.5</v>
      </c>
      <c r="U56" s="60" t="n">
        <f>IF(世帯!U56&lt;&gt;0,'男女　３５～４９才'!U56/世帯!U56,0)</f>
        <v>0.6</v>
      </c>
      <c r="V56" s="61" t="n">
        <f>IF(世帯!V56&lt;&gt;0,'男女　３５～４９才'!V56/世帯!V56,0)</f>
        <v>0.5</v>
      </c>
      <c r="W56" s="62" t="n">
        <f>IF(世帯!W56&lt;&gt;0,'男女　３５～４９才'!W56/世帯!W56,0)</f>
        <v>0.5</v>
      </c>
      <c r="X56" s="64" t="str">
        <f>IF('男女　３５～４９才'!X56="","",'男女　３５～４９才'!X56)</f>
        <v/>
      </c>
      <c r="Y56" s="62" t="str">
        <f>IF(世帯!Y56="","",IF(世帯!Y56&lt;&gt;0,'男女　３５～４９才'!Y56/世帯!Y56,0))</f>
        <v/>
      </c>
      <c r="Z56" s="5"/>
      <c r="AA56" s="47" t="s">
        <v>40</v>
      </c>
      <c r="AB56" s="60" t="n">
        <f>IF(世帯!AB56&lt;&gt;0,'男女　３５～４９才'!AB56/世帯!AB56,0)</f>
        <v>0.21818181818181817</v>
      </c>
      <c r="AC56" s="60" t="n">
        <f>IF(世帯!AC56&lt;&gt;0,'男女　３５～４９才'!AC56/世帯!AC56,0)</f>
        <v>0.24590163934426232</v>
      </c>
      <c r="AD56" s="60" t="n">
        <f>IF(世帯!AD56&lt;&gt;0,'男女　３５～４９才'!AD56/世帯!AD56,0)</f>
        <v>0.25</v>
      </c>
      <c r="AE56" s="60" t="n">
        <f>IF(世帯!AE56&lt;&gt;0,'男女　３５～４９才'!AE56/世帯!AE56,0)</f>
        <v>0.21818181818181817</v>
      </c>
      <c r="AF56" s="60" t="n">
        <f>IF(世帯!AF56&lt;&gt;0,'男女　３５～４９才'!AF56/世帯!AF56,0)</f>
        <v>0.21568627450980396</v>
      </c>
      <c r="AG56" s="60" t="n">
        <f>IF(世帯!AG56&lt;&gt;0,'男女　３５～４９才'!AG56/世帯!AG56,0)</f>
        <v>0.24444444444444446</v>
      </c>
      <c r="AH56" s="60" t="n">
        <f>IF(世帯!AH56&lt;&gt;0,'男女　３５～４９才'!AH56/世帯!AH56,0)</f>
        <v>0.1923076923076923</v>
      </c>
      <c r="AI56" s="61" t="n">
        <f>IF(世帯!AI56&lt;&gt;0,'男女　３５～４９才'!AI56/世帯!AI56,0)</f>
        <v>0.23214285714285718</v>
      </c>
      <c r="AJ56" s="62" t="n">
        <f>IF(世帯!AJ56&lt;&gt;0,'男女　３５～４９才'!AJ56/世帯!AJ56,0)</f>
        <v>0.2222222222222222</v>
      </c>
      <c r="AK56" s="64" t="str">
        <f>IF('男女　３５～４９才'!AK56="","",'男女　３５～４９才'!AK56)</f>
        <v/>
      </c>
      <c r="AL56" s="62" t="str">
        <f>IF(世帯!AL56="","",IF(世帯!AL56&lt;&gt;0,'男女　３５～４９才'!AL56/世帯!AL56,0))</f>
        <v/>
      </c>
    </row>
    <row r="57" spans="1:38" x14ac:dyDescent="0.2"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8" x14ac:dyDescent="0.2">
      <c r="A58" s="40" t="s">
        <v>883</v>
      </c>
      <c r="B58" s="41" t="s">
        <v>4</v>
      </c>
      <c r="C58" s="41" t="s">
        <v>5</v>
      </c>
      <c r="D58" s="41" t="s">
        <v>6</v>
      </c>
      <c r="E58" s="41" t="s">
        <v>7</v>
      </c>
      <c r="F58" s="41" t="s">
        <v>8</v>
      </c>
      <c r="G58" s="41" t="s">
        <v>9</v>
      </c>
      <c r="H58" s="41" t="s">
        <v>10</v>
      </c>
      <c r="I58" s="42" t="s">
        <v>11</v>
      </c>
      <c r="J58" s="43" t="s">
        <v>12</v>
      </c>
      <c r="K58" s="2"/>
      <c r="L58" s="2"/>
      <c r="N58" s="40" t="s">
        <v>884</v>
      </c>
      <c r="O58" s="41" t="s">
        <v>4</v>
      </c>
      <c r="P58" s="41" t="s">
        <v>5</v>
      </c>
      <c r="Q58" s="41" t="s">
        <v>6</v>
      </c>
      <c r="R58" s="41" t="s">
        <v>7</v>
      </c>
      <c r="S58" s="41" t="s">
        <v>8</v>
      </c>
      <c r="T58" s="41" t="s">
        <v>9</v>
      </c>
      <c r="U58" s="41" t="s">
        <v>10</v>
      </c>
      <c r="V58" s="42" t="s">
        <v>11</v>
      </c>
      <c r="W58" s="43" t="s">
        <v>12</v>
      </c>
      <c r="X58" s="2"/>
      <c r="Y58" s="2"/>
      <c r="Z58" s="5"/>
      <c r="AA58" s="22"/>
      <c r="AB58" s="3"/>
      <c r="AC58" s="3"/>
      <c r="AD58" s="3"/>
      <c r="AE58" s="3"/>
      <c r="AF58" s="3"/>
      <c r="AG58" s="3"/>
      <c r="AH58" s="3"/>
      <c r="AI58" s="4"/>
      <c r="AJ58" s="4"/>
      <c r="AK58" s="2"/>
      <c r="AL58" s="2"/>
    </row>
    <row r="59" spans="1:38" x14ac:dyDescent="0.2">
      <c r="A59" s="44" t="s">
        <v>16</v>
      </c>
      <c r="B59" s="33" t="n">
        <f>IF(世帯!B59&lt;&gt;0,'男女　３５～４９才'!B59/世帯!B59,0)</f>
        <v>0.33333333333333337</v>
      </c>
      <c r="C59" s="33" t="n">
        <f>IF(世帯!C59&lt;&gt;0,'男女　３５～４９才'!C59/世帯!C59,0)</f>
        <v>0.351063829787234</v>
      </c>
      <c r="D59" s="33" t="n">
        <f>IF(世帯!D59&lt;&gt;0,'男女　３５～４９才'!D59/世帯!D59,0)</f>
        <v>0.3548387096774193</v>
      </c>
      <c r="E59" s="33" t="n">
        <f>IF(世帯!E59&lt;&gt;0,'男女　３５～４９才'!E59/世帯!E59,0)</f>
        <v>0.37362637362637363</v>
      </c>
      <c r="F59" s="33" t="n">
        <f>IF(世帯!F59&lt;&gt;0,'男女　３５～４９才'!F59/世帯!F59,0)</f>
        <v>0.3372093023255814</v>
      </c>
      <c r="G59" s="33" t="n">
        <f>IF(世帯!G59&lt;&gt;0,'男女　３５～４９才'!G59/世帯!G59,0)</f>
        <v>0.34615384615384615</v>
      </c>
      <c r="H59" s="33" t="n">
        <f>IF(世帯!H59&lt;&gt;0,'男女　３５～４９才'!H59/世帯!H59,0)</f>
        <v>0.38461538461538464</v>
      </c>
      <c r="I59" s="34" t="n">
        <f>IF(世帯!I59&lt;&gt;0,'男女　３５～４９才'!I59/世帯!I59,0)</f>
        <v>0.3478260869565218</v>
      </c>
      <c r="J59" s="59" t="n">
        <f>IF(世帯!J59&lt;&gt;0,'男女　３５～４９才'!J59/世帯!J59,0)</f>
        <v>0.3544303797468354</v>
      </c>
      <c r="K59" s="6"/>
      <c r="L59" s="6"/>
      <c r="N59" s="44" t="s">
        <v>16</v>
      </c>
      <c r="O59" s="33" t="n">
        <f>IF(世帯!O59&lt;&gt;0,'男女　３５～４９才'!O59/世帯!O59,0)</f>
        <v>0.32978723404255317</v>
      </c>
      <c r="P59" s="33" t="n">
        <f>IF(世帯!P59&lt;&gt;0,'男女　３５～４９才'!P59/世帯!P59,0)</f>
        <v>0.3478260869565218</v>
      </c>
      <c r="Q59" s="33" t="n">
        <f>IF(世帯!Q59&lt;&gt;0,'男女　３５～４９才'!Q59/世帯!Q59,0)</f>
        <v>0.3516483516483517</v>
      </c>
      <c r="R59" s="33" t="n">
        <f>IF(世帯!R59&lt;&gt;0,'男女　３５～４９才'!R59/世帯!R59,0)</f>
        <v>0.37078651685393255</v>
      </c>
      <c r="S59" s="33" t="n">
        <f>IF(世帯!S59&lt;&gt;0,'男女　３５～４９才'!S59/世帯!S59,0)</f>
        <v>0.3411764705882353</v>
      </c>
      <c r="T59" s="33" t="n">
        <f>IF(世帯!T59&lt;&gt;0,'男女　３５～４９才'!T59/世帯!T59,0)</f>
        <v>0.36</v>
      </c>
      <c r="U59" s="33" t="n">
        <f>IF(世帯!U59&lt;&gt;0,'男女　３５～４９才'!U59/世帯!U59,0)</f>
        <v>0.4117647058823529</v>
      </c>
      <c r="V59" s="34" t="n">
        <f>IF(世帯!V59&lt;&gt;0,'男女　３５～４９才'!V59/世帯!V59,0)</f>
        <v>0.34065934065934067</v>
      </c>
      <c r="W59" s="59" t="n">
        <f>IF(世帯!W59&lt;&gt;0,'男女　３５～４９才'!W59/世帯!W59,0)</f>
        <v>0.35064935064935066</v>
      </c>
      <c r="X59" s="6"/>
      <c r="Y59" s="6"/>
      <c r="Z59" s="5"/>
      <c r="AA59" s="9"/>
      <c r="AB59" s="25"/>
      <c r="AC59" s="25"/>
      <c r="AD59" s="25"/>
      <c r="AE59" s="25"/>
      <c r="AF59" s="25"/>
      <c r="AG59" s="25"/>
      <c r="AH59" s="25"/>
      <c r="AI59" s="25"/>
      <c r="AJ59" s="25"/>
      <c r="AK59" s="6"/>
      <c r="AL59" s="6"/>
    </row>
    <row r="60" spans="1:38" x14ac:dyDescent="0.2">
      <c r="A60" s="46" t="s">
        <v>17</v>
      </c>
      <c r="B60" s="33" t="n">
        <f>IF(世帯!B60&lt;&gt;0,'男女　３５～４９才'!B60/世帯!B60,0)</f>
        <v>0.4724770642201835</v>
      </c>
      <c r="C60" s="33" t="n">
        <f>IF(世帯!C60&lt;&gt;0,'男女　３５～４９才'!C60/世帯!C60,0)</f>
        <v>0.4746543778801844</v>
      </c>
      <c r="D60" s="33" t="n">
        <f>IF(世帯!D60&lt;&gt;0,'男女　３５～４９才'!D60/世帯!D60,0)</f>
        <v>0.485981308411215</v>
      </c>
      <c r="E60" s="33" t="n">
        <f>IF(世帯!E60&lt;&gt;0,'男女　３５～４９才'!E60/世帯!E60,0)</f>
        <v>0.4954128440366973</v>
      </c>
      <c r="F60" s="33" t="n">
        <f>IF(世帯!F60&lt;&gt;0,'男女　３５～４９才'!F60/世帯!F60,0)</f>
        <v>0.44334975369458124</v>
      </c>
      <c r="G60" s="33" t="n">
        <f>IF(世帯!G60&lt;&gt;0,'男女　３５～４９才'!G60/世帯!G60,0)</f>
        <v>0.3450704225352113</v>
      </c>
      <c r="H60" s="33" t="n">
        <f>IF(世帯!H60&lt;&gt;0,'男女　３５～４９才'!H60/世帯!H60,0)</f>
        <v>0.3</v>
      </c>
      <c r="I60" s="34" t="n">
        <f>IF(世帯!I60&lt;&gt;0,'男女　３５～４９才'!I60/世帯!I60,0)</f>
        <v>0.4766355140186916</v>
      </c>
      <c r="J60" s="59" t="n">
        <f>IF(世帯!J60&lt;&gt;0,'男女　３５～４９才'!J60/世帯!J60,0)</f>
        <v>0.4450261780104712</v>
      </c>
      <c r="K60" s="6"/>
      <c r="L60" s="6"/>
      <c r="N60" s="46" t="s">
        <v>17</v>
      </c>
      <c r="O60" s="33" t="n">
        <f>IF(世帯!O60&lt;&gt;0,'男女　３５～４９才'!O60/世帯!O60,0)</f>
        <v>0.4691943127962085</v>
      </c>
      <c r="P60" s="33" t="n">
        <f>IF(世帯!P60&lt;&gt;0,'男女　３５～４９才'!P60/世帯!P60,0)</f>
        <v>0.47619047619047616</v>
      </c>
      <c r="Q60" s="33" t="n">
        <f>IF(世帯!Q60&lt;&gt;0,'男女　３５～４９才'!Q60/世帯!Q60,0)</f>
        <v>0.48792270531400966</v>
      </c>
      <c r="R60" s="33" t="n">
        <f>IF(世帯!R60&lt;&gt;0,'男女　３５～４９才'!R60/世帯!R60,0)</f>
        <v>0.5</v>
      </c>
      <c r="S60" s="33" t="n">
        <f>IF(世帯!S60&lt;&gt;0,'男女　３５～４９才'!S60/世帯!S60,0)</f>
        <v>0.43939393939393934</v>
      </c>
      <c r="T60" s="33" t="n">
        <f>IF(世帯!T60&lt;&gt;0,'男女　３５～４９才'!T60/世帯!T60,0)</f>
        <v>0.3525179856115108</v>
      </c>
      <c r="U60" s="33" t="n">
        <f>IF(世帯!U60&lt;&gt;0,'男女　３５～４９才'!U60/世帯!U60,0)</f>
        <v>0.30158730158730157</v>
      </c>
      <c r="V60" s="34" t="n">
        <f>IF(世帯!V60&lt;&gt;0,'男女　３５～４９才'!V60/世帯!V60,0)</f>
        <v>0.47596153846153844</v>
      </c>
      <c r="W60" s="59" t="n">
        <f>IF(世帯!W60&lt;&gt;0,'男女　３５～４９才'!W60/世帯!W60,0)</f>
        <v>0.4408602150537634</v>
      </c>
      <c r="X60" s="6"/>
      <c r="Y60" s="6"/>
      <c r="Z60" s="5"/>
      <c r="AA60" s="9"/>
      <c r="AB60" s="25"/>
      <c r="AC60" s="25"/>
      <c r="AD60" s="25"/>
      <c r="AE60" s="25"/>
      <c r="AF60" s="25"/>
      <c r="AG60" s="25"/>
      <c r="AH60" s="25"/>
      <c r="AI60" s="25"/>
      <c r="AJ60" s="25"/>
      <c r="AK60" s="6"/>
      <c r="AL60" s="6"/>
    </row>
    <row r="61" spans="1:38" x14ac:dyDescent="0.2">
      <c r="A61" s="46" t="s">
        <v>18</v>
      </c>
      <c r="B61" s="33" t="n">
        <f>IF(世帯!B61&lt;&gt;0,'男女　３５～４９才'!B61/世帯!B61,0)</f>
        <v>0.5</v>
      </c>
      <c r="C61" s="33" t="n">
        <f>IF(世帯!C61&lt;&gt;0,'男女　３５～４９才'!C61/世帯!C61,0)</f>
        <v>0.5103448275862069</v>
      </c>
      <c r="D61" s="33" t="n">
        <f>IF(世帯!D61&lt;&gt;0,'男女　３５～４９才'!D61/世帯!D61,0)</f>
        <v>0.5102739726027398</v>
      </c>
      <c r="E61" s="33" t="n">
        <f>IF(世帯!E61&lt;&gt;0,'男女　３５～４９才'!E61/世帯!E61,0)</f>
        <v>0.5206896551724138</v>
      </c>
      <c r="F61" s="33" t="n">
        <f>IF(世帯!F61&lt;&gt;0,'男女　３５～４９才'!F61/世帯!F61,0)</f>
        <v>0.46785714285714286</v>
      </c>
      <c r="G61" s="33" t="n">
        <f>IF(世帯!G61&lt;&gt;0,'男女　３５～４９才'!G61/世帯!G61,0)</f>
        <v>0.36563876651982385</v>
      </c>
      <c r="H61" s="33" t="n">
        <f>IF(世帯!H61&lt;&gt;0,'男女　３５～４９才'!H61/世帯!H61,0)</f>
        <v>0.32173913043478264</v>
      </c>
      <c r="I61" s="34" t="n">
        <f>IF(世帯!I61&lt;&gt;0,'男女　３５～４９才'!I61/世帯!I61,0)</f>
        <v>0.5034722222222222</v>
      </c>
      <c r="J61" s="59" t="n">
        <f>IF(世帯!J61&lt;&gt;0,'男女　３５～４９才'!J61/世帯!J61,0)</f>
        <v>0.46125461254612543</v>
      </c>
      <c r="K61" s="6"/>
      <c r="L61" s="6"/>
      <c r="N61" s="46" t="s">
        <v>18</v>
      </c>
      <c r="O61" s="33" t="n">
        <f>IF(世帯!O61&lt;&gt;0,'男女　３５～４９才'!O61/世帯!O61,0)</f>
        <v>0.49650349650349646</v>
      </c>
      <c r="P61" s="33" t="n">
        <f>IF(世帯!P61&lt;&gt;0,'男女　３５～４９才'!P61/世帯!P61,0)</f>
        <v>0.506993006993007</v>
      </c>
      <c r="Q61" s="33" t="n">
        <f>IF(世帯!Q61&lt;&gt;0,'男女　３５～４９才'!Q61/世帯!Q61,0)</f>
        <v>0.5069444444444444</v>
      </c>
      <c r="R61" s="33" t="n">
        <f>IF(世帯!R61&lt;&gt;0,'男女　３５～４９才'!R61/世帯!R61,0)</f>
        <v>0.5174825174825175</v>
      </c>
      <c r="S61" s="33" t="n">
        <f>IF(世帯!S61&lt;&gt;0,'男女　３５～４９才'!S61/世帯!S61,0)</f>
        <v>0.4620938628158845</v>
      </c>
      <c r="T61" s="33" t="n">
        <f>IF(世帯!T61&lt;&gt;0,'男女　３５～４９才'!T61/世帯!T61,0)</f>
        <v>0.36</v>
      </c>
      <c r="U61" s="33" t="n">
        <f>IF(世帯!U61&lt;&gt;0,'男女　３５～４９才'!U61/世帯!U61,0)</f>
        <v>0.3066666666666667</v>
      </c>
      <c r="V61" s="34" t="n">
        <f>IF(世帯!V61&lt;&gt;0,'男女　３５～４９才'!V61/世帯!V61,0)</f>
        <v>0.4982456140350877</v>
      </c>
      <c r="W61" s="59" t="n">
        <f>IF(世帯!W61&lt;&gt;0,'男女　３５～４９才'!W61/世帯!W61,0)</f>
        <v>0.45692883895131087</v>
      </c>
      <c r="X61" s="6"/>
      <c r="Y61" s="6"/>
      <c r="Z61" s="5"/>
      <c r="AA61" s="9"/>
      <c r="AB61" s="25"/>
      <c r="AC61" s="25"/>
      <c r="AD61" s="25"/>
      <c r="AE61" s="25"/>
      <c r="AF61" s="25"/>
      <c r="AG61" s="25"/>
      <c r="AH61" s="25"/>
      <c r="AI61" s="25"/>
      <c r="AJ61" s="25"/>
      <c r="AK61" s="6"/>
      <c r="AL61" s="6"/>
    </row>
    <row r="62" spans="1:38" x14ac:dyDescent="0.2">
      <c r="A62" s="46" t="s">
        <v>19</v>
      </c>
      <c r="B62" s="33" t="n">
        <f>IF(世帯!B62&lt;&gt;0,'男女　３５～４９才'!B62/世帯!B62,0)</f>
        <v>0.3625498007968127</v>
      </c>
      <c r="C62" s="33" t="n">
        <f>IF(世帯!C62&lt;&gt;0,'男女　３５～４９才'!C62/世帯!C62,0)</f>
        <v>0.37959183673469393</v>
      </c>
      <c r="D62" s="33" t="n">
        <f>IF(世帯!D62&lt;&gt;0,'男女　３５～４９才'!D62/世帯!D62,0)</f>
        <v>0.38095238095238093</v>
      </c>
      <c r="E62" s="33" t="n">
        <f>IF(世帯!E62&lt;&gt;0,'男女　３５～４９才'!E62/世帯!E62,0)</f>
        <v>0.36538461538461536</v>
      </c>
      <c r="F62" s="33" t="n">
        <f>IF(世帯!F62&lt;&gt;0,'男女　３５～４９才'!F62/世帯!F62,0)</f>
        <v>0.3565891472868217</v>
      </c>
      <c r="G62" s="33" t="n">
        <f>IF(世帯!G62&lt;&gt;0,'男女　３５～４９才'!G62/世帯!G62,0)</f>
        <v>0.3503937007874016</v>
      </c>
      <c r="H62" s="33" t="n">
        <f>IF(世帯!H62&lt;&gt;0,'男女　３５～４９才'!H62/世帯!H62,0)</f>
        <v>0.3333333333333333</v>
      </c>
      <c r="I62" s="34" t="n">
        <f>IF(世帯!I62&lt;&gt;0,'男女　３５～４９才'!I62/世帯!I62,0)</f>
        <v>0.36758893280632415</v>
      </c>
      <c r="J62" s="59" t="n">
        <f>IF(世帯!J62&lt;&gt;0,'男女　３５～４９才'!J62/世帯!J62,0)</f>
        <v>0.36015325670498083</v>
      </c>
      <c r="K62" s="6"/>
      <c r="L62" s="6"/>
      <c r="N62" s="46" t="s">
        <v>19</v>
      </c>
      <c r="O62" s="33" t="n">
        <f>IF(世帯!O62&lt;&gt;0,'男女　３５～４９才'!O62/世帯!O62,0)</f>
        <v>0.36820083682008375</v>
      </c>
      <c r="P62" s="33" t="n">
        <f>IF(世帯!P62&lt;&gt;0,'男女　３５～４９才'!P62/世帯!P62,0)</f>
        <v>0.3922413793103448</v>
      </c>
      <c r="Q62" s="33" t="n">
        <f>IF(世帯!Q62&lt;&gt;0,'男女　３５～４９才'!Q62/世帯!Q62,0)</f>
        <v>0.39166666666666666</v>
      </c>
      <c r="R62" s="33" t="n">
        <f>IF(世帯!R62&lt;&gt;0,'男女　３５～４９才'!R62/世帯!R62,0)</f>
        <v>0.3780487804878049</v>
      </c>
      <c r="S62" s="33" t="n">
        <f>IF(世帯!S62&lt;&gt;0,'男女　３５～４９才'!S62/世帯!S62,0)</f>
        <v>0.36885245901639346</v>
      </c>
      <c r="T62" s="33" t="n">
        <f>IF(世帯!T62&lt;&gt;0,'男女　３５～４９才'!T62/世帯!T62,0)</f>
        <v>0.3426294820717131</v>
      </c>
      <c r="U62" s="33" t="n">
        <f>IF(世帯!U62&lt;&gt;0,'男女　３５～４９才'!U62/世帯!U62,0)</f>
        <v>0.30272108843537415</v>
      </c>
      <c r="V62" s="34" t="n">
        <f>IF(世帯!V62&lt;&gt;0,'男女　３５～４９才'!V62/世帯!V62,0)</f>
        <v>0.37916666666666665</v>
      </c>
      <c r="W62" s="59" t="n">
        <f>IF(世帯!W62&lt;&gt;0,'男女　３５～４９才'!W62/世帯!W62,0)</f>
        <v>0.36</v>
      </c>
      <c r="X62" s="6"/>
      <c r="Y62" s="6"/>
      <c r="Z62" s="5"/>
      <c r="AA62" s="9"/>
      <c r="AB62" s="25"/>
      <c r="AC62" s="25"/>
      <c r="AD62" s="25"/>
      <c r="AE62" s="25"/>
      <c r="AF62" s="25"/>
      <c r="AG62" s="25"/>
      <c r="AH62" s="25"/>
      <c r="AI62" s="25"/>
      <c r="AJ62" s="25"/>
      <c r="AK62" s="6"/>
      <c r="AL62" s="6"/>
    </row>
    <row r="63" spans="1:38" x14ac:dyDescent="0.2">
      <c r="A63" s="46" t="s">
        <v>20</v>
      </c>
      <c r="B63" s="33" t="n">
        <f>IF(世帯!B63&lt;&gt;0,'男女　３５～４９才'!B63/世帯!B63,0)</f>
        <v>0.288659793814433</v>
      </c>
      <c r="C63" s="33" t="n">
        <f>IF(世帯!C63&lt;&gt;0,'男女　３５～４９才'!C63/世帯!C63,0)</f>
        <v>0.29896907216494845</v>
      </c>
      <c r="D63" s="33" t="n">
        <f>IF(世帯!D63&lt;&gt;0,'男女　３５～４９才'!D63/世帯!D63,0)</f>
        <v>0.31182795698924726</v>
      </c>
      <c r="E63" s="33" t="n">
        <f>IF(世帯!E63&lt;&gt;0,'男女　３５～４９才'!E63/世帯!E63,0)</f>
        <v>0.30303030303030304</v>
      </c>
      <c r="F63" s="33" t="n">
        <f>IF(世帯!F63&lt;&gt;0,'男女　３５～４９才'!F63/世帯!F63,0)</f>
        <v>0.3230769230769231</v>
      </c>
      <c r="G63" s="33" t="n">
        <f>IF(世帯!G63&lt;&gt;0,'男女　３５～４９才'!G63/世帯!G63,0)</f>
        <v>0.386046511627907</v>
      </c>
      <c r="H63" s="33" t="n">
        <f>IF(世帯!H63&lt;&gt;0,'男女　３５～４９才'!H63/世帯!H63,0)</f>
        <v>0.34317343173431736</v>
      </c>
      <c r="I63" s="34" t="n">
        <f>IF(世帯!I63&lt;&gt;0,'男女　３５～４９才'!I63/世帯!I63,0)</f>
        <v>0.305699481865285</v>
      </c>
      <c r="J63" s="59" t="n">
        <f>IF(世帯!J63&lt;&gt;0,'男女　３５～４９才'!J63/世帯!J63,0)</f>
        <v>0.32057416267942584</v>
      </c>
      <c r="K63" s="6"/>
      <c r="L63" s="6"/>
      <c r="N63" s="46" t="s">
        <v>20</v>
      </c>
      <c r="O63" s="33" t="n">
        <f>IF(世帯!O63&lt;&gt;0,'男女　３５～４９才'!O63/世帯!O63,0)</f>
        <v>0.2894736842105263</v>
      </c>
      <c r="P63" s="33" t="n">
        <f>IF(世帯!P63&lt;&gt;0,'男女　３５～４９才'!P63/世帯!P63,0)</f>
        <v>0.30319148936170215</v>
      </c>
      <c r="Q63" s="33" t="n">
        <f>IF(世帯!Q63&lt;&gt;0,'男女　３５～４９才'!Q63/世帯!Q63,0)</f>
        <v>0.3149171270718232</v>
      </c>
      <c r="R63" s="33" t="n">
        <f>IF(世帯!R63&lt;&gt;0,'男女　３５～４９才'!R63/世帯!R63,0)</f>
        <v>0.3125</v>
      </c>
      <c r="S63" s="33" t="n">
        <f>IF(世帯!S63&lt;&gt;0,'男女　３５～４９才'!S63/世帯!S63,0)</f>
        <v>0.32275132275132273</v>
      </c>
      <c r="T63" s="33" t="n">
        <f>IF(世帯!T63&lt;&gt;0,'男女　３５～４９才'!T63/世帯!T63,0)</f>
        <v>0.3601895734597156</v>
      </c>
      <c r="U63" s="33" t="n">
        <f>IF(世帯!U63&lt;&gt;0,'男女　３５～４９才'!U63/世帯!U63,0)</f>
        <v>0.32584269662921345</v>
      </c>
      <c r="V63" s="34" t="n">
        <f>IF(世帯!V63&lt;&gt;0,'男女　３５～４９才'!V63/世帯!V63,0)</f>
        <v>0.30851063829787234</v>
      </c>
      <c r="W63" s="59" t="n">
        <f>IF(世帯!W63&lt;&gt;0,'男女　３５～４９才'!W63/世帯!W63,0)</f>
        <v>0.3186274509803922</v>
      </c>
      <c r="X63" s="6"/>
      <c r="Y63" s="6"/>
      <c r="Z63" s="5"/>
      <c r="AA63" s="9"/>
      <c r="AB63" s="25"/>
      <c r="AC63" s="25"/>
      <c r="AD63" s="25"/>
      <c r="AE63" s="25"/>
      <c r="AF63" s="25"/>
      <c r="AG63" s="25"/>
      <c r="AH63" s="25"/>
      <c r="AI63" s="25"/>
      <c r="AJ63" s="25"/>
      <c r="AK63" s="6"/>
      <c r="AL63" s="6"/>
    </row>
    <row r="64" spans="1:38" x14ac:dyDescent="0.2">
      <c r="A64" s="46" t="s">
        <v>21</v>
      </c>
      <c r="B64" s="33" t="n">
        <f>IF(世帯!B64&lt;&gt;0,'男女　３５～４９才'!B64/世帯!B64,0)</f>
        <v>0.2846153846153846</v>
      </c>
      <c r="C64" s="33" t="n">
        <f>IF(世帯!C64&lt;&gt;0,'男女　３５～４９才'!C64/世帯!C64,0)</f>
        <v>0.291044776119403</v>
      </c>
      <c r="D64" s="33" t="n">
        <f>IF(世帯!D64&lt;&gt;0,'男女　３５～４９才'!D64/世帯!D64,0)</f>
        <v>0.30081300813008127</v>
      </c>
      <c r="E64" s="33" t="n">
        <f>IF(世帯!E64&lt;&gt;0,'男女　３５～４９才'!E64/世帯!E64,0)</f>
        <v>0.28125</v>
      </c>
      <c r="F64" s="33" t="n">
        <f>IF(世帯!F64&lt;&gt;0,'男女　３５～４９才'!F64/世帯!F64,0)</f>
        <v>0.3076923076923077</v>
      </c>
      <c r="G64" s="33" t="n">
        <f>IF(世帯!G64&lt;&gt;0,'男女　３５～４９才'!G64/世帯!G64,0)</f>
        <v>0.40384615384615385</v>
      </c>
      <c r="H64" s="33" t="n">
        <f>IF(世帯!H64&lt;&gt;0,'男女　３５～４９才'!H64/世帯!H64,0)</f>
        <v>0.3459715639810426</v>
      </c>
      <c r="I64" s="34" t="n">
        <f>IF(世帯!I64&lt;&gt;0,'男女　３５～４９才'!I64/世帯!I64,0)</f>
        <v>0.2945736434108527</v>
      </c>
      <c r="J64" s="59" t="n">
        <f>IF(世帯!J64&lt;&gt;0,'男女　３５～４９才'!J64/世帯!J64,0)</f>
        <v>0.3219178082191781</v>
      </c>
      <c r="K64" s="6"/>
      <c r="L64" s="6"/>
      <c r="N64" s="46" t="s">
        <v>21</v>
      </c>
      <c r="O64" s="33" t="n">
        <f>IF(世帯!O64&lt;&gt;0,'男女　３５～４９才'!O64/世帯!O64,0)</f>
        <v>0.2890625</v>
      </c>
      <c r="P64" s="33" t="n">
        <f>IF(世帯!P64&lt;&gt;0,'男女　３５～４９才'!P64/世帯!P64,0)</f>
        <v>0.2900763358778626</v>
      </c>
      <c r="Q64" s="33" t="n">
        <f>IF(世帯!Q64&lt;&gt;0,'男女　３５～４９才'!Q64/世帯!Q64,0)</f>
        <v>0.30833333333333335</v>
      </c>
      <c r="R64" s="33" t="n">
        <f>IF(世帯!R64&lt;&gt;0,'男女　３５～４９才'!R64/世帯!R64,0)</f>
        <v>0.28800000000000003</v>
      </c>
      <c r="S64" s="33" t="n">
        <f>IF(世帯!S64&lt;&gt;0,'男女　３５～４９才'!S64/世帯!S64,0)</f>
        <v>0.30708661417322836</v>
      </c>
      <c r="T64" s="33" t="n">
        <f>IF(世帯!T64&lt;&gt;0,'男女　３５～４９才'!T64/世帯!T64,0)</f>
        <v>0.3841059602649007</v>
      </c>
      <c r="U64" s="33" t="n">
        <f>IF(世帯!U64&lt;&gt;0,'男女　３５～４９才'!U64/世帯!U64,0)</f>
        <v>0.3429951690821256</v>
      </c>
      <c r="V64" s="34" t="n">
        <f>IF(世帯!V64&lt;&gt;0,'男女　３５～４９才'!V64/世帯!V64,0)</f>
        <v>0.2913385826771654</v>
      </c>
      <c r="W64" s="59" t="n">
        <f>IF(世帯!W64&lt;&gt;0,'男女　３５～４９才'!W64/世帯!W64,0)</f>
        <v>0.3146853146853147</v>
      </c>
      <c r="X64" s="6"/>
      <c r="Y64" s="6"/>
      <c r="Z64" s="5"/>
      <c r="AA64" s="9"/>
      <c r="AB64" s="25"/>
      <c r="AC64" s="25"/>
      <c r="AD64" s="25"/>
      <c r="AE64" s="25"/>
      <c r="AF64" s="25"/>
      <c r="AG64" s="25"/>
      <c r="AH64" s="25"/>
      <c r="AI64" s="25"/>
      <c r="AJ64" s="25"/>
      <c r="AK64" s="6"/>
      <c r="AL64" s="6"/>
    </row>
    <row r="65" spans="1:38" x14ac:dyDescent="0.2">
      <c r="A65" s="46" t="s">
        <v>22</v>
      </c>
      <c r="B65" s="33" t="n">
        <f>IF(世帯!B65&lt;&gt;0,'男女　３５～４９才'!B65/世帯!B65,0)</f>
        <v>0.23076923076923078</v>
      </c>
      <c r="C65" s="33" t="n">
        <f>IF(世帯!C65&lt;&gt;0,'男女　３５～４９才'!C65/世帯!C65,0)</f>
        <v>0.2426470588235294</v>
      </c>
      <c r="D65" s="33" t="n">
        <f>IF(世帯!D65&lt;&gt;0,'男女　３５～４９才'!D65/世帯!D65,0)</f>
        <v>0.22656249999999997</v>
      </c>
      <c r="E65" s="33" t="n">
        <f>IF(世帯!E65&lt;&gt;0,'男女　３５～４９才'!E65/世帯!E65,0)</f>
        <v>0.2283464566929134</v>
      </c>
      <c r="F65" s="33" t="n">
        <f>IF(世帯!F65&lt;&gt;0,'男女　３５～４９才'!F65/世帯!F65,0)</f>
        <v>0.2713178294573643</v>
      </c>
      <c r="G65" s="33" t="n">
        <f>IF(世帯!G65&lt;&gt;0,'男女　３５～４９才'!G65/世帯!G65,0)</f>
        <v>0.3566433566433566</v>
      </c>
      <c r="H65" s="33" t="n">
        <f>IF(世帯!H65&lt;&gt;0,'男女　３５～４９才'!H65/世帯!H65,0)</f>
        <v>0.3191489361702127</v>
      </c>
      <c r="I65" s="34" t="n">
        <f>IF(世帯!I65&lt;&gt;0,'男女　３５～４９才'!I65/世帯!I65,0)</f>
        <v>0.23846153846153847</v>
      </c>
      <c r="J65" s="59" t="n">
        <f>IF(世帯!J65&lt;&gt;0,'男女　３５～４９才'!J65/世帯!J65,0)</f>
        <v>0.2695035460992908</v>
      </c>
      <c r="K65" s="6"/>
      <c r="L65" s="6"/>
      <c r="N65" s="46" t="s">
        <v>22</v>
      </c>
      <c r="O65" s="33" t="n">
        <f>IF(世帯!O65&lt;&gt;0,'男女　３５～４９才'!O65/世帯!O65,0)</f>
        <v>0.22656249999999997</v>
      </c>
      <c r="P65" s="33" t="n">
        <f>IF(世帯!P65&lt;&gt;0,'男女　３５～４９才'!P65/世帯!P65,0)</f>
        <v>0.24060150375939848</v>
      </c>
      <c r="Q65" s="33" t="n">
        <f>IF(世帯!Q65&lt;&gt;0,'男女　３５～４９才'!Q65/世帯!Q65,0)</f>
        <v>0.23015873015873015</v>
      </c>
      <c r="R65" s="33" t="n">
        <f>IF(世帯!R65&lt;&gt;0,'男女　３５～４９才'!R65/世帯!R65,0)</f>
        <v>0.23387096774193547</v>
      </c>
      <c r="S65" s="33" t="n">
        <f>IF(世帯!S65&lt;&gt;0,'男女　３５～４９才'!S65/世帯!S65,0)</f>
        <v>0.2734375</v>
      </c>
      <c r="T65" s="33" t="n">
        <f>IF(世帯!T65&lt;&gt;0,'男女　３５～４９才'!T65/世帯!T65,0)</f>
        <v>0.34814814814814815</v>
      </c>
      <c r="U65" s="33" t="n">
        <f>IF(世帯!U65&lt;&gt;0,'男女　３５～４９才'!U65/世帯!U65,0)</f>
        <v>0.32584269662921345</v>
      </c>
      <c r="V65" s="34" t="n">
        <f>IF(世帯!V65&lt;&gt;0,'男女　３５～４９才'!V65/世帯!V65,0)</f>
        <v>0.2421875</v>
      </c>
      <c r="W65" s="59" t="n">
        <f>IF(世帯!W65&lt;&gt;0,'男女　３５～４９才'!W65/世帯!W65,0)</f>
        <v>0.27007299270072993</v>
      </c>
      <c r="X65" s="6"/>
      <c r="Y65" s="6"/>
      <c r="Z65" s="5"/>
      <c r="AA65" s="9"/>
      <c r="AB65" s="25"/>
      <c r="AC65" s="25"/>
      <c r="AD65" s="25"/>
      <c r="AE65" s="25"/>
      <c r="AF65" s="25"/>
      <c r="AG65" s="25"/>
      <c r="AH65" s="25"/>
      <c r="AI65" s="25"/>
      <c r="AJ65" s="25"/>
      <c r="AK65" s="6"/>
      <c r="AL65" s="6"/>
    </row>
    <row r="66" spans="1:38" x14ac:dyDescent="0.2">
      <c r="A66" s="46" t="s">
        <v>23</v>
      </c>
      <c r="B66" s="33" t="n">
        <f>IF(世帯!B66&lt;&gt;0,'男女　３５～４９才'!B66/世帯!B66,0)</f>
        <v>0.23563218390804597</v>
      </c>
      <c r="C66" s="33" t="n">
        <f>IF(世帯!C66&lt;&gt;0,'男女　３５～４９才'!C66/世帯!C66,0)</f>
        <v>0.2298850574712644</v>
      </c>
      <c r="D66" s="33" t="n">
        <f>IF(世帯!D66&lt;&gt;0,'男女　３５～４９才'!D66/世帯!D66,0)</f>
        <v>0.244047619047619</v>
      </c>
      <c r="E66" s="33" t="n">
        <f>IF(世帯!E66&lt;&gt;0,'男女　３５～４９才'!E66/世帯!E66,0)</f>
        <v>0.23493975903614456</v>
      </c>
      <c r="F66" s="33" t="n">
        <f>IF(世帯!F66&lt;&gt;0,'男女　３５～４９才'!F66/世帯!F66,0)</f>
        <v>0.2590361445783132</v>
      </c>
      <c r="G66" s="33" t="n">
        <f>IF(世帯!G66&lt;&gt;0,'男女　３５～４９才'!G66/世帯!G66,0)</f>
        <v>0.3076923076923077</v>
      </c>
      <c r="H66" s="33" t="n">
        <f>IF(世帯!H66&lt;&gt;0,'男女　３５～４９才'!H66/世帯!H66,0)</f>
        <v>0.32</v>
      </c>
      <c r="I66" s="34" t="n">
        <f>IF(世帯!I66&lt;&gt;0,'男女　３５～４９才'!I66/世帯!I66,0)</f>
        <v>0.24117647058823527</v>
      </c>
      <c r="J66" s="59" t="n">
        <f>IF(世帯!J66&lt;&gt;0,'男女　３５～４９才'!J66/世帯!J66,0)</f>
        <v>0.26285714285714284</v>
      </c>
      <c r="K66" s="6"/>
      <c r="L66" s="6"/>
      <c r="N66" s="46" t="s">
        <v>23</v>
      </c>
      <c r="O66" s="33" t="n">
        <f>IF(世帯!O66&lt;&gt;0,'男女　３５～４９才'!O66/世帯!O66,0)</f>
        <v>0.23899371069182387</v>
      </c>
      <c r="P66" s="33" t="n">
        <f>IF(世帯!P66&lt;&gt;0,'男女　３５～４９才'!P66/世帯!P66,0)</f>
        <v>0.24050632911392403</v>
      </c>
      <c r="Q66" s="33" t="n">
        <f>IF(世帯!Q66&lt;&gt;0,'男女　３５～４９才'!Q66/世帯!Q66,0)</f>
        <v>0.2549019607843137</v>
      </c>
      <c r="R66" s="33" t="n">
        <f>IF(世帯!R66&lt;&gt;0,'男女　３５～４９才'!R66/世帯!R66,0)</f>
        <v>0.24666666666666667</v>
      </c>
      <c r="S66" s="33" t="n">
        <f>IF(世帯!S66&lt;&gt;0,'男女　３５～４９才'!S66/世帯!S66,0)</f>
        <v>0.26143790849673204</v>
      </c>
      <c r="T66" s="33" t="n">
        <f>IF(世帯!T66&lt;&gt;0,'男女　３５～４９才'!T66/世帯!T66,0)</f>
        <v>0.30625</v>
      </c>
      <c r="U66" s="33" t="n">
        <f>IF(世帯!U66&lt;&gt;0,'男女　３５～４９才'!U66/世帯!U66,0)</f>
        <v>0.32795698924731176</v>
      </c>
      <c r="V66" s="34" t="n">
        <f>IF(世帯!V66&lt;&gt;0,'男女　３５～４９才'!V66/世帯!V66,0)</f>
        <v>0.24516129032258063</v>
      </c>
      <c r="W66" s="59" t="n">
        <f>IF(世帯!W66&lt;&gt;0,'男女　３５～４９才'!W66/世帯!W66,0)</f>
        <v>0.26708074534161486</v>
      </c>
      <c r="X66" s="6"/>
      <c r="Y66" s="6"/>
      <c r="Z66" s="5"/>
      <c r="AA66" s="9"/>
      <c r="AB66" s="25"/>
      <c r="AC66" s="25"/>
      <c r="AD66" s="25"/>
      <c r="AE66" s="25"/>
      <c r="AF66" s="25"/>
      <c r="AG66" s="25"/>
      <c r="AH66" s="25"/>
      <c r="AI66" s="25"/>
      <c r="AJ66" s="25"/>
      <c r="AK66" s="6"/>
      <c r="AL66" s="6"/>
    </row>
    <row r="67" spans="1:38" x14ac:dyDescent="0.2">
      <c r="A67" s="46" t="s">
        <v>24</v>
      </c>
      <c r="B67" s="33" t="n">
        <f>IF(世帯!B67&lt;&gt;0,'男女　３５～４９才'!B67/世帯!B67,0)</f>
        <v>0.21893491124260359</v>
      </c>
      <c r="C67" s="33" t="n">
        <f>IF(世帯!C67&lt;&gt;0,'男女　３５～４９才'!C67/世帯!C67,0)</f>
        <v>0.22155688622754494</v>
      </c>
      <c r="D67" s="33" t="n">
        <f>IF(世帯!D67&lt;&gt;0,'男女　３５～４９才'!D67/世帯!D67,0)</f>
        <v>0.21472392638036808</v>
      </c>
      <c r="E67" s="33" t="n">
        <f>IF(世帯!E67&lt;&gt;0,'男女　３５～４９才'!E67/世帯!E67,0)</f>
        <v>0.22289156626506024</v>
      </c>
      <c r="F67" s="33" t="n">
        <f>IF(世帯!F67&lt;&gt;0,'男女　３５～４９才'!F67/世帯!F67,0)</f>
        <v>0.2469135802469136</v>
      </c>
      <c r="G67" s="33" t="n">
        <f>IF(世帯!G67&lt;&gt;0,'男女　３５～４９才'!G67/世帯!G67,0)</f>
        <v>0.32</v>
      </c>
      <c r="H67" s="33" t="n">
        <f>IF(世帯!H67&lt;&gt;0,'男女　３５～４９才'!H67/世帯!H67,0)</f>
        <v>0.2835820895522388</v>
      </c>
      <c r="I67" s="34" t="n">
        <f>IF(世帯!I67&lt;&gt;0,'男女　３５～４９才'!I67/世帯!I67,0)</f>
        <v>0.22424242424242424</v>
      </c>
      <c r="J67" s="59" t="n">
        <f>IF(世帯!J67&lt;&gt;0,'男女　３５～４９才'!J67/世帯!J67,0)</f>
        <v>0.24852071005917162</v>
      </c>
      <c r="K67" s="6"/>
      <c r="L67" s="6"/>
      <c r="N67" s="46" t="s">
        <v>24</v>
      </c>
      <c r="O67" s="33" t="n">
        <f>IF(世帯!O67&lt;&gt;0,'男女　３５～４９才'!O67/世帯!O67,0)</f>
        <v>0.2348993288590604</v>
      </c>
      <c r="P67" s="33" t="n">
        <f>IF(世帯!P67&lt;&gt;0,'男女　３５～４９才'!P67/世帯!P67,0)</f>
        <v>0.2397260273972603</v>
      </c>
      <c r="Q67" s="33" t="n">
        <f>IF(世帯!Q67&lt;&gt;0,'男女　３５～４９才'!Q67/世帯!Q67,0)</f>
        <v>0.2323943661971831</v>
      </c>
      <c r="R67" s="33" t="n">
        <f>IF(世帯!R67&lt;&gt;0,'男女　３５～４９才'!R67/世帯!R67,0)</f>
        <v>0.2413793103448276</v>
      </c>
      <c r="S67" s="33" t="n">
        <f>IF(世帯!S67&lt;&gt;0,'男女　３５～４９才'!S67/世帯!S67,0)</f>
        <v>0.2569444444444445</v>
      </c>
      <c r="T67" s="33" t="n">
        <f>IF(世帯!T67&lt;&gt;0,'男女　３５～４９才'!T67/世帯!T67,0)</f>
        <v>0.3357664233576642</v>
      </c>
      <c r="U67" s="33" t="n">
        <f>IF(世帯!U67&lt;&gt;0,'男女　３５～４９才'!U67/世帯!U67,0)</f>
        <v>0.3566433566433566</v>
      </c>
      <c r="V67" s="34" t="n">
        <f>IF(世帯!V67&lt;&gt;0,'男女　３５～４９才'!V67/世帯!V67,0)</f>
        <v>0.2413793103448276</v>
      </c>
      <c r="W67" s="59" t="n">
        <f>IF(世帯!W67&lt;&gt;0,'男女　３５～４９才'!W67/世帯!W67,0)</f>
        <v>0.2708333333333333</v>
      </c>
      <c r="X67" s="6"/>
      <c r="Y67" s="6"/>
      <c r="Z67" s="5"/>
      <c r="AA67" s="9"/>
      <c r="AB67" s="25"/>
      <c r="AC67" s="25"/>
      <c r="AD67" s="25"/>
      <c r="AE67" s="25"/>
      <c r="AF67" s="25"/>
      <c r="AG67" s="25"/>
      <c r="AH67" s="25"/>
      <c r="AI67" s="25"/>
      <c r="AJ67" s="25"/>
      <c r="AK67" s="6"/>
      <c r="AL67" s="6"/>
    </row>
    <row r="68" spans="1:38" x14ac:dyDescent="0.2">
      <c r="A68" s="46" t="s">
        <v>25</v>
      </c>
      <c r="B68" s="33" t="n">
        <f>IF(世帯!B68&lt;&gt;0,'男女　３５～４９才'!B68/世帯!B68,0)</f>
        <v>0.21333333333333335</v>
      </c>
      <c r="C68" s="33" t="n">
        <f>IF(世帯!C68&lt;&gt;0,'男女　３５～４９才'!C68/世帯!C68,0)</f>
        <v>0.20394736842105265</v>
      </c>
      <c r="D68" s="33" t="n">
        <f>IF(世帯!D68&lt;&gt;0,'男女　３５～４９才'!D68/世帯!D68,0)</f>
        <v>0.1830065359477124</v>
      </c>
      <c r="E68" s="33" t="n">
        <f>IF(世帯!E68&lt;&gt;0,'男女　３５～４９才'!E68/世帯!E68,0)</f>
        <v>0.2027027027027027</v>
      </c>
      <c r="F68" s="33" t="n">
        <f>IF(世帯!F68&lt;&gt;0,'男女　３５～４９才'!F68/世帯!F68,0)</f>
        <v>0.23357664233576644</v>
      </c>
      <c r="G68" s="33" t="n">
        <f>IF(世帯!G68&lt;&gt;0,'男女　３５～４９才'!G68/世帯!G68,0)</f>
        <v>0.32142857142857145</v>
      </c>
      <c r="H68" s="33" t="n">
        <f>IF(世帯!H68&lt;&gt;0,'男女　３５～４９才'!H68/世帯!H68,0)</f>
        <v>0.2891566265060241</v>
      </c>
      <c r="I68" s="34" t="n">
        <f>IF(世帯!I68&lt;&gt;0,'男女　３５～４９才'!I68/世帯!I68,0)</f>
        <v>0.20945945945945946</v>
      </c>
      <c r="J68" s="59" t="n">
        <f>IF(世帯!J68&lt;&gt;0,'男女　３５～４９才'!J68/世帯!J68,0)</f>
        <v>0.2328767123287671</v>
      </c>
      <c r="K68" s="6"/>
      <c r="L68" s="6"/>
      <c r="N68" s="46" t="s">
        <v>25</v>
      </c>
      <c r="O68" s="33" t="n">
        <f>IF(世帯!O68&lt;&gt;0,'男女　３５～４９才'!O68/世帯!O68,0)</f>
        <v>0.22480620155038758</v>
      </c>
      <c r="P68" s="33" t="n">
        <f>IF(世帯!P68&lt;&gt;0,'男女　３５～４９才'!P68/世帯!P68,0)</f>
        <v>0.22307692307692306</v>
      </c>
      <c r="Q68" s="33" t="n">
        <f>IF(世帯!Q68&lt;&gt;0,'男女　３５～４９才'!Q68/世帯!Q68,0)</f>
        <v>0.20149253731343283</v>
      </c>
      <c r="R68" s="33" t="n">
        <f>IF(世帯!R68&lt;&gt;0,'男女　３５～４９才'!R68/世帯!R68,0)</f>
        <v>0.21874999999999997</v>
      </c>
      <c r="S68" s="33" t="n">
        <f>IF(世帯!S68&lt;&gt;0,'男女　３５～４９才'!S68/世帯!S68,0)</f>
        <v>0.24369747899159663</v>
      </c>
      <c r="T68" s="33" t="n">
        <f>IF(世帯!T68&lt;&gt;0,'男女　３５～４９才'!T68/世帯!T68,0)</f>
        <v>0.3269230769230769</v>
      </c>
      <c r="U68" s="33" t="n">
        <f>IF(世帯!U68&lt;&gt;0,'男女　３５～４９才'!U68/世帯!U68,0)</f>
        <v>0.344</v>
      </c>
      <c r="V68" s="34" t="n">
        <f>IF(世帯!V68&lt;&gt;0,'男女　３５～４９才'!V68/世帯!V68,0)</f>
        <v>0.21874999999999997</v>
      </c>
      <c r="W68" s="59" t="n">
        <f>IF(世帯!W68&lt;&gt;0,'男女　３５～４９才'!W68/世帯!W68,0)</f>
        <v>0.256</v>
      </c>
      <c r="X68" s="6"/>
      <c r="Y68" s="6"/>
      <c r="Z68" s="5"/>
      <c r="AA68" s="9"/>
      <c r="AB68" s="25"/>
      <c r="AC68" s="25"/>
      <c r="AD68" s="25"/>
      <c r="AE68" s="25"/>
      <c r="AF68" s="25"/>
      <c r="AG68" s="25"/>
      <c r="AH68" s="25"/>
      <c r="AI68" s="25"/>
      <c r="AJ68" s="25"/>
      <c r="AK68" s="6"/>
      <c r="AL68" s="6"/>
    </row>
    <row r="69" spans="1:38" x14ac:dyDescent="0.2">
      <c r="A69" s="46" t="s">
        <v>26</v>
      </c>
      <c r="B69" s="33" t="n">
        <f>IF(世帯!B69&lt;&gt;0,'男女　３５～４９才'!B69/世帯!B69,0)</f>
        <v>0.19333333333333333</v>
      </c>
      <c r="C69" s="33" t="n">
        <f>IF(世帯!C69&lt;&gt;0,'男女　３５～４９才'!C69/世帯!C69,0)</f>
        <v>0.18471337579617836</v>
      </c>
      <c r="D69" s="33" t="n">
        <f>IF(世帯!D69&lt;&gt;0,'男女　３５～４９才'!D69/世帯!D69,0)</f>
        <v>0.1761006289308176</v>
      </c>
      <c r="E69" s="33" t="n">
        <f>IF(世帯!E69&lt;&gt;0,'男女　３５～４９才'!E69/世帯!E69,0)</f>
        <v>0.20547945205479454</v>
      </c>
      <c r="F69" s="33" t="n">
        <f>IF(世帯!F69&lt;&gt;0,'男女　３５～４９才'!F69/世帯!F69,0)</f>
        <v>0.2116788321167883</v>
      </c>
      <c r="G69" s="33" t="n">
        <f>IF(世帯!G69&lt;&gt;0,'男女　３５～４９才'!G69/世帯!G69,0)</f>
        <v>0.2782608695652174</v>
      </c>
      <c r="H69" s="33" t="n">
        <f>IF(世帯!H69&lt;&gt;0,'男女　３５～４９才'!H69/世帯!H69,0)</f>
        <v>0.26785714285714285</v>
      </c>
      <c r="I69" s="34" t="n">
        <f>IF(世帯!I69&lt;&gt;0,'男女　３５～４９才'!I69/世帯!I69,0)</f>
        <v>0.19333333333333333</v>
      </c>
      <c r="J69" s="59" t="n">
        <f>IF(世帯!J69&lt;&gt;0,'男女　３５～４９才'!J69/世帯!J69,0)</f>
        <v>0.21476510067114093</v>
      </c>
      <c r="K69" s="6"/>
      <c r="L69" s="6"/>
      <c r="N69" s="46" t="s">
        <v>26</v>
      </c>
      <c r="O69" s="33" t="n">
        <f>IF(世帯!O69&lt;&gt;0,'男女　３５～４９才'!O69/世帯!O69,0)</f>
        <v>0.20454545454545456</v>
      </c>
      <c r="P69" s="33" t="n">
        <f>IF(世帯!P69&lt;&gt;0,'男女　３５～４９才'!P69/世帯!P69,0)</f>
        <v>0.19708029197080296</v>
      </c>
      <c r="Q69" s="33" t="n">
        <f>IF(世帯!Q69&lt;&gt;0,'男女　３５～４９才'!Q69/世帯!Q69,0)</f>
        <v>0.18571428571428572</v>
      </c>
      <c r="R69" s="33" t="n">
        <f>IF(世帯!R69&lt;&gt;0,'男女　３５～４９才'!R69/世帯!R69,0)</f>
        <v>0.21874999999999997</v>
      </c>
      <c r="S69" s="33" t="n">
        <f>IF(世帯!S69&lt;&gt;0,'男女　３５～４９才'!S69/世帯!S69,0)</f>
        <v>0.21487603305785125</v>
      </c>
      <c r="T69" s="33" t="n">
        <f>IF(世帯!T69&lt;&gt;0,'男女　３５～４９才'!T69/世帯!T69,0)</f>
        <v>0.27999999999999997</v>
      </c>
      <c r="U69" s="33" t="n">
        <f>IF(世帯!U69&lt;&gt;0,'男女　３５～４９才'!U69/世帯!U69,0)</f>
        <v>0.3076923076923077</v>
      </c>
      <c r="V69" s="34" t="n">
        <f>IF(世帯!V69&lt;&gt;0,'男女　３５～４９才'!V69/世帯!V69,0)</f>
        <v>0.20454545454545456</v>
      </c>
      <c r="W69" s="59" t="n">
        <f>IF(世帯!W69&lt;&gt;0,'男女　３５～４９才'!W69/世帯!W69,0)</f>
        <v>0.22656249999999997</v>
      </c>
      <c r="X69" s="6"/>
      <c r="Y69" s="6"/>
      <c r="Z69" s="5"/>
      <c r="AA69" s="9"/>
      <c r="AB69" s="25"/>
      <c r="AC69" s="25"/>
      <c r="AD69" s="25"/>
      <c r="AE69" s="25"/>
      <c r="AF69" s="25"/>
      <c r="AG69" s="25"/>
      <c r="AH69" s="25"/>
      <c r="AI69" s="25"/>
      <c r="AJ69" s="25"/>
      <c r="AK69" s="6"/>
      <c r="AL69" s="6"/>
    </row>
    <row r="70" spans="1:38" x14ac:dyDescent="0.2">
      <c r="A70" s="46" t="s">
        <v>27</v>
      </c>
      <c r="B70" s="33" t="n">
        <f>IF(世帯!B70&lt;&gt;0,'男女　３５～４９才'!B70/世帯!B70,0)</f>
        <v>0.17857142857142858</v>
      </c>
      <c r="C70" s="33" t="n">
        <f>IF(世帯!C70&lt;&gt;0,'男女　３５～４９才'!C70/世帯!C70,0)</f>
        <v>0.18390804597701152</v>
      </c>
      <c r="D70" s="33" t="n">
        <f>IF(世帯!D70&lt;&gt;0,'男女　３５～４９才'!D70/世帯!D70,0)</f>
        <v>0.18128654970760233</v>
      </c>
      <c r="E70" s="33" t="n">
        <f>IF(世帯!E70&lt;&gt;0,'男女　３５～４９才'!E70/世帯!E70,0)</f>
        <v>0.19393939393939394</v>
      </c>
      <c r="F70" s="33" t="n">
        <f>IF(世帯!F70&lt;&gt;0,'男女　３５～４９才'!F70/世帯!F70,0)</f>
        <v>0.20125786163522014</v>
      </c>
      <c r="G70" s="33" t="n">
        <f>IF(世帯!G70&lt;&gt;0,'男女　３５～４９才'!G70/世帯!G70,0)</f>
        <v>0.2950819672131148</v>
      </c>
      <c r="H70" s="33" t="n">
        <f>IF(世帯!H70&lt;&gt;0,'男女　３５～４９才'!H70/世帯!H70,0)</f>
        <v>0.2922077922077922</v>
      </c>
      <c r="I70" s="34" t="n">
        <f>IF(世帯!I70&lt;&gt;0,'男女　３５～４９才'!I70/世帯!I70,0)</f>
        <v>0.18452380952380953</v>
      </c>
      <c r="J70" s="59" t="n">
        <f>IF(世帯!J70&lt;&gt;0,'男女　３５～４９才'!J70/世帯!J70,0)</f>
        <v>0.2125</v>
      </c>
      <c r="K70" s="6"/>
      <c r="L70" s="6"/>
      <c r="N70" s="46" t="s">
        <v>27</v>
      </c>
      <c r="O70" s="33" t="n">
        <f>IF(世帯!O70&lt;&gt;0,'男女　３５～４９才'!O70/世帯!O70,0)</f>
        <v>0.18125</v>
      </c>
      <c r="P70" s="33" t="n">
        <f>IF(世帯!P70&lt;&gt;0,'男女　３５～４９才'!P70/世帯!P70,0)</f>
        <v>0.18674698795180722</v>
      </c>
      <c r="Q70" s="33" t="n">
        <f>IF(世帯!Q70&lt;&gt;0,'男女　３５～４９才'!Q70/世帯!Q70,0)</f>
        <v>0.1851851851851852</v>
      </c>
      <c r="R70" s="33" t="n">
        <f>IF(世帯!R70&lt;&gt;0,'男女　３５～４９才'!R70/世帯!R70,0)</f>
        <v>0.19230769230769232</v>
      </c>
      <c r="S70" s="33" t="n">
        <f>IF(世帯!S70&lt;&gt;0,'男女　３５～４９才'!S70/世帯!S70,0)</f>
        <v>0.20529801324503313</v>
      </c>
      <c r="T70" s="33" t="n">
        <f>IF(世帯!T70&lt;&gt;0,'男女　３５～４９才'!T70/世帯!T70,0)</f>
        <v>0.3153153153153153</v>
      </c>
      <c r="U70" s="33" t="n">
        <f>IF(世帯!U70&lt;&gt;0,'男女　３５～４９才'!U70/世帯!U70,0)</f>
        <v>0.2887323943661972</v>
      </c>
      <c r="V70" s="34" t="n">
        <f>IF(世帯!V70&lt;&gt;0,'男女　３５～４９才'!V70/世帯!V70,0)</f>
        <v>0.18867924528301885</v>
      </c>
      <c r="W70" s="59" t="n">
        <f>IF(世帯!W70&lt;&gt;0,'男女　３５～４９才'!W70/世帯!W70,0)</f>
        <v>0.22</v>
      </c>
      <c r="X70" s="6"/>
      <c r="Y70" s="6"/>
      <c r="Z70" s="5"/>
      <c r="AA70" s="9"/>
      <c r="AB70" s="25"/>
      <c r="AC70" s="25"/>
      <c r="AD70" s="25"/>
      <c r="AE70" s="25"/>
      <c r="AF70" s="25"/>
      <c r="AG70" s="25"/>
      <c r="AH70" s="25"/>
      <c r="AI70" s="25"/>
      <c r="AJ70" s="25"/>
      <c r="AK70" s="6"/>
      <c r="AL70" s="6"/>
    </row>
    <row r="71" spans="1:38" x14ac:dyDescent="0.2">
      <c r="A71" s="46" t="s">
        <v>28</v>
      </c>
      <c r="B71" s="33" t="n">
        <f>IF(世帯!B71&lt;&gt;0,'男女　３５～４９才'!B71/世帯!B71,0)</f>
        <v>0.21243523316062174</v>
      </c>
      <c r="C71" s="33" t="n">
        <f>IF(世帯!C71&lt;&gt;0,'男女　３５～４９才'!C71/世帯!C71,0)</f>
        <v>0.2040816326530612</v>
      </c>
      <c r="D71" s="33" t="n">
        <f>IF(世帯!D71&lt;&gt;0,'男女　３５～４９才'!D71/世帯!D71,0)</f>
        <v>0.2210526315789474</v>
      </c>
      <c r="E71" s="33" t="n">
        <f>IF(世帯!E71&lt;&gt;0,'男女　３５～４９才'!E71/世帯!E71,0)</f>
        <v>0.23333333333333334</v>
      </c>
      <c r="F71" s="33" t="n">
        <f>IF(世帯!F71&lt;&gt;0,'男女　３５～４９才'!F71/世帯!F71,0)</f>
        <v>0.25</v>
      </c>
      <c r="G71" s="33" t="n">
        <f>IF(世帯!G71&lt;&gt;0,'男女　３５～４９才'!G71/世帯!G71,0)</f>
        <v>0.3222222222222222</v>
      </c>
      <c r="H71" s="33" t="n">
        <f>IF(世帯!H71&lt;&gt;0,'男女　３５～４９才'!H71/世帯!H71,0)</f>
        <v>0.3214285714285714</v>
      </c>
      <c r="I71" s="34" t="n">
        <f>IF(世帯!I71&lt;&gt;0,'男女　３５～４９才'!I71/世帯!I71,0)</f>
        <v>0.22222222222222224</v>
      </c>
      <c r="J71" s="59" t="n">
        <f>IF(世帯!J71&lt;&gt;0,'男女　３５～４９才'!J71/世帯!J71,0)</f>
        <v>0.24867724867724872</v>
      </c>
      <c r="K71" s="6"/>
      <c r="L71" s="6"/>
      <c r="N71" s="46" t="s">
        <v>28</v>
      </c>
      <c r="O71" s="33" t="n">
        <f>IF(世帯!O71&lt;&gt;0,'男女　３５～４９才'!O71/世帯!O71,0)</f>
        <v>0.20652173913043478</v>
      </c>
      <c r="P71" s="33" t="n">
        <f>IF(世帯!P71&lt;&gt;0,'男女　３５～４９才'!P71/世帯!P71,0)</f>
        <v>0.20320855614973263</v>
      </c>
      <c r="Q71" s="33" t="n">
        <f>IF(世帯!Q71&lt;&gt;0,'男女　３５～４９才'!Q71/世帯!Q71,0)</f>
        <v>0.21787709497206706</v>
      </c>
      <c r="R71" s="33" t="n">
        <f>IF(世帯!R71&lt;&gt;0,'男女　３５～４９才'!R71/世帯!R71,0)</f>
        <v>0.22807017543859648</v>
      </c>
      <c r="S71" s="33" t="n">
        <f>IF(世帯!S71&lt;&gt;0,'男女　３５～４９才'!S71/世帯!S71,0)</f>
        <v>0.2443181818181818</v>
      </c>
      <c r="T71" s="33" t="n">
        <f>IF(世帯!T71&lt;&gt;0,'男女　３５～４９才'!T71/世帯!T71,0)</f>
        <v>0.3333333333333333</v>
      </c>
      <c r="U71" s="33" t="n">
        <f>IF(世帯!U71&lt;&gt;0,'男女　３５～４９才'!U71/世帯!U71,0)</f>
        <v>0.3191489361702127</v>
      </c>
      <c r="V71" s="34" t="n">
        <f>IF(世帯!V71&lt;&gt;0,'男女　３５～４９才'!V71/世帯!V71,0)</f>
        <v>0.21666666666666667</v>
      </c>
      <c r="W71" s="59" t="n">
        <f>IF(世帯!W71&lt;&gt;0,'男女　３５～４９才'!W71/世帯!W71,0)</f>
        <v>0.25</v>
      </c>
      <c r="X71" s="6"/>
      <c r="Y71" s="6"/>
      <c r="Z71" s="5"/>
      <c r="AA71" s="9"/>
      <c r="AB71" s="25"/>
      <c r="AC71" s="25"/>
      <c r="AD71" s="25"/>
      <c r="AE71" s="25"/>
      <c r="AF71" s="25"/>
      <c r="AG71" s="25"/>
      <c r="AH71" s="25"/>
      <c r="AI71" s="25"/>
      <c r="AJ71" s="25"/>
      <c r="AK71" s="6"/>
      <c r="AL71" s="6"/>
    </row>
    <row r="72" spans="1:38" x14ac:dyDescent="0.2">
      <c r="A72" s="46" t="s">
        <v>29</v>
      </c>
      <c r="B72" s="33" t="n">
        <f>IF(世帯!B72&lt;&gt;0,'男女　３５～４９才'!B72/世帯!B72,0)</f>
        <v>0.28082191780821913</v>
      </c>
      <c r="C72" s="33" t="n">
        <f>IF(世帯!C72&lt;&gt;0,'男女　３５～４９才'!C72/世帯!C72,0)</f>
        <v>0.2692307692307692</v>
      </c>
      <c r="D72" s="33" t="n">
        <f>IF(世帯!D72&lt;&gt;0,'男女　３５～４９才'!D72/世帯!D72,0)</f>
        <v>0.2771929824561404</v>
      </c>
      <c r="E72" s="33" t="n">
        <f>IF(世帯!E72&lt;&gt;0,'男女　３５～４９才'!E72/世帯!E72,0)</f>
        <v>0.2851985559566787</v>
      </c>
      <c r="F72" s="33" t="n">
        <f>IF(世帯!F72&lt;&gt;0,'男女　３５～４９才'!F72/世帯!F72,0)</f>
        <v>0.32481751824817523</v>
      </c>
      <c r="G72" s="33" t="n">
        <f>IF(世帯!G72&lt;&gt;0,'男女　３５～４９才'!G72/世帯!G72,0)</f>
        <v>0.3321428571428572</v>
      </c>
      <c r="H72" s="33" t="n">
        <f>IF(世帯!H72&lt;&gt;0,'男女　３５～４９才'!H72/世帯!H72,0)</f>
        <v>0.42810457516339867</v>
      </c>
      <c r="I72" s="34" t="n">
        <f>IF(世帯!I72&lt;&gt;0,'男女　３５～４９才'!I72/世帯!I72,0)</f>
        <v>0.2862190812720848</v>
      </c>
      <c r="J72" s="59" t="n">
        <f>IF(世帯!J72&lt;&gt;0,'男女　３５～４９才'!J72/世帯!J72,0)</f>
        <v>0.31358885017421606</v>
      </c>
      <c r="K72" s="51" t="s">
        <v>15</v>
      </c>
      <c r="L72" s="52" t="s">
        <v>877</v>
      </c>
      <c r="N72" s="46" t="s">
        <v>29</v>
      </c>
      <c r="O72" s="33" t="n">
        <f>IF(世帯!O72&lt;&gt;0,'男女　３５～４９才'!O72/世帯!O72,0)</f>
        <v>0.2885375494071146</v>
      </c>
      <c r="P72" s="33" t="n">
        <f>IF(世帯!P72&lt;&gt;0,'男女　３５～４９才'!P72/世帯!P72,0)</f>
        <v>0.285140562248996</v>
      </c>
      <c r="Q72" s="33" t="n">
        <f>IF(世帯!Q72&lt;&gt;0,'男女　３５～４９才'!Q72/世帯!Q72,0)</f>
        <v>0.28112449799196787</v>
      </c>
      <c r="R72" s="33" t="n">
        <f>IF(世帯!R72&lt;&gt;0,'男女　３５～４９才'!R72/世帯!R72,0)</f>
        <v>0.2892561983471075</v>
      </c>
      <c r="S72" s="33" t="n">
        <f>IF(世帯!S72&lt;&gt;0,'男女　３５～４９才'!S72/世帯!S72,0)</f>
        <v>0.2981132075471698</v>
      </c>
      <c r="T72" s="33" t="n">
        <f>IF(世帯!T72&lt;&gt;0,'男女　３５～４９才'!T72/世帯!T72,0)</f>
        <v>0.3425196850393701</v>
      </c>
      <c r="U72" s="33" t="n">
        <f>IF(世帯!U72&lt;&gt;0,'男女　３５～４９才'!U72/世帯!U72,0)</f>
        <v>0.423728813559322</v>
      </c>
      <c r="V72" s="34" t="n">
        <f>IF(世帯!V72&lt;&gt;0,'男女　３５～４９才'!V72/世帯!V72,0)</f>
        <v>0.29083665338645415</v>
      </c>
      <c r="W72" s="59" t="n">
        <f>IF(世帯!W72&lt;&gt;0,'男女　３５～４９才'!W72/世帯!W72,0)</f>
        <v>0.3204633204633205</v>
      </c>
      <c r="X72" s="51" t="s">
        <v>15</v>
      </c>
      <c r="Y72" s="52" t="s">
        <v>877</v>
      </c>
      <c r="Z72" s="5"/>
      <c r="AA72" s="9"/>
      <c r="AB72" s="25"/>
      <c r="AC72" s="25"/>
      <c r="AD72" s="25"/>
      <c r="AE72" s="25"/>
      <c r="AF72" s="25"/>
      <c r="AG72" s="25"/>
      <c r="AH72" s="25"/>
      <c r="AI72" s="25"/>
      <c r="AJ72" s="25"/>
      <c r="AK72" s="11"/>
      <c r="AL72" s="11"/>
    </row>
    <row r="73" spans="1:38" x14ac:dyDescent="0.2">
      <c r="A73" s="46" t="s">
        <v>31</v>
      </c>
      <c r="B73" s="33" t="n">
        <f>IF(世帯!B73&lt;&gt;0,'男女　３５～４９才'!B73/世帯!B73,0)</f>
        <v>0.3947368421052631</v>
      </c>
      <c r="C73" s="33" t="n">
        <f>IF(世帯!C73&lt;&gt;0,'男女　３５～４９才'!C73/世帯!C73,0)</f>
        <v>0.36615384615384616</v>
      </c>
      <c r="D73" s="33" t="n">
        <f>IF(世帯!D73&lt;&gt;0,'男女　３５～４９才'!D73/世帯!D73,0)</f>
        <v>0.380503144654088</v>
      </c>
      <c r="E73" s="33" t="n">
        <f>IF(世帯!E73&lt;&gt;0,'男女　３５～４９才'!E73/世帯!E73,0)</f>
        <v>0.3734567901234568</v>
      </c>
      <c r="F73" s="33" t="n">
        <f>IF(世帯!F73&lt;&gt;0,'男女　３５～４９才'!F73/世帯!F73,0)</f>
        <v>0.38562091503267976</v>
      </c>
      <c r="G73" s="33" t="n">
        <f>IF(世帯!G73&lt;&gt;0,'男女　３５～４９才'!G73/世帯!G73,0)</f>
        <v>0.4470198675496689</v>
      </c>
      <c r="H73" s="33" t="n">
        <f>IF(世帯!H73&lt;&gt;0,'男女　３５～４９才'!H73/世帯!H73,0)</f>
        <v>0.5149700598802395</v>
      </c>
      <c r="I73" s="34" t="n">
        <f>IF(世帯!I73&lt;&gt;0,'男女　３５～４９才'!I73/世帯!I73,0)</f>
        <v>0.37962962962962965</v>
      </c>
      <c r="J73" s="59" t="n">
        <f>IF(世帯!J73&lt;&gt;0,'男女　３５～４９才'!J73/世帯!J73,0)</f>
        <v>0.411764705882353</v>
      </c>
      <c r="K73" s="63" t="str">
        <f>IF('男女　３５～４９才'!K73="","",'男女　３５～４９才'!K73)</f>
        <v/>
      </c>
      <c r="L73" s="59" t="str">
        <f>IF(世帯!L73="","",IF(世帯!L73&lt;&gt;0,'男女　３５～４９才'!L73/世帯!L73,0))</f>
        <v/>
      </c>
      <c r="N73" s="46" t="s">
        <v>31</v>
      </c>
      <c r="O73" s="33" t="n">
        <f>IF(世帯!O73&lt;&gt;0,'男女　３５～４９才'!O73/世帯!O73,0)</f>
        <v>0.4295774647887324</v>
      </c>
      <c r="P73" s="33" t="n">
        <f>IF(世帯!P73&lt;&gt;0,'男女　３５～４９才'!P73/世帯!P73,0)</f>
        <v>0.3837638376383764</v>
      </c>
      <c r="Q73" s="33" t="n">
        <f>IF(世帯!Q73&lt;&gt;0,'男女　３５～４９才'!Q73/世帯!Q73,0)</f>
        <v>0.3978102189781022</v>
      </c>
      <c r="R73" s="33" t="n">
        <f>IF(世帯!R73&lt;&gt;0,'男女　３５～４９才'!R73/世帯!R73,0)</f>
        <v>0.38515901060070673</v>
      </c>
      <c r="S73" s="33" t="n">
        <f>IF(世帯!S73&lt;&gt;0,'男女　３５～４９才'!S73/世帯!S73,0)</f>
        <v>0.3732394366197183</v>
      </c>
      <c r="T73" s="33" t="n">
        <f>IF(世帯!T73&lt;&gt;0,'男女　３５～４９才'!T73/世帯!T73,0)</f>
        <v>0.4666666666666667</v>
      </c>
      <c r="U73" s="33" t="n">
        <f>IF(世帯!U73&lt;&gt;0,'男女　３５～４９才'!U73/世帯!U73,0)</f>
        <v>0.5306122448979592</v>
      </c>
      <c r="V73" s="34" t="n">
        <f>IF(世帯!V73&lt;&gt;0,'男女　３５～４９才'!V73/世帯!V73,0)</f>
        <v>0.3942652329749104</v>
      </c>
      <c r="W73" s="59" t="n">
        <f>IF(世帯!W73&lt;&gt;0,'男女　３５～４９才'!W73/世帯!W73,0)</f>
        <v>0.42805755395683454</v>
      </c>
      <c r="X73" s="63" t="str">
        <f>IF('男女　３５～４９才'!X73="","",'男女　３５～４９才'!X73)</f>
        <v/>
      </c>
      <c r="Y73" s="59" t="str">
        <f>IF(世帯!Y73="","",IF(世帯!Y73&lt;&gt;0,'男女　３５～４９才'!Y73/世帯!Y73,0))</f>
        <v/>
      </c>
      <c r="Z73" s="5"/>
      <c r="AA73" s="9"/>
      <c r="AB73" s="25"/>
      <c r="AC73" s="25"/>
      <c r="AD73" s="25"/>
      <c r="AE73" s="25"/>
      <c r="AF73" s="25"/>
      <c r="AG73" s="25"/>
      <c r="AH73" s="25"/>
      <c r="AI73" s="25"/>
      <c r="AJ73" s="25"/>
      <c r="AK73" s="26"/>
      <c r="AL73" s="25"/>
    </row>
    <row r="74" spans="1:38" x14ac:dyDescent="0.2">
      <c r="A74" s="46" t="s">
        <v>32</v>
      </c>
      <c r="B74" s="33" t="n">
        <f>IF(世帯!B74&lt;&gt;0,'男女　３５～４９才'!B74/世帯!B74,0)</f>
        <v>0.4191780821917808</v>
      </c>
      <c r="C74" s="33" t="n">
        <f>IF(世帯!C74&lt;&gt;0,'男女　３５～４９才'!C74/世帯!C74,0)</f>
        <v>0.3898305084745763</v>
      </c>
      <c r="D74" s="33" t="n">
        <f>IF(世帯!D74&lt;&gt;0,'男女　３５～４９才'!D74/世帯!D74,0)</f>
        <v>0.38505747126436785</v>
      </c>
      <c r="E74" s="33" t="n">
        <f>IF(世帯!E74&lt;&gt;0,'男女　３５～４９才'!E74/世帯!E74,0)</f>
        <v>0.4093406593406594</v>
      </c>
      <c r="F74" s="33" t="n">
        <f>IF(世帯!F74&lt;&gt;0,'男女　３５～４９才'!F74/世帯!F74,0)</f>
        <v>0.4</v>
      </c>
      <c r="G74" s="33" t="n">
        <f>IF(世帯!G74&lt;&gt;0,'男女　３５～４９才'!G74/世帯!G74,0)</f>
        <v>0.45679012345679015</v>
      </c>
      <c r="H74" s="33" t="n">
        <f>IF(世帯!H74&lt;&gt;0,'男女　３５～４９才'!H74/世帯!H74,0)</f>
        <v>0.5098039215686274</v>
      </c>
      <c r="I74" s="34" t="n">
        <f>IF(世帯!I74&lt;&gt;0,'男女　３５～４９才'!I74/世帯!I74,0)</f>
        <v>0.40170940170940167</v>
      </c>
      <c r="J74" s="59" t="n">
        <f>IF(世帯!J74&lt;&gt;0,'男女　３５～４９才'!J74/世帯!J74,0)</f>
        <v>0.4240687679083095</v>
      </c>
      <c r="K74" s="63" t="str">
        <f>IF('男女　３５～４９才'!K74="","",'男女　３５～４９才'!K74)</f>
        <v/>
      </c>
      <c r="L74" s="59" t="str">
        <f>IF(世帯!L74="","",IF(世帯!L74&lt;&gt;0,'男女　３５～４９才'!L74/世帯!L74,0))</f>
        <v/>
      </c>
      <c r="N74" s="46" t="s">
        <v>32</v>
      </c>
      <c r="O74" s="33" t="n">
        <f>IF(世帯!O74&lt;&gt;0,'男女　３５～４９才'!O74/世帯!O74,0)</f>
        <v>0.44904458598726116</v>
      </c>
      <c r="P74" s="33" t="n">
        <f>IF(世帯!P74&lt;&gt;0,'男女　３５～４９才'!P74/世帯!P74,0)</f>
        <v>0.40893470790378006</v>
      </c>
      <c r="Q74" s="33" t="n">
        <f>IF(世帯!Q74&lt;&gt;0,'男女　３５～４９才'!Q74/世帯!Q74,0)</f>
        <v>0.40594059405940597</v>
      </c>
      <c r="R74" s="33" t="n">
        <f>IF(世帯!R74&lt;&gt;0,'男女　３５～４９才'!R74/世帯!R74,0)</f>
        <v>0.4253968253968254</v>
      </c>
      <c r="S74" s="33" t="n">
        <f>IF(世帯!S74&lt;&gt;0,'男女　３５～４９才'!S74/世帯!S74,0)</f>
        <v>0.42124542124542125</v>
      </c>
      <c r="T74" s="33" t="n">
        <f>IF(世帯!T74&lt;&gt;0,'男女　３５～４９才'!T74/世帯!T74,0)</f>
        <v>0.48161764705882354</v>
      </c>
      <c r="U74" s="33" t="n">
        <f>IF(世帯!U74&lt;&gt;0,'男女　３５～４９才'!U74/世帯!U74,0)</f>
        <v>0.5173501577287066</v>
      </c>
      <c r="V74" s="34" t="n">
        <f>IF(世帯!V74&lt;&gt;0,'男女　３５～４９才'!V74/世帯!V74,0)</f>
        <v>0.42474916387959866</v>
      </c>
      <c r="W74" s="59" t="n">
        <f>IF(世帯!W74&lt;&gt;0,'男女　３５～４９才'!W74/世帯!W74,0)</f>
        <v>0.4448160535117057</v>
      </c>
      <c r="X74" s="63" t="str">
        <f>IF('男女　３５～４９才'!X74="","",'男女　３５～４９才'!X74)</f>
        <v/>
      </c>
      <c r="Y74" s="59" t="str">
        <f>IF(世帯!Y74="","",IF(世帯!Y74&lt;&gt;0,'男女　３５～４９才'!Y74/世帯!Y74,0))</f>
        <v/>
      </c>
      <c r="Z74" s="5"/>
      <c r="AA74" s="9"/>
      <c r="AB74" s="25"/>
      <c r="AC74" s="25"/>
      <c r="AD74" s="25"/>
      <c r="AE74" s="25"/>
      <c r="AF74" s="25"/>
      <c r="AG74" s="25"/>
      <c r="AH74" s="25"/>
      <c r="AI74" s="25"/>
      <c r="AJ74" s="25"/>
      <c r="AK74" s="26"/>
      <c r="AL74" s="25"/>
    </row>
    <row r="75" spans="1:38" x14ac:dyDescent="0.2">
      <c r="A75" s="46" t="s">
        <v>33</v>
      </c>
      <c r="B75" s="33" t="n">
        <f>IF(世帯!B75&lt;&gt;0,'男女　３５～４９才'!B75/世帯!B75,0)</f>
        <v>0.3982035928143713</v>
      </c>
      <c r="C75" s="33" t="n">
        <f>IF(世帯!C75&lt;&gt;0,'男女　３５～４９才'!C75/世帯!C75,0)</f>
        <v>0.38414634146341464</v>
      </c>
      <c r="D75" s="33" t="n">
        <f>IF(世帯!D75&lt;&gt;0,'男女　３５～４９才'!D75/世帯!D75,0)</f>
        <v>0.384375</v>
      </c>
      <c r="E75" s="33" t="n">
        <f>IF(世帯!E75&lt;&gt;0,'男女　３５～４９才'!E75/世帯!E75,0)</f>
        <v>0.4037854889589906</v>
      </c>
      <c r="F75" s="33" t="n">
        <f>IF(世帯!F75&lt;&gt;0,'男女　３５～４９才'!F75/世帯!F75,0)</f>
        <v>0.4300341296928327</v>
      </c>
      <c r="G75" s="33" t="n">
        <f>IF(世帯!G75&lt;&gt;0,'男女　３５～４９才'!G75/世帯!G75,0)</f>
        <v>0.4394904458598727</v>
      </c>
      <c r="H75" s="33" t="n">
        <f>IF(世帯!H75&lt;&gt;0,'男女　３５～４９才'!H75/世帯!H75,0)</f>
        <v>0.44903581267217635</v>
      </c>
      <c r="I75" s="34" t="n">
        <f>IF(世帯!I75&lt;&gt;0,'男女　３５～４９才'!I75/世帯!I75,0)</f>
        <v>0.396875</v>
      </c>
      <c r="J75" s="59" t="n">
        <f>IF(世帯!J75&lt;&gt;0,'男女　３５～４９才'!J75/世帯!J75,0)</f>
        <v>0.4110429447852761</v>
      </c>
      <c r="K75" s="63" t="str">
        <f>IF('男女　３５～４９才'!K75="","",'男女　３５～４９才'!K75)</f>
        <v/>
      </c>
      <c r="L75" s="59" t="str">
        <f>IF(世帯!L75="","",IF(世帯!L75&lt;&gt;0,'男女　３５～４９才'!L75/世帯!L75,0))</f>
        <v/>
      </c>
      <c r="N75" s="46" t="s">
        <v>33</v>
      </c>
      <c r="O75" s="33" t="n">
        <f>IF(世帯!O75&lt;&gt;0,'男女　３５～４９才'!O75/世帯!O75,0)</f>
        <v>0.422680412371134</v>
      </c>
      <c r="P75" s="33" t="n">
        <f>IF(世帯!P75&lt;&gt;0,'男女　３５～４９才'!P75/世帯!P75,0)</f>
        <v>0.4323308270676692</v>
      </c>
      <c r="Q75" s="33" t="n">
        <f>IF(世帯!Q75&lt;&gt;0,'男女　３５～４９才'!Q75/世帯!Q75,0)</f>
        <v>0.38831615120274915</v>
      </c>
      <c r="R75" s="33" t="n">
        <f>IF(世帯!R75&lt;&gt;0,'男女　３５～４９才'!R75/世帯!R75,0)</f>
        <v>0.4237918215613383</v>
      </c>
      <c r="S75" s="33" t="n">
        <f>IF(世帯!S75&lt;&gt;0,'男女　３５～４９才'!S75/世帯!S75,0)</f>
        <v>0.4732510288065844</v>
      </c>
      <c r="T75" s="33" t="n">
        <f>IF(世帯!T75&lt;&gt;0,'男女　３５～４９才'!T75/世帯!T75,0)</f>
        <v>0.4609375</v>
      </c>
      <c r="U75" s="33" t="n">
        <f>IF(世帯!U75&lt;&gt;0,'男女　３５～４９才'!U75/世帯!U75,0)</f>
        <v>0.45222929936305734</v>
      </c>
      <c r="V75" s="34" t="n">
        <f>IF(世帯!V75&lt;&gt;0,'男女　３５～４９才'!V75/世帯!V75,0)</f>
        <v>0.4249084249084249</v>
      </c>
      <c r="W75" s="59" t="n">
        <f>IF(世帯!W75&lt;&gt;0,'男女　３５～４９才'!W75/世帯!W75,0)</f>
        <v>0.4368231046931408</v>
      </c>
      <c r="X75" s="63" t="str">
        <f>IF('男女　３５～４９才'!X75="","",'男女　３５～４９才'!X75)</f>
        <v/>
      </c>
      <c r="Y75" s="59" t="str">
        <f>IF(世帯!Y75="","",IF(世帯!Y75&lt;&gt;0,'男女　３５～４９才'!Y75/世帯!Y75,0))</f>
        <v/>
      </c>
      <c r="Z75" s="5"/>
      <c r="AA75" s="9"/>
      <c r="AB75" s="25"/>
      <c r="AC75" s="25"/>
      <c r="AD75" s="25"/>
      <c r="AE75" s="25"/>
      <c r="AF75" s="25"/>
      <c r="AG75" s="25"/>
      <c r="AH75" s="25"/>
      <c r="AI75" s="25"/>
      <c r="AJ75" s="25"/>
      <c r="AK75" s="26"/>
      <c r="AL75" s="25"/>
    </row>
    <row r="76" spans="1:38" x14ac:dyDescent="0.2">
      <c r="A76" s="46" t="s">
        <v>34</v>
      </c>
      <c r="B76" s="33" t="n">
        <f>IF(世帯!B76&lt;&gt;0,'男女　３５～４９才'!B76/世帯!B76,0)</f>
        <v>0.4093959731543624</v>
      </c>
      <c r="C76" s="33" t="n">
        <f>IF(世帯!C76&lt;&gt;0,'男女　３５～４９才'!C76/世帯!C76,0)</f>
        <v>0.4128113879003558</v>
      </c>
      <c r="D76" s="33" t="n">
        <f>IF(世帯!D76&lt;&gt;0,'男女　３５～４９才'!D76/世帯!D76,0)</f>
        <v>0.4</v>
      </c>
      <c r="E76" s="33" t="n">
        <f>IF(世帯!E76&lt;&gt;0,'男女　３５～４９才'!E76/世帯!E76,0)</f>
        <v>0.3821428571428571</v>
      </c>
      <c r="F76" s="33" t="n">
        <f>IF(世帯!F76&lt;&gt;0,'男女　３５～４９才'!F76/世帯!F76,0)</f>
        <v>0.40893470790378006</v>
      </c>
      <c r="G76" s="33" t="n">
        <f>IF(世帯!G76&lt;&gt;0,'男女　３５～４９才'!G76/世帯!G76,0)</f>
        <v>0.3957597173144876</v>
      </c>
      <c r="H76" s="33" t="n">
        <f>IF(世帯!H76&lt;&gt;0,'男女　３５～４９才'!H76/世帯!H76,0)</f>
        <v>0.4461538461538461</v>
      </c>
      <c r="I76" s="34" t="n">
        <f>IF(世帯!I76&lt;&gt;0,'男女　３５～４９才'!I76/世帯!I76,0)</f>
        <v>0.40492957746478875</v>
      </c>
      <c r="J76" s="59" t="n">
        <f>IF(世帯!J76&lt;&gt;0,'男女　３５～４９才'!J76/世帯!J76,0)</f>
        <v>0.4107142857142857</v>
      </c>
      <c r="K76" s="63" t="str">
        <f>IF('男女　３５～４９才'!K76="","",'男女　３５～４９才'!K76)</f>
        <v/>
      </c>
      <c r="L76" s="59" t="str">
        <f>IF(世帯!L76="","",IF(世帯!L76&lt;&gt;0,'男女　３５～４９才'!L76/世帯!L76,0))</f>
        <v/>
      </c>
      <c r="N76" s="46" t="s">
        <v>34</v>
      </c>
      <c r="O76" s="33" t="n">
        <f>IF(世帯!O76&lt;&gt;0,'男女　３５～４９才'!O76/世帯!O76,0)</f>
        <v>0.41090909090909095</v>
      </c>
      <c r="P76" s="33" t="n">
        <f>IF(世帯!P76&lt;&gt;0,'男女　３５～４９才'!P76/世帯!P76,0)</f>
        <v>0.42</v>
      </c>
      <c r="Q76" s="33" t="n">
        <f>IF(世帯!Q76&lt;&gt;0,'男女　３５～４９才'!Q76/世帯!Q76,0)</f>
        <v>0.40329218106995884</v>
      </c>
      <c r="R76" s="33" t="n">
        <f>IF(世帯!R76&lt;&gt;0,'男女　３５～４９才'!R76/世帯!R76,0)</f>
        <v>0.3852140077821012</v>
      </c>
      <c r="S76" s="33" t="n">
        <f>IF(世帯!S76&lt;&gt;0,'男女　３５～４９才'!S76/世帯!S76,0)</f>
        <v>0.42322097378277157</v>
      </c>
      <c r="T76" s="33" t="n">
        <f>IF(世帯!T76&lt;&gt;0,'男女　３５～４９才'!T76/世帯!T76,0)</f>
        <v>0.40234375</v>
      </c>
      <c r="U76" s="33" t="n">
        <f>IF(世帯!U76&lt;&gt;0,'男女　３５～４９才'!U76/世帯!U76,0)</f>
        <v>0.4008438818565401</v>
      </c>
      <c r="V76" s="34" t="n">
        <f>IF(世帯!V76&lt;&gt;0,'男女　３５～４９才'!V76/世帯!V76,0)</f>
        <v>0.4092664092664093</v>
      </c>
      <c r="W76" s="59" t="n">
        <f>IF(世帯!W76&lt;&gt;0,'男女　３５～４９才'!W76/世帯!W76,0)</f>
        <v>0.40784313725490196</v>
      </c>
      <c r="X76" s="63" t="str">
        <f>IF('男女　３５～４９才'!X76="","",'男女　３５～４９才'!X76)</f>
        <v/>
      </c>
      <c r="Y76" s="59" t="str">
        <f>IF(世帯!Y76="","",IF(世帯!Y76&lt;&gt;0,'男女　３５～４９才'!Y76/世帯!Y76,0))</f>
        <v/>
      </c>
      <c r="Z76" s="5"/>
      <c r="AA76" s="9"/>
      <c r="AB76" s="25"/>
      <c r="AC76" s="25"/>
      <c r="AD76" s="25"/>
      <c r="AE76" s="25"/>
      <c r="AF76" s="25"/>
      <c r="AG76" s="25"/>
      <c r="AH76" s="25"/>
      <c r="AI76" s="25"/>
      <c r="AJ76" s="25"/>
      <c r="AK76" s="26"/>
      <c r="AL76" s="25"/>
    </row>
    <row r="77" spans="1:38" x14ac:dyDescent="0.2">
      <c r="A77" s="46" t="s">
        <v>35</v>
      </c>
      <c r="B77" s="33" t="n">
        <f>IF(世帯!B77&lt;&gt;0,'男女　３５～４９才'!B77/世帯!B77,0)</f>
        <v>0.41436464088397784</v>
      </c>
      <c r="C77" s="33" t="n">
        <f>IF(世帯!C77&lt;&gt;0,'男女　３５～４９才'!C77/世帯!C77,0)</f>
        <v>0.38461538461538464</v>
      </c>
      <c r="D77" s="33" t="n">
        <f>IF(世帯!D77&lt;&gt;0,'男女　３５～４９才'!D77/世帯!D77,0)</f>
        <v>0.3872832369942196</v>
      </c>
      <c r="E77" s="33" t="n">
        <f>IF(世帯!E77&lt;&gt;0,'男女　３５～４９才'!E77/世帯!E77,0)</f>
        <v>0.4081632653061224</v>
      </c>
      <c r="F77" s="33" t="n">
        <f>IF(世帯!F77&lt;&gt;0,'男女　３５～４９才'!F77/世帯!F77,0)</f>
        <v>0.421875</v>
      </c>
      <c r="G77" s="33" t="n">
        <f>IF(世帯!G77&lt;&gt;0,'男女　３５～４９才'!G77/世帯!G77,0)</f>
        <v>0.39361702127659576</v>
      </c>
      <c r="H77" s="33" t="n">
        <f>IF(世帯!H77&lt;&gt;0,'男女　３５～４９才'!H77/世帯!H77,0)</f>
        <v>0.44025157232704404</v>
      </c>
      <c r="I77" s="34" t="n">
        <f>IF(世帯!I77&lt;&gt;0,'男女　３５～４９才'!I77/世帯!I77,0)</f>
        <v>0.40760869565217395</v>
      </c>
      <c r="J77" s="59" t="n">
        <f>IF(世帯!J77&lt;&gt;0,'男女　３５～４９才'!J77/世帯!J77,0)</f>
        <v>0.4088397790055249</v>
      </c>
      <c r="K77" s="63" t="str">
        <f>IF('男女　３５～４９才'!K77="","",'男女　３５～４９才'!K77)</f>
        <v/>
      </c>
      <c r="L77" s="59" t="str">
        <f>IF(世帯!L77="","",IF(世帯!L77&lt;&gt;0,'男女　３５～４９才'!L77/世帯!L77,0))</f>
        <v/>
      </c>
      <c r="N77" s="46" t="s">
        <v>35</v>
      </c>
      <c r="O77" s="33" t="n">
        <f>IF(世帯!O77&lt;&gt;0,'男女　３５～４９才'!O77/世帯!O77,0)</f>
        <v>0.4186046511627907</v>
      </c>
      <c r="P77" s="33" t="n">
        <f>IF(世帯!P77&lt;&gt;0,'男女　３５～４９才'!P77/世帯!P77,0)</f>
        <v>0.39024390243902446</v>
      </c>
      <c r="Q77" s="33" t="n">
        <f>IF(世帯!Q77&lt;&gt;0,'男女　３５～４９才'!Q77/世帯!Q77,0)</f>
        <v>0.3870967741935484</v>
      </c>
      <c r="R77" s="33" t="n">
        <f>IF(世帯!R77&lt;&gt;0,'男女　３５～４９才'!R77/世帯!R77,0)</f>
        <v>0.4153005464480874</v>
      </c>
      <c r="S77" s="33" t="n">
        <f>IF(世帯!S77&lt;&gt;0,'男女　３５～４９才'!S77/世帯!S77,0)</f>
        <v>0.4424242424242424</v>
      </c>
      <c r="T77" s="33" t="n">
        <f>IF(世帯!T77&lt;&gt;0,'男女　３５～４９才'!T77/世帯!T77,0)</f>
        <v>0.3954802259887006</v>
      </c>
      <c r="U77" s="33" t="n">
        <f>IF(世帯!U77&lt;&gt;0,'男女　３５～４９才'!U77/世帯!U77,0)</f>
        <v>0.43571428571428567</v>
      </c>
      <c r="V77" s="34" t="n">
        <f>IF(世帯!V77&lt;&gt;0,'男女　３５～４９才'!V77/世帯!V77,0)</f>
        <v>0.4107142857142857</v>
      </c>
      <c r="W77" s="59" t="n">
        <f>IF(世帯!W77&lt;&gt;0,'男女　３５～４９才'!W77/世帯!W77,0)</f>
        <v>0.4121212121212121</v>
      </c>
      <c r="X77" s="63" t="str">
        <f>IF('男女　３５～４９才'!X77="","",'男女　３５～４９才'!X77)</f>
        <v/>
      </c>
      <c r="Y77" s="59" t="str">
        <f>IF(世帯!Y77="","",IF(世帯!Y77&lt;&gt;0,'男女　３５～４９才'!Y77/世帯!Y77,0))</f>
        <v/>
      </c>
      <c r="Z77" s="5"/>
      <c r="AA77" s="9"/>
      <c r="AB77" s="25"/>
      <c r="AC77" s="25"/>
      <c r="AD77" s="25"/>
      <c r="AE77" s="25"/>
      <c r="AF77" s="25"/>
      <c r="AG77" s="25"/>
      <c r="AH77" s="25"/>
      <c r="AI77" s="25"/>
      <c r="AJ77" s="25"/>
      <c r="AK77" s="26"/>
      <c r="AL77" s="25"/>
    </row>
    <row r="78" spans="1:38" x14ac:dyDescent="0.2">
      <c r="A78" s="46" t="s">
        <v>36</v>
      </c>
      <c r="B78" s="33" t="n">
        <f>IF(世帯!B78&lt;&gt;0,'男女　３５～４９才'!B78/世帯!B78,0)</f>
        <v>0.43956043956043955</v>
      </c>
      <c r="C78" s="33" t="n">
        <f>IF(世帯!C78&lt;&gt;0,'男女　３５～４９才'!C78/世帯!C78,0)</f>
        <v>0.431578947368421</v>
      </c>
      <c r="D78" s="33" t="n">
        <f>IF(世帯!D78&lt;&gt;0,'男女　３５～４９才'!D78/世帯!D78,0)</f>
        <v>0.451219512195122</v>
      </c>
      <c r="E78" s="33" t="n">
        <f>IF(世帯!E78&lt;&gt;0,'男女　３５～４９才'!E78/世帯!E78,0)</f>
        <v>0.4807692307692307</v>
      </c>
      <c r="F78" s="33" t="n">
        <f>IF(世帯!F78&lt;&gt;0,'男女　３５～４９才'!F78/世帯!F78,0)</f>
        <v>0.4272727272727273</v>
      </c>
      <c r="G78" s="33" t="n">
        <f>IF(世帯!G78&lt;&gt;0,'男女　３５～４９才'!G78/世帯!G78,0)</f>
        <v>0.4128440366972477</v>
      </c>
      <c r="H78" s="33" t="n">
        <f>IF(世帯!H78&lt;&gt;0,'男女　３５～４９才'!H78/世帯!H78,0)</f>
        <v>0.4444444444444444</v>
      </c>
      <c r="I78" s="34" t="n">
        <f>IF(世帯!I78&lt;&gt;0,'男女　３５～４９才'!I78/世帯!I78,0)</f>
        <v>0.4479166666666667</v>
      </c>
      <c r="J78" s="59" t="n">
        <f>IF(世帯!J78&lt;&gt;0,'男女　３５～４９才'!J78/世帯!J78,0)</f>
        <v>0.443298969072165</v>
      </c>
      <c r="K78" s="63" t="str">
        <f>IF('男女　３５～４９才'!K78="","",'男女　３５～４９才'!K78)</f>
        <v/>
      </c>
      <c r="L78" s="59" t="str">
        <f>IF(世帯!L78="","",IF(世帯!L78&lt;&gt;0,'男女　３５～４９才'!L78/世帯!L78,0))</f>
        <v/>
      </c>
      <c r="N78" s="46" t="s">
        <v>36</v>
      </c>
      <c r="O78" s="33" t="n">
        <f>IF(世帯!O78&lt;&gt;0,'男女　３５～４９才'!O78/世帯!O78,0)</f>
        <v>0.4418604651162791</v>
      </c>
      <c r="P78" s="33" t="n">
        <f>IF(世帯!P78&lt;&gt;0,'男女　３５～４９才'!P78/世帯!P78,0)</f>
        <v>0.4367816091954023</v>
      </c>
      <c r="Q78" s="33" t="n">
        <f>IF(世帯!Q78&lt;&gt;0,'男女　３５～４９才'!Q78/世帯!Q78,0)</f>
        <v>0.4533333333333333</v>
      </c>
      <c r="R78" s="33" t="n">
        <f>IF(世帯!R78&lt;&gt;0,'男女　３５～４９才'!R78/世帯!R78,0)</f>
        <v>0.5053763440860215</v>
      </c>
      <c r="S78" s="33" t="n">
        <f>IF(世帯!S78&lt;&gt;0,'男女　３５～４９才'!S78/世帯!S78,0)</f>
        <v>0.44000000000000006</v>
      </c>
      <c r="T78" s="33" t="n">
        <f>IF(世帯!T78&lt;&gt;0,'男女　３５～４９才'!T78/世帯!T78,0)</f>
        <v>0.411764705882353</v>
      </c>
      <c r="U78" s="33" t="n">
        <f>IF(世帯!U78&lt;&gt;0,'男女　３５～４９才'!U78/世帯!U78,0)</f>
        <v>0.4197530864197531</v>
      </c>
      <c r="V78" s="34" t="n">
        <f>IF(世帯!V78&lt;&gt;0,'男女　３５～４９才'!V78/世帯!V78,0)</f>
        <v>0.45454545454545453</v>
      </c>
      <c r="W78" s="59" t="n">
        <f>IF(世帯!W78&lt;&gt;0,'男女　３５～４９才'!W78/世帯!W78,0)</f>
        <v>0.4382022471910112</v>
      </c>
      <c r="X78" s="63" t="str">
        <f>IF('男女　３５～４９才'!X78="","",'男女　３５～４９才'!X78)</f>
        <v/>
      </c>
      <c r="Y78" s="59" t="str">
        <f>IF(世帯!Y78="","",IF(世帯!Y78&lt;&gt;0,'男女　３５～４９才'!Y78/世帯!Y78,0))</f>
        <v/>
      </c>
      <c r="Z78" s="5"/>
      <c r="AA78" s="9"/>
      <c r="AB78" s="25"/>
      <c r="AC78" s="25"/>
      <c r="AD78" s="25"/>
      <c r="AE78" s="25"/>
      <c r="AF78" s="25"/>
      <c r="AG78" s="25"/>
      <c r="AH78" s="25"/>
      <c r="AI78" s="25"/>
      <c r="AJ78" s="25"/>
      <c r="AK78" s="26"/>
      <c r="AL78" s="25"/>
    </row>
    <row r="79" spans="1:38" x14ac:dyDescent="0.2">
      <c r="A79" s="46" t="s">
        <v>37</v>
      </c>
      <c r="B79" s="33" t="n">
        <f>IF(世帯!B79&lt;&gt;0,'男女　３５～４９才'!B79/世帯!B79,0)</f>
        <v>0.48888888888888893</v>
      </c>
      <c r="C79" s="33" t="n">
        <f>IF(世帯!C79&lt;&gt;0,'男女　３５～４９才'!C79/世帯!C79,0)</f>
        <v>0.46808510638297873</v>
      </c>
      <c r="D79" s="33" t="n">
        <f>IF(世帯!D79&lt;&gt;0,'男女　３５～４９才'!D79/世帯!D79,0)</f>
        <v>0.47727272727272724</v>
      </c>
      <c r="E79" s="33" t="n">
        <f>IF(世帯!E79&lt;&gt;0,'男女　３５～４９才'!E79/世帯!E79,0)</f>
        <v>0.44000000000000006</v>
      </c>
      <c r="F79" s="33" t="n">
        <f>IF(世帯!F79&lt;&gt;0,'男女　３５～４９才'!F79/世帯!F79,0)</f>
        <v>0.4107142857142857</v>
      </c>
      <c r="G79" s="33" t="n">
        <f>IF(世帯!G79&lt;&gt;0,'男女　３５～４９才'!G79/世帯!G79,0)</f>
        <v>0.43548387096774194</v>
      </c>
      <c r="H79" s="33" t="n">
        <f>IF(世帯!H79&lt;&gt;0,'男女　３５～４９才'!H79/世帯!H79,0)</f>
        <v>0.44230769230769224</v>
      </c>
      <c r="I79" s="34" t="n">
        <f>IF(世帯!I79&lt;&gt;0,'男女　３５～４９才'!I79/世帯!I79,0)</f>
        <v>0.45833333333333337</v>
      </c>
      <c r="J79" s="59" t="n">
        <f>IF(世帯!J79&lt;&gt;0,'男女　３５～４９才'!J79/世帯!J79,0)</f>
        <v>0.45999999999999996</v>
      </c>
      <c r="K79" s="63" t="str">
        <f>IF('男女　３５～４９才'!K79="","",'男女　３５～４９才'!K79)</f>
        <v/>
      </c>
      <c r="L79" s="59" t="str">
        <f>IF(世帯!L79="","",IF(世帯!L79&lt;&gt;0,'男女　３５～４９才'!L79/世帯!L79,0))</f>
        <v/>
      </c>
      <c r="N79" s="46" t="s">
        <v>37</v>
      </c>
      <c r="O79" s="33" t="n">
        <f>IF(世帯!O79&lt;&gt;0,'男女　３５～４９才'!O79/世帯!O79,0)</f>
        <v>0.47619047619047616</v>
      </c>
      <c r="P79" s="33" t="n">
        <f>IF(世帯!P79&lt;&gt;0,'男女　３５～４９才'!P79/世帯!P79,0)</f>
        <v>0.48780487804878053</v>
      </c>
      <c r="Q79" s="33" t="n">
        <f>IF(世帯!Q79&lt;&gt;0,'男女　３５～４９才'!Q79/世帯!Q79,0)</f>
        <v>0.48717948717948717</v>
      </c>
      <c r="R79" s="33" t="n">
        <f>IF(世帯!R79&lt;&gt;0,'男女　３５～４９才'!R79/世帯!R79,0)</f>
        <v>0.4666666666666667</v>
      </c>
      <c r="S79" s="33" t="n">
        <f>IF(世帯!S79&lt;&gt;0,'男女　３５～４９才'!S79/世帯!S79,0)</f>
        <v>0.4230769230769231</v>
      </c>
      <c r="T79" s="33" t="n">
        <f>IF(世帯!T79&lt;&gt;0,'男女　３５～４９才'!T79/世帯!T79,0)</f>
        <v>0.45098039215686275</v>
      </c>
      <c r="U79" s="33" t="n">
        <f>IF(世帯!U79&lt;&gt;0,'男女　３５～４９才'!U79/世帯!U79,0)</f>
        <v>0.4</v>
      </c>
      <c r="V79" s="34" t="n">
        <f>IF(世帯!V79&lt;&gt;0,'男女　３５～４９才'!V79/世帯!V79,0)</f>
        <v>0.47727272727272724</v>
      </c>
      <c r="W79" s="59" t="n">
        <f>IF(世帯!W79&lt;&gt;0,'男女　３５～４９才'!W79/世帯!W79,0)</f>
        <v>0.4444444444444444</v>
      </c>
      <c r="X79" s="63" t="str">
        <f>IF('男女　３５～４９才'!X79="","",'男女　３５～４９才'!X79)</f>
        <v/>
      </c>
      <c r="Y79" s="59" t="str">
        <f>IF(世帯!Y79="","",IF(世帯!Y79&lt;&gt;0,'男女　３５～４９才'!Y79/世帯!Y79,0))</f>
        <v/>
      </c>
      <c r="Z79" s="5"/>
      <c r="AA79" s="9"/>
      <c r="AB79" s="25"/>
      <c r="AC79" s="25"/>
      <c r="AD79" s="25"/>
      <c r="AE79" s="25"/>
      <c r="AF79" s="25"/>
      <c r="AG79" s="25"/>
      <c r="AH79" s="25"/>
      <c r="AI79" s="25"/>
      <c r="AJ79" s="25"/>
      <c r="AK79" s="26"/>
      <c r="AL79" s="25"/>
    </row>
    <row r="80" spans="1:38" x14ac:dyDescent="0.2">
      <c r="A80" s="46" t="s">
        <v>38</v>
      </c>
      <c r="B80" s="33" t="n">
        <f>IF(世帯!B80&lt;&gt;0,'男女　３５～４９才'!B80/世帯!B80,0)</f>
        <v>0.5172413793103449</v>
      </c>
      <c r="C80" s="33" t="n">
        <f>IF(世帯!C80&lt;&gt;0,'男女　３５～４９才'!C80/世帯!C80,0)</f>
        <v>0.4666666666666666</v>
      </c>
      <c r="D80" s="33" t="n">
        <f>IF(世帯!D80&lt;&gt;0,'男女　３５～４９才'!D80/世帯!D80,0)</f>
        <v>0.4666666666666666</v>
      </c>
      <c r="E80" s="33" t="n">
        <f>IF(世帯!E80&lt;&gt;0,'男女　３５～４９才'!E80/世帯!E80,0)</f>
        <v>0.48387096774193544</v>
      </c>
      <c r="F80" s="33" t="n">
        <f>IF(世帯!F80&lt;&gt;0,'男女　３５～４９才'!F80/世帯!F80,0)</f>
        <v>0.41935483870967744</v>
      </c>
      <c r="G80" s="33" t="n">
        <f>IF(世帯!G80&lt;&gt;0,'男女　３５～４９才'!G80/世帯!G80,0)</f>
        <v>0.45945945945945943</v>
      </c>
      <c r="H80" s="33" t="n">
        <f>IF(世帯!H80&lt;&gt;0,'男女　３５～４９才'!H80/世帯!H80,0)</f>
        <v>0.4117647058823529</v>
      </c>
      <c r="I80" s="34" t="n">
        <f>IF(世帯!I80&lt;&gt;0,'男女　３５～４９才'!I80/世帯!I80,0)</f>
        <v>0.4666666666666666</v>
      </c>
      <c r="J80" s="59" t="n">
        <f>IF(世帯!J80&lt;&gt;0,'男女　３５～４９才'!J80/世帯!J80,0)</f>
        <v>0.46875</v>
      </c>
      <c r="K80" s="63" t="str">
        <f>IF('男女　３５～４９才'!K80="","",'男女　３５～４９才'!K80)</f>
        <v/>
      </c>
      <c r="L80" s="59" t="str">
        <f>IF(世帯!L80="","",IF(世帯!L80&lt;&gt;0,'男女　３５～４９才'!L80/世帯!L80,0))</f>
        <v/>
      </c>
      <c r="N80" s="46" t="s">
        <v>38</v>
      </c>
      <c r="O80" s="33" t="n">
        <f>IF(世帯!O80&lt;&gt;0,'男女　３５～４９才'!O80/世帯!O80,0)</f>
        <v>0.5185185185185185</v>
      </c>
      <c r="P80" s="33" t="n">
        <f>IF(世帯!P80&lt;&gt;0,'男女　３５～４９才'!P80/世帯!P80,0)</f>
        <v>0.5</v>
      </c>
      <c r="Q80" s="33" t="n">
        <f>IF(世帯!Q80&lt;&gt;0,'男女　３５～４９才'!Q80/世帯!Q80,0)</f>
        <v>0.46428571428571436</v>
      </c>
      <c r="R80" s="33" t="n">
        <f>IF(世帯!R80&lt;&gt;0,'男女　３５～４９才'!R80/世帯!R80,0)</f>
        <v>0.5357142857142857</v>
      </c>
      <c r="S80" s="33" t="n">
        <f>IF(世帯!S80&lt;&gt;0,'男女　３５～４９才'!S80/世帯!S80,0)</f>
        <v>0.4482758620689655</v>
      </c>
      <c r="T80" s="33" t="n">
        <f>IF(世帯!T80&lt;&gt;0,'男女　３５～４９才'!T80/世帯!T80,0)</f>
        <v>0.4666666666666666</v>
      </c>
      <c r="U80" s="33" t="n">
        <f>IF(世帯!U80&lt;&gt;0,'男女　３５～４９才'!U80/世帯!U80,0)</f>
        <v>0.3666666666666667</v>
      </c>
      <c r="V80" s="34" t="n">
        <f>IF(世帯!V80&lt;&gt;0,'男女　３５～４９才'!V80/世帯!V80,0)</f>
        <v>0.48148148148148145</v>
      </c>
      <c r="W80" s="59" t="n">
        <f>IF(世帯!W80&lt;&gt;0,'男女　３５～４９才'!W80/世帯!W80,0)</f>
        <v>0.46428571428571436</v>
      </c>
      <c r="X80" s="63" t="str">
        <f>IF('男女　３５～４９才'!X80="","",'男女　３５～４９才'!X80)</f>
        <v/>
      </c>
      <c r="Y80" s="59" t="str">
        <f>IF(世帯!Y80="","",IF(世帯!Y80&lt;&gt;0,'男女　３５～４９才'!Y80/世帯!Y80,0))</f>
        <v/>
      </c>
      <c r="Z80" s="5"/>
      <c r="AA80" s="9"/>
      <c r="AB80" s="25"/>
      <c r="AC80" s="25"/>
      <c r="AD80" s="25"/>
      <c r="AE80" s="25"/>
      <c r="AF80" s="25"/>
      <c r="AG80" s="25"/>
      <c r="AH80" s="25"/>
      <c r="AI80" s="25"/>
      <c r="AJ80" s="25"/>
      <c r="AK80" s="26"/>
      <c r="AL80" s="25"/>
    </row>
    <row r="81" spans="1:38" x14ac:dyDescent="0.2">
      <c r="A81" s="46" t="s">
        <v>39</v>
      </c>
      <c r="B81" s="33" t="n">
        <f>IF(世帯!B81&lt;&gt;0,'男女　３５～４９才'!B81/世帯!B81,0)</f>
        <v>0.47826086956521746</v>
      </c>
      <c r="C81" s="33" t="n">
        <f>IF(世帯!C81&lt;&gt;0,'男女　３５～４９才'!C81/世帯!C81,0)</f>
        <v>0.4</v>
      </c>
      <c r="D81" s="33" t="n">
        <f>IF(世帯!D81&lt;&gt;0,'男女　３５～４９才'!D81/世帯!D81,0)</f>
        <v>0.44000000000000006</v>
      </c>
      <c r="E81" s="33" t="n">
        <f>IF(世帯!E81&lt;&gt;0,'男女　３５～４９才'!E81/世帯!E81,0)</f>
        <v>0.44000000000000006</v>
      </c>
      <c r="F81" s="33" t="n">
        <f>IF(世帯!F81&lt;&gt;0,'男女　３５～４９才'!F81/世帯!F81,0)</f>
        <v>0.4166666666666667</v>
      </c>
      <c r="G81" s="33" t="n">
        <f>IF(世帯!G81&lt;&gt;0,'男女　３５～４９才'!G81/世帯!G81,0)</f>
        <v>0.4285714285714286</v>
      </c>
      <c r="H81" s="33" t="n">
        <f>IF(世帯!H81&lt;&gt;0,'男女　３５～４９才'!H81/世帯!H81,0)</f>
        <v>0.40740740740740744</v>
      </c>
      <c r="I81" s="34" t="n">
        <f>IF(世帯!I81&lt;&gt;0,'男女　３５～４９才'!I81/世帯!I81,0)</f>
        <v>0.45833333333333337</v>
      </c>
      <c r="J81" s="59" t="n">
        <f>IF(世帯!J81&lt;&gt;0,'男女　３５～４９才'!J81/世帯!J81,0)</f>
        <v>0.44000000000000006</v>
      </c>
      <c r="K81" s="63" t="str">
        <f>IF('男女　３５～４９才'!K81="","",'男女　３５～４９才'!K81)</f>
        <v/>
      </c>
      <c r="L81" s="59" t="str">
        <f>IF(世帯!L81="","",IF(世帯!L81&lt;&gt;0,'男女　３５～４９才'!L81/世帯!L81,0))</f>
        <v/>
      </c>
      <c r="N81" s="46" t="s">
        <v>39</v>
      </c>
      <c r="O81" s="33" t="n">
        <f>IF(世帯!O81&lt;&gt;0,'男女　３５～４９才'!O81/世帯!O81,0)</f>
        <v>0.45454545454545453</v>
      </c>
      <c r="P81" s="33" t="n">
        <f>IF(世帯!P81&lt;&gt;0,'男女　３５～４９才'!P81/世帯!P81,0)</f>
        <v>0.45454545454545453</v>
      </c>
      <c r="Q81" s="33" t="n">
        <f>IF(世帯!Q81&lt;&gt;0,'男女　３５～４９才'!Q81/世帯!Q81,0)</f>
        <v>0.45454545454545453</v>
      </c>
      <c r="R81" s="33" t="n">
        <f>IF(世帯!R81&lt;&gt;0,'男女　３５～４９才'!R81/世帯!R81,0)</f>
        <v>0.45454545454545453</v>
      </c>
      <c r="S81" s="33" t="n">
        <f>IF(世帯!S81&lt;&gt;0,'男女　３５～４９才'!S81/世帯!S81,0)</f>
        <v>0.45454545454545453</v>
      </c>
      <c r="T81" s="33" t="n">
        <f>IF(世帯!T81&lt;&gt;0,'男女　３５～４９才'!T81/世帯!T81,0)</f>
        <v>0.47826086956521746</v>
      </c>
      <c r="U81" s="33" t="n">
        <f>IF(世帯!U81&lt;&gt;0,'男女　３５～４９才'!U81/世帯!U81,0)</f>
        <v>0.375</v>
      </c>
      <c r="V81" s="34" t="n">
        <f>IF(世帯!V81&lt;&gt;0,'男女　３５～４９才'!V81/世帯!V81,0)</f>
        <v>0.45454545454545453</v>
      </c>
      <c r="W81" s="59" t="n">
        <f>IF(世帯!W81&lt;&gt;0,'男女　３５～４９才'!W81/世帯!W81,0)</f>
        <v>0.4347826086956522</v>
      </c>
      <c r="X81" s="63" t="str">
        <f>IF('男女　３５～４９才'!X81="","",'男女　３５～４９才'!X81)</f>
        <v/>
      </c>
      <c r="Y81" s="59" t="str">
        <f>IF(世帯!Y81="","",IF(世帯!Y81&lt;&gt;0,'男女　３５～４９才'!Y81/世帯!Y81,0))</f>
        <v/>
      </c>
      <c r="Z81" s="5"/>
      <c r="AA81" s="9"/>
      <c r="AB81" s="25"/>
      <c r="AC81" s="25"/>
      <c r="AD81" s="25"/>
      <c r="AE81" s="25"/>
      <c r="AF81" s="25"/>
      <c r="AG81" s="25"/>
      <c r="AH81" s="25"/>
      <c r="AI81" s="25"/>
      <c r="AJ81" s="25"/>
      <c r="AK81" s="26"/>
      <c r="AL81" s="25"/>
    </row>
    <row r="82" spans="1:38" x14ac:dyDescent="0.2">
      <c r="A82" s="47" t="s">
        <v>40</v>
      </c>
      <c r="B82" s="60" t="n">
        <f>IF(世帯!B82&lt;&gt;0,'男女　３５～４９才'!B82/世帯!B82,0)</f>
        <v>0.2820512820512821</v>
      </c>
      <c r="C82" s="60" t="n">
        <f>IF(世帯!C82&lt;&gt;0,'男女　３５～４９才'!C82/世帯!C82,0)</f>
        <v>0.24390243902439027</v>
      </c>
      <c r="D82" s="60" t="n">
        <f>IF(世帯!D82&lt;&gt;0,'男女　３５～４９才'!D82/世帯!D82,0)</f>
        <v>0.3</v>
      </c>
      <c r="E82" s="60" t="n">
        <f>IF(世帯!E82&lt;&gt;0,'男女　３５～４９才'!E82/世帯!E82,0)</f>
        <v>0.3076923076923077</v>
      </c>
      <c r="F82" s="60" t="n">
        <f>IF(世帯!F82&lt;&gt;0,'男女　３５～４９才'!F82/世帯!F82,0)</f>
        <v>0.3333333333333333</v>
      </c>
      <c r="G82" s="60" t="n">
        <f>IF(世帯!G82&lt;&gt;0,'男女　３５～４９才'!G82/世帯!G82,0)</f>
        <v>0.34615384615384615</v>
      </c>
      <c r="H82" s="60" t="n">
        <f>IF(世帯!H82&lt;&gt;0,'男女　３５～４９才'!H82/世帯!H82,0)</f>
        <v>0.26829268292682934</v>
      </c>
      <c r="I82" s="61" t="n">
        <f>IF(世帯!I82&lt;&gt;0,'男女　３５～４９才'!I82/世帯!I82,0)</f>
        <v>0.2894736842105263</v>
      </c>
      <c r="J82" s="62" t="n">
        <f>IF(世帯!J82&lt;&gt;0,'男女　３５～４９才'!J82/世帯!J82,0)</f>
        <v>0.2972972972972973</v>
      </c>
      <c r="K82" s="64" t="str">
        <f>IF('男女　３５～４９才'!K82="","",'男女　３５～４９才'!K82)</f>
        <v/>
      </c>
      <c r="L82" s="62" t="str">
        <f>IF(世帯!L82="","",IF(世帯!L82&lt;&gt;0,'男女　３５～４９才'!L82/世帯!L82,0))</f>
        <v/>
      </c>
      <c r="N82" s="47" t="s">
        <v>40</v>
      </c>
      <c r="O82" s="60" t="n">
        <f>IF(世帯!O82&lt;&gt;0,'男女　３５～４９才'!O82/世帯!O82,0)</f>
        <v>0.2820512820512821</v>
      </c>
      <c r="P82" s="60" t="n">
        <f>IF(世帯!P82&lt;&gt;0,'男女　３５～４９才'!P82/世帯!P82,0)</f>
        <v>0.25641025641025644</v>
      </c>
      <c r="Q82" s="60" t="n">
        <f>IF(世帯!Q82&lt;&gt;0,'男女　３５～４９才'!Q82/世帯!Q82,0)</f>
        <v>0.3076923076923077</v>
      </c>
      <c r="R82" s="60" t="n">
        <f>IF(世帯!R82&lt;&gt;0,'男女　３５～４９才'!R82/世帯!R82,0)</f>
        <v>0.2894736842105263</v>
      </c>
      <c r="S82" s="60" t="n">
        <f>IF(世帯!S82&lt;&gt;0,'男女　３５～４９才'!S82/世帯!S82,0)</f>
        <v>0.3448275862068966</v>
      </c>
      <c r="T82" s="60" t="n">
        <f>IF(世帯!T82&lt;&gt;0,'男女　３５～４９才'!T82/世帯!T82,0)</f>
        <v>0.3478260869565218</v>
      </c>
      <c r="U82" s="60" t="n">
        <f>IF(世帯!U82&lt;&gt;0,'男女　３５～４９才'!U82/世帯!U82,0)</f>
        <v>0.25</v>
      </c>
      <c r="V82" s="61" t="n">
        <f>IF(世帯!V82&lt;&gt;0,'男女　３５～４９才'!V82/世帯!V82,0)</f>
        <v>0.2972972972972973</v>
      </c>
      <c r="W82" s="62" t="n">
        <f>IF(世帯!W82&lt;&gt;0,'男女　３５～４９才'!W82/世帯!W82,0)</f>
        <v>0.2777777777777778</v>
      </c>
      <c r="X82" s="64" t="str">
        <f>IF('男女　３５～４９才'!X82="","",'男女　３５～４９才'!X82)</f>
        <v/>
      </c>
      <c r="Y82" s="62" t="str">
        <f>IF(世帯!Y82="","",IF(世帯!Y82&lt;&gt;0,'男女　３５～４９才'!Y82/世帯!Y82,0))</f>
        <v/>
      </c>
      <c r="Z82" s="5"/>
      <c r="AA82" s="9"/>
      <c r="AB82" s="25"/>
      <c r="AC82" s="25"/>
      <c r="AD82" s="25"/>
      <c r="AE82" s="25"/>
      <c r="AF82" s="25"/>
      <c r="AG82" s="25"/>
      <c r="AH82" s="25"/>
      <c r="AI82" s="25"/>
      <c r="AJ82" s="25"/>
      <c r="AK82" s="26"/>
      <c r="AL82" s="25"/>
    </row>
    <row r="83" spans="1:38" x14ac:dyDescent="0.2"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spans="1:39" x14ac:dyDescent="0.2">
      <c r="A84" s="5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ht="13" r="85" spans="1:39" x14ac:dyDescent="0.2">
      <c r="A85" s="5" t="str">
        <f>IF(ISERR(LEFT('男女　３５～４９才'!A85,LEN('男女　３５～４９才'!A85)-15)),"ゾーン平均ターゲットファクター比較",LEFT('男女　３５～４９才'!A85,LEN('男女　３５～４９才'!A85)-15)&amp;"　ゾーン平均ターゲットファクター比較")</f>
        <v>男女　３５　ゾーン平均ターゲットファクター比較</v>
      </c>
      <c r="B85" s="7"/>
      <c r="C85" s="7"/>
      <c r="D85" s="7"/>
      <c r="E85" s="7"/>
      <c r="F85" s="7"/>
      <c r="G85"/>
      <c r="H85"/>
      <c r="I8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x14ac:dyDescent="0.2">
      <c r="A86" s="82" t="s">
        <v>15</v>
      </c>
      <c r="B86" s="82" t="str">
        <f>IF('男女　３５～４９才'!B86="","",'男女　３５～４９才'!B86)</f>
        <v>ＮＴＶ</v>
      </c>
      <c r="C86" s="82" t="str">
        <f>IF('男女　３５～４９才'!C86="","",'男女　３５～４９才'!C86)</f>
        <v>ＥＸ</v>
      </c>
      <c r="D86" s="82" t="str">
        <f>IF('男女　３５～４９才'!D86="","",'男女　３５～４９才'!D86)</f>
        <v>ＴＢＳ</v>
      </c>
      <c r="E86" s="82" t="str">
        <f>IF('男女　３５～４９才'!E86="","",'男女　３５～４９才'!E86)</f>
        <v>ＴＸ</v>
      </c>
      <c r="F86" s="82" t="str">
        <f>IF('男女　３５～４９才'!F86="","",'男女　３５～４９才'!F86)</f>
        <v>ＣＸ</v>
      </c>
      <c r="G86" s="82" t="str">
        <f>IF('男女　３５～４９才'!G86="","",'男女　３５～４９才'!G86)</f>
        <v>全局</v>
      </c>
      <c r="H86" s="82" t="str">
        <f>IF('男女　３５～４９才'!H86="","",'男女　３５～４９才'!H86)</f>
        <v>民放各局計</v>
      </c>
      <c r="I86" s="82" t="str">
        <f>IF('男女　３５～４９才'!I86="","",'男女　３５～４９才'!I86)</f>
        <v>ＴＸ系列を除く民放各局計</v>
      </c>
      <c r="J86" s="9" t="str">
        <f>IF('男女　３５～４９才'!J150="","",'男女　３５～４９才'!J150)</f>
        <v/>
      </c>
      <c r="K86" s="9" t="str">
        <f>IF('男女　３５～４９才'!K150="","",'男女　３５～４９才'!K150)</f>
        <v/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x14ac:dyDescent="0.2">
      <c r="A87" s="86" t="str">
        <f>IF('男女　３５～４９才'!A87="","",'男女　３５～４９才'!A87)</f>
        <v/>
      </c>
      <c r="B87" s="87" t="str">
        <f>IF(世帯!B87="","",IF(世帯!B87&lt;&gt;0,'男女　３５～４９才'!B87/世帯!B87,0))</f>
        <v/>
      </c>
      <c r="C87" s="87" t="str">
        <f>IF(世帯!C87="","",IF(世帯!C87&lt;&gt;0,'男女　３５～４９才'!C87/世帯!C87,0))</f>
        <v/>
      </c>
      <c r="D87" s="87" t="str">
        <f>IF(世帯!D87="","",IF(世帯!D87&lt;&gt;0,'男女　３５～４９才'!D87/世帯!D87,0))</f>
        <v/>
      </c>
      <c r="E87" s="87" t="str">
        <f>IF(世帯!E87="","",IF(世帯!E87&lt;&gt;0,'男女　３５～４９才'!E87/世帯!E87,0))</f>
        <v/>
      </c>
      <c r="F87" s="87" t="str">
        <f>IF(世帯!F87="","",IF(世帯!F87&lt;&gt;0,'男女　３５～４９才'!F87/世帯!F87,0))</f>
        <v/>
      </c>
      <c r="G87" s="87" t="str">
        <f>IF(世帯!G87="","",IF(世帯!G87&lt;&gt;0,'男女　３５～４９才'!G87/世帯!G87,0))</f>
        <v/>
      </c>
      <c r="H87" s="87" t="str">
        <f>IF(世帯!H87="","",IF(世帯!H87&lt;&gt;0,'男女　３５～４９才'!H87/世帯!H87,0))</f>
        <v/>
      </c>
      <c r="I87" s="87" t="str">
        <f>IF(世帯!I87="","",IF(世帯!I87&lt;&gt;0,'男女　３５～４９才'!I87/世帯!I87,0))</f>
        <v/>
      </c>
      <c r="J87" s="12" t="str">
        <f>IF(世帯!J151="","",IF(世帯!J151&lt;&gt;0,'男女　３５～４９才'!J151/世帯!J151,0))</f>
        <v/>
      </c>
      <c r="K87" s="12" t="str">
        <f>IF(世帯!K151="","",IF(世帯!K151&lt;&gt;0,'男女　３５～４９才'!K151/世帯!K151,0))</f>
        <v/>
      </c>
    </row>
    <row r="88" spans="1:39" x14ac:dyDescent="0.2">
      <c r="A88" s="86" t="str">
        <f>IF('男女　３５～４９才'!A88="","",'男女　３５～４９才'!A88)</f>
        <v/>
      </c>
      <c r="B88" s="87" t="str">
        <f>IF(世帯!B88="","",IF(世帯!B88&lt;&gt;0,'男女　３５～４９才'!B88/世帯!B88,0))</f>
        <v/>
      </c>
      <c r="C88" s="87" t="str">
        <f>IF(世帯!C88="","",IF(世帯!C88&lt;&gt;0,'男女　３５～４９才'!C88/世帯!C88,0))</f>
        <v/>
      </c>
      <c r="D88" s="87" t="str">
        <f>IF(世帯!D88="","",IF(世帯!D88&lt;&gt;0,'男女　３５～４９才'!D88/世帯!D88,0))</f>
        <v/>
      </c>
      <c r="E88" s="87" t="str">
        <f>IF(世帯!E88="","",IF(世帯!E88&lt;&gt;0,'男女　３５～４９才'!E88/世帯!E88,0))</f>
        <v/>
      </c>
      <c r="F88" s="87" t="str">
        <f>IF(世帯!F88="","",IF(世帯!F88&lt;&gt;0,'男女　３５～４９才'!F88/世帯!F88,0))</f>
        <v/>
      </c>
      <c r="G88" s="87" t="str">
        <f>IF(世帯!G88="","",IF(世帯!G88&lt;&gt;0,'男女　３５～４９才'!G88/世帯!G88,0))</f>
        <v/>
      </c>
      <c r="H88" s="87" t="str">
        <f>IF(世帯!H88="","",IF(世帯!H88&lt;&gt;0,'男女　３５～４９才'!H88/世帯!H88,0))</f>
        <v/>
      </c>
      <c r="I88" s="87" t="str">
        <f>IF(世帯!I88="","",IF(世帯!I88&lt;&gt;0,'男女　３５～４９才'!I88/世帯!I88,0))</f>
        <v/>
      </c>
      <c r="J88" s="12" t="str">
        <f>IF(世帯!J152="","",IF(世帯!J152&lt;&gt;0,'男女　３５～４９才'!J152/世帯!J152,0))</f>
        <v/>
      </c>
      <c r="K88" s="12" t="str">
        <f>IF(世帯!K152="","",IF(世帯!K152&lt;&gt;0,'男女　３５～４９才'!K152/世帯!K152,0))</f>
        <v/>
      </c>
    </row>
    <row r="89" spans="1:39" x14ac:dyDescent="0.2">
      <c r="A89" s="86" t="str">
        <f>IF('男女　３５～４９才'!A89="","",'男女　３５～４９才'!A89)</f>
        <v/>
      </c>
      <c r="B89" s="87" t="str">
        <f>IF(世帯!B89="","",IF(世帯!B89&lt;&gt;0,'男女　３５～４９才'!B89/世帯!B89,0))</f>
        <v/>
      </c>
      <c r="C89" s="87" t="str">
        <f>IF(世帯!C89="","",IF(世帯!C89&lt;&gt;0,'男女　３５～４９才'!C89/世帯!C89,0))</f>
        <v/>
      </c>
      <c r="D89" s="87" t="str">
        <f>IF(世帯!D89="","",IF(世帯!D89&lt;&gt;0,'男女　３５～４９才'!D89/世帯!D89,0))</f>
        <v/>
      </c>
      <c r="E89" s="87" t="str">
        <f>IF(世帯!E89="","",IF(世帯!E89&lt;&gt;0,'男女　３５～４９才'!E89/世帯!E89,0))</f>
        <v/>
      </c>
      <c r="F89" s="87" t="str">
        <f>IF(世帯!F89="","",IF(世帯!F89&lt;&gt;0,'男女　３５～４９才'!F89/世帯!F89,0))</f>
        <v/>
      </c>
      <c r="G89" s="87" t="str">
        <f>IF(世帯!G89="","",IF(世帯!G89&lt;&gt;0,'男女　３５～４９才'!G89/世帯!G89,0))</f>
        <v/>
      </c>
      <c r="H89" s="87" t="str">
        <f>IF(世帯!H89="","",IF(世帯!H89&lt;&gt;0,'男女　３５～４９才'!H89/世帯!H89,0))</f>
        <v/>
      </c>
      <c r="I89" s="87" t="str">
        <f>IF(世帯!I89="","",IF(世帯!I89&lt;&gt;0,'男女　３５～４９才'!I89/世帯!I89,0))</f>
        <v/>
      </c>
      <c r="J89" s="12" t="str">
        <f>IF(世帯!J153="","",IF(世帯!J153&lt;&gt;0,'男女　３５～４９才'!J153/世帯!J153,0))</f>
        <v/>
      </c>
      <c r="K89" s="12" t="str">
        <f>IF(世帯!K153="","",IF(世帯!K153&lt;&gt;0,'男女　３５～４９才'!K153/世帯!K153,0))</f>
        <v/>
      </c>
    </row>
    <row r="90" spans="1:39" x14ac:dyDescent="0.2">
      <c r="A90" s="86" t="str">
        <f>IF('男女　３５～４９才'!A90="","",'男女　３５～４９才'!A90)</f>
        <v/>
      </c>
      <c r="B90" s="87" t="str">
        <f>IF(世帯!B90="","",IF(世帯!B90&lt;&gt;0,'男女　３５～４９才'!B90/世帯!B90,0))</f>
        <v/>
      </c>
      <c r="C90" s="87" t="str">
        <f>IF(世帯!C90="","",IF(世帯!C90&lt;&gt;0,'男女　３５～４９才'!C90/世帯!C90,0))</f>
        <v/>
      </c>
      <c r="D90" s="87" t="str">
        <f>IF(世帯!D90="","",IF(世帯!D90&lt;&gt;0,'男女　３５～４９才'!D90/世帯!D90,0))</f>
        <v/>
      </c>
      <c r="E90" s="87" t="str">
        <f>IF(世帯!E90="","",IF(世帯!E90&lt;&gt;0,'男女　３５～４９才'!E90/世帯!E90,0))</f>
        <v/>
      </c>
      <c r="F90" s="87" t="str">
        <f>IF(世帯!F90="","",IF(世帯!F90&lt;&gt;0,'男女　３５～４９才'!F90/世帯!F90,0))</f>
        <v/>
      </c>
      <c r="G90" s="87" t="str">
        <f>IF(世帯!G90="","",IF(世帯!G90&lt;&gt;0,'男女　３５～４９才'!G90/世帯!G90,0))</f>
        <v/>
      </c>
      <c r="H90" s="87" t="str">
        <f>IF(世帯!H90="","",IF(世帯!H90&lt;&gt;0,'男女　３５～４９才'!H90/世帯!H90,0))</f>
        <v/>
      </c>
      <c r="I90" s="87" t="str">
        <f>IF(世帯!I90="","",IF(世帯!I90&lt;&gt;0,'男女　３５～４９才'!I90/世帯!I90,0))</f>
        <v/>
      </c>
      <c r="J90" s="12" t="str">
        <f>IF(世帯!J154="","",IF(世帯!J154&lt;&gt;0,'男女　３５～４９才'!J154/世帯!J154,0))</f>
        <v/>
      </c>
      <c r="K90" s="12" t="str">
        <f>IF(世帯!K154="","",IF(世帯!K154&lt;&gt;0,'男女　３５～４９才'!K154/世帯!K154,0))</f>
        <v/>
      </c>
    </row>
    <row r="91" spans="1:39" x14ac:dyDescent="0.2">
      <c r="A91" s="86" t="str">
        <f>IF('男女　３５～４９才'!A91="","",'男女　３５～４９才'!A91)</f>
        <v/>
      </c>
      <c r="B91" s="87" t="str">
        <f>IF(世帯!B91="","",IF(世帯!B91&lt;&gt;0,'男女　３５～４９才'!B91/世帯!B91,0))</f>
        <v/>
      </c>
      <c r="C91" s="87" t="str">
        <f>IF(世帯!C91="","",IF(世帯!C91&lt;&gt;0,'男女　３５～４９才'!C91/世帯!C91,0))</f>
        <v/>
      </c>
      <c r="D91" s="87" t="str">
        <f>IF(世帯!D91="","",IF(世帯!D91&lt;&gt;0,'男女　３５～４９才'!D91/世帯!D91,0))</f>
        <v/>
      </c>
      <c r="E91" s="87" t="str">
        <f>IF(世帯!E91="","",IF(世帯!E91&lt;&gt;0,'男女　３５～４９才'!E91/世帯!E91,0))</f>
        <v/>
      </c>
      <c r="F91" s="87" t="str">
        <f>IF(世帯!F91="","",IF(世帯!F91&lt;&gt;0,'男女　３５～４９才'!F91/世帯!F91,0))</f>
        <v/>
      </c>
      <c r="G91" s="87" t="str">
        <f>IF(世帯!G91="","",IF(世帯!G91&lt;&gt;0,'男女　３５～４９才'!G91/世帯!G91,0))</f>
        <v/>
      </c>
      <c r="H91" s="87" t="str">
        <f>IF(世帯!H91="","",IF(世帯!H91&lt;&gt;0,'男女　３５～４９才'!H91/世帯!H91,0))</f>
        <v/>
      </c>
      <c r="I91" s="87" t="str">
        <f>IF(世帯!I91="","",IF(世帯!I91&lt;&gt;0,'男女　３５～４９才'!I91/世帯!I91,0))</f>
        <v/>
      </c>
      <c r="J91" s="12" t="str">
        <f>IF(世帯!J155="","",IF(世帯!J155&lt;&gt;0,'男女　３５～４９才'!J155/世帯!J155,0))</f>
        <v/>
      </c>
      <c r="K91" s="12" t="str">
        <f>IF(世帯!K155="","",IF(世帯!K155&lt;&gt;0,'男女　３５～４９才'!K155/世帯!K155,0))</f>
        <v/>
      </c>
    </row>
    <row r="92" spans="1:39" x14ac:dyDescent="0.2">
      <c r="A92" s="86" t="str">
        <f>IF('男女　３５～４９才'!A92="","",'男女　３５～４９才'!A92)</f>
        <v/>
      </c>
      <c r="B92" s="87" t="str">
        <f>IF(世帯!B92="","",IF(世帯!B92&lt;&gt;0,'男女　３５～４９才'!B92/世帯!B92,0))</f>
        <v/>
      </c>
      <c r="C92" s="87" t="str">
        <f>IF(世帯!C92="","",IF(世帯!C92&lt;&gt;0,'男女　３５～４９才'!C92/世帯!C92,0))</f>
        <v/>
      </c>
      <c r="D92" s="87" t="str">
        <f>IF(世帯!D92="","",IF(世帯!D92&lt;&gt;0,'男女　３５～４９才'!D92/世帯!D92,0))</f>
        <v/>
      </c>
      <c r="E92" s="87" t="str">
        <f>IF(世帯!E92="","",IF(世帯!E92&lt;&gt;0,'男女　３５～４９才'!E92/世帯!E92,0))</f>
        <v/>
      </c>
      <c r="F92" s="87" t="str">
        <f>IF(世帯!F92="","",IF(世帯!F92&lt;&gt;0,'男女　３５～４９才'!F92/世帯!F92,0))</f>
        <v/>
      </c>
      <c r="G92" s="87" t="str">
        <f>IF(世帯!G92="","",IF(世帯!G92&lt;&gt;0,'男女　３５～４９才'!G92/世帯!G92,0))</f>
        <v/>
      </c>
      <c r="H92" s="87" t="str">
        <f>IF(世帯!H92="","",IF(世帯!H92&lt;&gt;0,'男女　３５～４９才'!H92/世帯!H92,0))</f>
        <v/>
      </c>
      <c r="I92" s="87" t="str">
        <f>IF(世帯!I92="","",IF(世帯!I92&lt;&gt;0,'男女　３５～４９才'!I92/世帯!I92,0))</f>
        <v/>
      </c>
      <c r="J92" s="12" t="str">
        <f>IF(世帯!J156="","",IF(世帯!J156&lt;&gt;0,'男女　３５～４９才'!J156/世帯!J156,0))</f>
        <v/>
      </c>
      <c r="K92" s="12" t="str">
        <f>IF(世帯!K156="","",IF(世帯!K156&lt;&gt;0,'男女　３５～４９才'!K156/世帯!K156,0))</f>
        <v/>
      </c>
    </row>
    <row r="93" spans="1:39" x14ac:dyDescent="0.2">
      <c r="A93" s="86" t="str">
        <f>IF('男女　３５～４９才'!A93="","",'男女　３５～４９才'!A93)</f>
        <v/>
      </c>
      <c r="B93" s="87" t="str">
        <f>IF(世帯!B93="","",IF(世帯!B93&lt;&gt;0,'男女　３５～４９才'!B93/世帯!B93,0))</f>
        <v/>
      </c>
      <c r="C93" s="87" t="str">
        <f>IF(世帯!C93="","",IF(世帯!C93&lt;&gt;0,'男女　３５～４９才'!C93/世帯!C93,0))</f>
        <v/>
      </c>
      <c r="D93" s="87" t="str">
        <f>IF(世帯!D93="","",IF(世帯!D93&lt;&gt;0,'男女　３５～４９才'!D93/世帯!D93,0))</f>
        <v/>
      </c>
      <c r="E93" s="87" t="str">
        <f>IF(世帯!E93="","",IF(世帯!E93&lt;&gt;0,'男女　３５～４９才'!E93/世帯!E93,0))</f>
        <v/>
      </c>
      <c r="F93" s="87" t="str">
        <f>IF(世帯!F93="","",IF(世帯!F93&lt;&gt;0,'男女　３５～４９才'!F93/世帯!F93,0))</f>
        <v/>
      </c>
      <c r="G93" s="87" t="str">
        <f>IF(世帯!G93="","",IF(世帯!G93&lt;&gt;0,'男女　３５～４９才'!G93/世帯!G93,0))</f>
        <v/>
      </c>
      <c r="H93" s="87" t="str">
        <f>IF(世帯!H93="","",IF(世帯!H93&lt;&gt;0,'男女　３５～４９才'!H93/世帯!H93,0))</f>
        <v/>
      </c>
      <c r="I93" s="87" t="str">
        <f>IF(世帯!I93="","",IF(世帯!I93&lt;&gt;0,'男女　３５～４９才'!I93/世帯!I93,0))</f>
        <v/>
      </c>
      <c r="J93" s="12" t="str">
        <f>IF(世帯!J157="","",IF(世帯!J157&lt;&gt;0,'男女　３５～４９才'!J157/世帯!J157,0))</f>
        <v/>
      </c>
      <c r="K93" s="12" t="str">
        <f>IF(世帯!K157="","",IF(世帯!K157&lt;&gt;0,'男女　３５～４９才'!K157/世帯!K157,0))</f>
        <v/>
      </c>
    </row>
    <row r="94" spans="1:11" x14ac:dyDescent="0.2">
      <c r="A94" s="86" t="str">
        <f>IF('男女　３５～４９才'!A94="","",'男女　３５～４９才'!A94)</f>
        <v/>
      </c>
      <c r="B94" s="87" t="str">
        <f>IF(世帯!B94="","",IF(世帯!B94&lt;&gt;0,'男女　３５～４９才'!B94/世帯!B94,0))</f>
        <v/>
      </c>
      <c r="C94" s="87" t="str">
        <f>IF(世帯!C94="","",IF(世帯!C94&lt;&gt;0,'男女　３５～４９才'!C94/世帯!C94,0))</f>
        <v/>
      </c>
      <c r="D94" s="87" t="str">
        <f>IF(世帯!D94="","",IF(世帯!D94&lt;&gt;0,'男女　３５～４９才'!D94/世帯!D94,0))</f>
        <v/>
      </c>
      <c r="E94" s="87" t="str">
        <f>IF(世帯!E94="","",IF(世帯!E94&lt;&gt;0,'男女　３５～４９才'!E94/世帯!E94,0))</f>
        <v/>
      </c>
      <c r="F94" s="87" t="str">
        <f>IF(世帯!F94="","",IF(世帯!F94&lt;&gt;0,'男女　３５～４９才'!F94/世帯!F94,0))</f>
        <v/>
      </c>
      <c r="G94" s="87" t="str">
        <f>IF(世帯!G94="","",IF(世帯!G94&lt;&gt;0,'男女　３５～４９才'!G94/世帯!G94,0))</f>
        <v/>
      </c>
      <c r="H94" s="87" t="str">
        <f>IF(世帯!H94="","",IF(世帯!H94&lt;&gt;0,'男女　３５～４９才'!H94/世帯!H94,0))</f>
        <v/>
      </c>
      <c r="I94" s="87" t="str">
        <f>IF(世帯!I94="","",IF(世帯!I94&lt;&gt;0,'男女　３５～４９才'!I94/世帯!I94,0))</f>
        <v/>
      </c>
      <c r="J94" s="12" t="str">
        <f>IF(世帯!J158="","",IF(世帯!J158&lt;&gt;0,'男女　３５～４９才'!J158/世帯!J158,0))</f>
        <v/>
      </c>
      <c r="K94" s="12" t="str">
        <f>IF(世帯!K158="","",IF(世帯!K158&lt;&gt;0,'男女　３５～４９才'!K158/世帯!K158,0))</f>
        <v/>
      </c>
    </row>
    <row r="95" spans="1:11" x14ac:dyDescent="0.2">
      <c r="A95" s="86" t="str">
        <f>IF('男女　３５～４９才'!A95="","",'男女　３５～４９才'!A95)</f>
        <v/>
      </c>
      <c r="B95" s="87" t="str">
        <f>IF(世帯!B95="","",IF(世帯!B95&lt;&gt;0,'男女　３５～４９才'!B95/世帯!B95,0))</f>
        <v/>
      </c>
      <c r="C95" s="87" t="str">
        <f>IF(世帯!C95="","",IF(世帯!C95&lt;&gt;0,'男女　３５～４９才'!C95/世帯!C95,0))</f>
        <v/>
      </c>
      <c r="D95" s="87" t="str">
        <f>IF(世帯!D95="","",IF(世帯!D95&lt;&gt;0,'男女　３５～４９才'!D95/世帯!D95,0))</f>
        <v/>
      </c>
      <c r="E95" s="87" t="str">
        <f>IF(世帯!E95="","",IF(世帯!E95&lt;&gt;0,'男女　３５～４９才'!E95/世帯!E95,0))</f>
        <v/>
      </c>
      <c r="F95" s="87" t="str">
        <f>IF(世帯!F95="","",IF(世帯!F95&lt;&gt;0,'男女　３５～４９才'!F95/世帯!F95,0))</f>
        <v/>
      </c>
      <c r="G95" s="87" t="str">
        <f>IF(世帯!G95="","",IF(世帯!G95&lt;&gt;0,'男女　３５～４９才'!G95/世帯!G95,0))</f>
        <v/>
      </c>
      <c r="H95" s="87" t="str">
        <f>IF(世帯!H95="","",IF(世帯!H95&lt;&gt;0,'男女　３５～４９才'!H95/世帯!H95,0))</f>
        <v/>
      </c>
      <c r="I95" s="87" t="str">
        <f>IF(世帯!I95="","",IF(世帯!I95&lt;&gt;0,'男女　３５～４９才'!I95/世帯!I95,0))</f>
        <v/>
      </c>
      <c r="J95" s="12" t="str">
        <f>IF(世帯!J159="","",IF(世帯!J159&lt;&gt;0,'男女　３５～４９才'!J159/世帯!J159,0))</f>
        <v/>
      </c>
      <c r="K95" s="12" t="str">
        <f>IF(世帯!K159="","",IF(世帯!K159&lt;&gt;0,'男女　３５～４９才'!K159/世帯!K159,0))</f>
        <v/>
      </c>
    </row>
    <row r="96" spans="1:11" x14ac:dyDescent="0.2">
      <c r="A96" s="86" t="str">
        <f>IF('男女　３５～４９才'!A96="","",'男女　３５～４９才'!A96)</f>
        <v/>
      </c>
      <c r="B96" s="87" t="str">
        <f>IF(世帯!B96="","",IF(世帯!B96&lt;&gt;0,'男女　３５～４９才'!B96/世帯!B96,0))</f>
        <v/>
      </c>
      <c r="C96" s="87" t="str">
        <f>IF(世帯!C96="","",IF(世帯!C96&lt;&gt;0,'男女　３５～４９才'!C96/世帯!C96,0))</f>
        <v/>
      </c>
      <c r="D96" s="87" t="str">
        <f>IF(世帯!D96="","",IF(世帯!D96&lt;&gt;0,'男女　３５～４９才'!D96/世帯!D96,0))</f>
        <v/>
      </c>
      <c r="E96" s="87" t="str">
        <f>IF(世帯!E96="","",IF(世帯!E96&lt;&gt;0,'男女　３５～４９才'!E96/世帯!E96,0))</f>
        <v/>
      </c>
      <c r="F96" s="87" t="str">
        <f>IF(世帯!F96="","",IF(世帯!F96&lt;&gt;0,'男女　３５～４９才'!F96/世帯!F96,0))</f>
        <v/>
      </c>
      <c r="G96" s="87" t="str">
        <f>IF(世帯!G96="","",IF(世帯!G96&lt;&gt;0,'男女　３５～４９才'!G96/世帯!G96,0))</f>
        <v/>
      </c>
      <c r="H96" s="87" t="str">
        <f>IF(世帯!H96="","",IF(世帯!H96&lt;&gt;0,'男女　３５～４９才'!H96/世帯!H96,0))</f>
        <v/>
      </c>
      <c r="I96" s="87" t="str">
        <f>IF(世帯!I96="","",IF(世帯!I96&lt;&gt;0,'男女　３５～４９才'!I96/世帯!I96,0))</f>
        <v/>
      </c>
      <c r="J96" s="12" t="str">
        <f>IF(世帯!J160="","",IF(世帯!J160&lt;&gt;0,'男女　３５～４９才'!J160/世帯!J160,0))</f>
        <v/>
      </c>
      <c r="K96" s="12" t="str">
        <f>IF(世帯!K160="","",IF(世帯!K160&lt;&gt;0,'男女　３５～４９才'!K160/世帯!K160,0))</f>
        <v/>
      </c>
    </row>
    <row r="97" spans="1:11" x14ac:dyDescent="0.2">
      <c r="A97" s="5"/>
      <c r="B97" s="8"/>
      <c r="C97" s="8"/>
      <c r="D97" s="8"/>
      <c r="E97" s="8"/>
      <c r="F97" s="8"/>
    </row>
    <row r="98" spans="1:11" x14ac:dyDescent="0.2">
      <c r="A98" s="5"/>
    </row>
    <row r="99" spans="1:11" x14ac:dyDescent="0.2">
      <c r="A99" s="5"/>
    </row>
    <row r="100" spans="1:11" x14ac:dyDescent="0.2">
      <c r="A100" s="5"/>
    </row>
    <row r="101" spans="1:11" x14ac:dyDescent="0.2">
      <c r="A101" s="5"/>
    </row>
    <row r="102" spans="1:11" x14ac:dyDescent="0.2">
      <c r="A102" s="5"/>
    </row>
    <row r="103" spans="1:11" x14ac:dyDescent="0.2">
      <c r="A103" s="5"/>
    </row>
    <row r="104" spans="1:11" x14ac:dyDescent="0.2">
      <c r="A104" s="5"/>
    </row>
    <row r="105" spans="1:11" x14ac:dyDescent="0.2">
      <c r="A105" s="5"/>
    </row>
    <row r="106" spans="1:11" x14ac:dyDescent="0.2">
      <c r="A106" s="5"/>
    </row>
    <row r="107" spans="1:11" x14ac:dyDescent="0.2">
      <c r="A107" s="5"/>
    </row>
    <row r="108" spans="1:11" x14ac:dyDescent="0.2">
      <c r="A108" s="5"/>
    </row>
    <row r="109" spans="1:11" x14ac:dyDescent="0.2">
      <c r="A109" s="5"/>
    </row>
    <row r="110" spans="1:1" x14ac:dyDescent="0.2">
      <c r="A110" s="5"/>
    </row>
    <row r="111" spans="1:1" x14ac:dyDescent="0.2">
      <c r="A111" s="5"/>
    </row>
    <row r="112" spans="1:1" x14ac:dyDescent="0.2">
      <c r="A112" s="5"/>
    </row>
    <row r="113" spans="1:1" x14ac:dyDescent="0.2">
      <c r="A113" s="5"/>
    </row>
    <row r="114" spans="1:1" x14ac:dyDescent="0.2">
      <c r="A114" s="5"/>
    </row>
    <row r="115" spans="1:1" x14ac:dyDescent="0.2">
      <c r="A115" s="5"/>
    </row>
    <row r="116" spans="1:1" x14ac:dyDescent="0.2">
      <c r="A116" s="5"/>
    </row>
    <row r="117" spans="1:1" x14ac:dyDescent="0.2">
      <c r="A117" s="5"/>
    </row>
    <row r="118" spans="1:1" x14ac:dyDescent="0.2">
      <c r="A118" s="5"/>
    </row>
    <row r="119" spans="1:1" x14ac:dyDescent="0.2">
      <c r="A119" s="5"/>
    </row>
    <row r="120" spans="1:1" x14ac:dyDescent="0.2">
      <c r="A120" s="5"/>
    </row>
    <row r="121" spans="1:1" x14ac:dyDescent="0.2">
      <c r="A121" s="5"/>
    </row>
    <row r="122" spans="1:1" x14ac:dyDescent="0.2">
      <c r="A122" s="5"/>
    </row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  <row r="130" spans="1:1" x14ac:dyDescent="0.2">
      <c r="A130" s="5"/>
    </row>
    <row r="131" spans="1:1" x14ac:dyDescent="0.2">
      <c r="A131" s="5"/>
    </row>
    <row r="132" spans="1:1" x14ac:dyDescent="0.2">
      <c r="A132" s="5"/>
    </row>
    <row r="133" spans="1:1" x14ac:dyDescent="0.2">
      <c r="A133" s="5"/>
    </row>
    <row r="134" spans="1:1" x14ac:dyDescent="0.2">
      <c r="A134" s="5"/>
    </row>
    <row r="135" spans="1:1" x14ac:dyDescent="0.2">
      <c r="A135" s="5"/>
    </row>
    <row r="136" spans="1:1" x14ac:dyDescent="0.2">
      <c r="A136" s="5"/>
    </row>
  </sheetData>
  <phoneticPr fontId="3"/>
  <conditionalFormatting sqref="H86:H96">
    <cfRule dxfId="469" priority="14" type="expression">
      <formula>$H$86&lt;&gt;""</formula>
    </cfRule>
  </conditionalFormatting>
  <conditionalFormatting sqref="I86:I96">
    <cfRule dxfId="468" priority="13" type="expression">
      <formula>$I$86&lt;&gt;""</formula>
    </cfRule>
  </conditionalFormatting>
  <conditionalFormatting sqref="J86:J96">
    <cfRule dxfId="467" priority="12" type="expression">
      <formula>$J$86&lt;&gt;""</formula>
    </cfRule>
  </conditionalFormatting>
  <conditionalFormatting sqref="K86:K96">
    <cfRule dxfId="466" priority="11" type="expression">
      <formula>$K$86&lt;&gt;""</formula>
    </cfRule>
  </conditionalFormatting>
  <conditionalFormatting sqref="G86:G96">
    <cfRule dxfId="465" priority="10" type="expression">
      <formula>$G$86&lt;&gt;""</formula>
    </cfRule>
  </conditionalFormatting>
  <conditionalFormatting sqref="B7:H30 O7:U30 AB7:AH30">
    <cfRule dxfId="464" operator="greaterThanOrEqual" priority="15" stopIfTrue="1" type="cellIs">
      <formula>$V$1</formula>
    </cfRule>
    <cfRule dxfId="463" operator="greaterThanOrEqual" priority="16" stopIfTrue="1" type="cellIs">
      <formula>$V$2</formula>
    </cfRule>
    <cfRule dxfId="462" operator="greaterThanOrEqual" priority="17" stopIfTrue="1" type="cellIs">
      <formula>$V$3</formula>
    </cfRule>
  </conditionalFormatting>
  <conditionalFormatting sqref="B33:H56 O33:U56 AB33:AH56">
    <cfRule dxfId="461" operator="greaterThanOrEqual" priority="7" stopIfTrue="1" type="cellIs">
      <formula>$V$1</formula>
    </cfRule>
    <cfRule dxfId="460" operator="greaterThanOrEqual" priority="8" stopIfTrue="1" type="cellIs">
      <formula>$V$2</formula>
    </cfRule>
    <cfRule dxfId="459" operator="greaterThanOrEqual" priority="9" stopIfTrue="1" type="cellIs">
      <formula>$V$3</formula>
    </cfRule>
  </conditionalFormatting>
  <conditionalFormatting sqref="B59:H82 O59:U82 AB59:AH82">
    <cfRule dxfId="458" operator="greaterThanOrEqual" priority="4" stopIfTrue="1" type="cellIs">
      <formula>$V$1</formula>
    </cfRule>
    <cfRule dxfId="457" operator="greaterThanOrEqual" priority="5" stopIfTrue="1" type="cellIs">
      <formula>$V$2</formula>
    </cfRule>
    <cfRule dxfId="456" operator="greaterThanOrEqual" priority="6" stopIfTrue="1" type="cellIs">
      <formula>$V$3</formula>
    </cfRule>
  </conditionalFormatting>
  <pageMargins bottom="0.78740157480314965" footer="0.19685039370078741" header="0.35433070866141736" left="0.27559055118110237" right="0.23622047244094491" top="0.78740157480314965"/>
  <pageSetup orientation="landscape" pageOrder="overThenDown" paperSize="9" r:id="rId1"/>
  <headerFooter alignWithMargins="0">
    <oddFooter>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ワークシート</vt:lpstr>
      </vt:variant>
      <vt:variant>
        <vt:i4>11</vt:i4>
      </vt:variant>
      <vt:variant>
        <vt:lpstr>名前付き一覧</vt:lpstr>
      </vt:variant>
      <vt:variant>
        <vt:i4>12</vt:i4>
      </vt:variant>
    </vt:vector>
  </HeadingPairs>
  <TitlesOfParts>
    <vt:vector baseType="lpstr" size="23">
      <vt:lpstr>TS異常値データ更新について</vt:lpstr>
      <vt:lpstr>正誤表の見方</vt:lpstr>
      <vt:lpstr>正誤表（ALL当週）</vt:lpstr>
      <vt:lpstr>正誤表（ALL前4週）</vt:lpstr>
      <vt:lpstr>メニュー_TFなし</vt:lpstr>
      <vt:lpstr>メニュー_TFあり</vt:lpstr>
      <vt:lpstr>世帯_ALL</vt:lpstr>
      <vt:lpstr>target2</vt:lpstr>
      <vt:lpstr>target_TF2</vt:lpstr>
      <vt:lpstr>target_IDX2</vt:lpstr>
      <vt:lpstr>設定ゾーン情報</vt:lpstr>
      <vt:lpstr>target_IDX2!Print_Area</vt:lpstr>
      <vt:lpstr>target_TF2!Print_Area</vt:lpstr>
      <vt:lpstr>target2!Print_Area</vt:lpstr>
      <vt:lpstr>世帯_ALL!Print_Area</vt:lpstr>
      <vt:lpstr>設定ゾーン情報!Print_Area</vt:lpstr>
      <vt:lpstr>target_IDX2!Print_Titles</vt:lpstr>
      <vt:lpstr>target_TF2!Print_Titles</vt:lpstr>
      <vt:lpstr>target2!Print_Titles</vt:lpstr>
      <vt:lpstr>メニュー_TFあり!Print_Titles</vt:lpstr>
      <vt:lpstr>メニュー_TFなし!Print_Titles</vt:lpstr>
      <vt:lpstr>世帯_ALL!Print_Titles</vt:lpstr>
      <vt:lpstr>設定ゾーン情報!Print_Titles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2019-03-04T06:17:44Z</dcterms:created>
  <dc:creator>近棟 容子</dc:creator>
  <cp:lastModifiedBy>Administrator</cp:lastModifiedBy>
  <cp:lastPrinted>2019-03-04T07:52:35Z</cp:lastPrinted>
  <dcterms:modified xsi:type="dcterms:W3CDTF">2022-10-14T05:28:43Z</dcterms:modified>
</cp:coreProperties>
</file>