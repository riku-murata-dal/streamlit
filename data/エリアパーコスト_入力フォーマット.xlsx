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92097623876/WOPIServiceId_TP_BOX_2/WOPIUserId_-/"/>
    </mc:Choice>
  </mc:AlternateContent>
  <xr:revisionPtr revIDLastSave="39" documentId="8_{39B3F3B4-A7F9-488A-8215-8F08A758EF80}" xr6:coauthVersionLast="47" xr6:coauthVersionMax="47" xr10:uidLastSave="{E8350A86-0DAD-4148-BD53-5531BABBA076}"/>
  <bookViews>
    <workbookView xWindow="28680" yWindow="-120" windowWidth="29040" windowHeight="15720" xr2:uid="{CD596C4D-DC2B-40FC-8A73-42E45F9A56F6}"/>
  </bookViews>
  <sheets>
    <sheet name="エリアコスト・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I9" i="1"/>
  <c r="J9" i="1"/>
  <c r="J14" i="1" s="1"/>
  <c r="J19" i="1" s="1"/>
  <c r="J24" i="1" s="1"/>
  <c r="K9" i="1"/>
  <c r="L9" i="1"/>
  <c r="H10" i="1"/>
  <c r="I10" i="1"/>
  <c r="N10" i="1" s="1"/>
  <c r="J10" i="1"/>
  <c r="J15" i="1" s="1"/>
  <c r="J20" i="1" s="1"/>
  <c r="J25" i="1" s="1"/>
  <c r="J30" i="1" s="1"/>
  <c r="J35" i="1" s="1"/>
  <c r="J40" i="1" s="1"/>
  <c r="J45" i="1" s="1"/>
  <c r="J50" i="1" s="1"/>
  <c r="J55" i="1" s="1"/>
  <c r="J60" i="1" s="1"/>
  <c r="J65" i="1" s="1"/>
  <c r="J70" i="1" s="1"/>
  <c r="J75" i="1" s="1"/>
  <c r="J80" i="1" s="1"/>
  <c r="J85" i="1" s="1"/>
  <c r="J90" i="1" s="1"/>
  <c r="J95" i="1" s="1"/>
  <c r="J100" i="1" s="1"/>
  <c r="J105" i="1" s="1"/>
  <c r="J110" i="1" s="1"/>
  <c r="J115" i="1" s="1"/>
  <c r="J120" i="1" s="1"/>
  <c r="J125" i="1" s="1"/>
  <c r="J130" i="1" s="1"/>
  <c r="J135" i="1" s="1"/>
  <c r="J140" i="1" s="1"/>
  <c r="J145" i="1" s="1"/>
  <c r="J150" i="1" s="1"/>
  <c r="J155" i="1" s="1"/>
  <c r="J160" i="1" s="1"/>
  <c r="K10" i="1"/>
  <c r="L10" i="1"/>
  <c r="H11" i="1"/>
  <c r="H16" i="1" s="1"/>
  <c r="H21" i="1" s="1"/>
  <c r="H26" i="1" s="1"/>
  <c r="H31" i="1" s="1"/>
  <c r="I11" i="1"/>
  <c r="J11" i="1"/>
  <c r="K11" i="1"/>
  <c r="L11" i="1"/>
  <c r="Q11" i="1" s="1"/>
  <c r="H12" i="1"/>
  <c r="H17" i="1" s="1"/>
  <c r="H22" i="1" s="1"/>
  <c r="H27" i="1" s="1"/>
  <c r="H32" i="1" s="1"/>
  <c r="H37" i="1" s="1"/>
  <c r="H42" i="1" s="1"/>
  <c r="H47" i="1" s="1"/>
  <c r="H52" i="1" s="1"/>
  <c r="H57" i="1" s="1"/>
  <c r="H62" i="1" s="1"/>
  <c r="H67" i="1" s="1"/>
  <c r="H72" i="1" s="1"/>
  <c r="H77" i="1" s="1"/>
  <c r="H82" i="1" s="1"/>
  <c r="H87" i="1" s="1"/>
  <c r="H92" i="1" s="1"/>
  <c r="H97" i="1" s="1"/>
  <c r="H102" i="1" s="1"/>
  <c r="H107" i="1" s="1"/>
  <c r="H112" i="1" s="1"/>
  <c r="H117" i="1" s="1"/>
  <c r="H122" i="1" s="1"/>
  <c r="H127" i="1" s="1"/>
  <c r="H132" i="1" s="1"/>
  <c r="H137" i="1" s="1"/>
  <c r="H142" i="1" s="1"/>
  <c r="H147" i="1" s="1"/>
  <c r="H152" i="1" s="1"/>
  <c r="H157" i="1" s="1"/>
  <c r="H162" i="1" s="1"/>
  <c r="I12" i="1"/>
  <c r="J12" i="1"/>
  <c r="K12" i="1"/>
  <c r="K17" i="1" s="1"/>
  <c r="K22" i="1" s="1"/>
  <c r="K27" i="1" s="1"/>
  <c r="K32" i="1" s="1"/>
  <c r="L12" i="1"/>
  <c r="H13" i="1"/>
  <c r="I13" i="1"/>
  <c r="J13" i="1"/>
  <c r="J18" i="1" s="1"/>
  <c r="J23" i="1" s="1"/>
  <c r="J28" i="1" s="1"/>
  <c r="J33" i="1" s="1"/>
  <c r="J38" i="1" s="1"/>
  <c r="J43" i="1" s="1"/>
  <c r="J48" i="1" s="1"/>
  <c r="J53" i="1" s="1"/>
  <c r="J58" i="1" s="1"/>
  <c r="J63" i="1" s="1"/>
  <c r="J68" i="1" s="1"/>
  <c r="J73" i="1" s="1"/>
  <c r="J78" i="1" s="1"/>
  <c r="J83" i="1" s="1"/>
  <c r="J88" i="1" s="1"/>
  <c r="J93" i="1" s="1"/>
  <c r="J98" i="1" s="1"/>
  <c r="J103" i="1" s="1"/>
  <c r="J108" i="1" s="1"/>
  <c r="J113" i="1" s="1"/>
  <c r="J118" i="1" s="1"/>
  <c r="J123" i="1" s="1"/>
  <c r="J128" i="1" s="1"/>
  <c r="J133" i="1" s="1"/>
  <c r="J138" i="1" s="1"/>
  <c r="J143" i="1" s="1"/>
  <c r="J148" i="1" s="1"/>
  <c r="J153" i="1" s="1"/>
  <c r="J158" i="1" s="1"/>
  <c r="K13" i="1"/>
  <c r="K18" i="1" s="1"/>
  <c r="K23" i="1" s="1"/>
  <c r="K28" i="1" s="1"/>
  <c r="K33" i="1" s="1"/>
  <c r="K38" i="1" s="1"/>
  <c r="K43" i="1" s="1"/>
  <c r="L13" i="1"/>
  <c r="H14" i="1"/>
  <c r="I14" i="1"/>
  <c r="I19" i="1" s="1"/>
  <c r="I24" i="1" s="1"/>
  <c r="I29" i="1" s="1"/>
  <c r="I34" i="1" s="1"/>
  <c r="I39" i="1" s="1"/>
  <c r="I44" i="1" s="1"/>
  <c r="I49" i="1" s="1"/>
  <c r="I54" i="1" s="1"/>
  <c r="I59" i="1" s="1"/>
  <c r="I64" i="1" s="1"/>
  <c r="I69" i="1" s="1"/>
  <c r="I74" i="1" s="1"/>
  <c r="I79" i="1" s="1"/>
  <c r="I84" i="1" s="1"/>
  <c r="I89" i="1" s="1"/>
  <c r="I94" i="1" s="1"/>
  <c r="I99" i="1" s="1"/>
  <c r="I104" i="1" s="1"/>
  <c r="I109" i="1" s="1"/>
  <c r="I114" i="1" s="1"/>
  <c r="I119" i="1" s="1"/>
  <c r="I124" i="1" s="1"/>
  <c r="I129" i="1" s="1"/>
  <c r="I134" i="1" s="1"/>
  <c r="I139" i="1" s="1"/>
  <c r="I144" i="1" s="1"/>
  <c r="I149" i="1" s="1"/>
  <c r="I154" i="1" s="1"/>
  <c r="I159" i="1" s="1"/>
  <c r="K14" i="1"/>
  <c r="L14" i="1"/>
  <c r="H15" i="1"/>
  <c r="I15" i="1"/>
  <c r="I20" i="1" s="1"/>
  <c r="I25" i="1" s="1"/>
  <c r="I30" i="1" s="1"/>
  <c r="I35" i="1" s="1"/>
  <c r="I40" i="1" s="1"/>
  <c r="I45" i="1" s="1"/>
  <c r="I50" i="1" s="1"/>
  <c r="I55" i="1" s="1"/>
  <c r="I60" i="1" s="1"/>
  <c r="I65" i="1" s="1"/>
  <c r="I70" i="1" s="1"/>
  <c r="I75" i="1" s="1"/>
  <c r="I80" i="1" s="1"/>
  <c r="I85" i="1" s="1"/>
  <c r="I90" i="1" s="1"/>
  <c r="I95" i="1" s="1"/>
  <c r="I100" i="1" s="1"/>
  <c r="I105" i="1" s="1"/>
  <c r="I110" i="1" s="1"/>
  <c r="I115" i="1" s="1"/>
  <c r="I120" i="1" s="1"/>
  <c r="I125" i="1" s="1"/>
  <c r="I130" i="1" s="1"/>
  <c r="I135" i="1" s="1"/>
  <c r="I140" i="1" s="1"/>
  <c r="I145" i="1" s="1"/>
  <c r="I150" i="1" s="1"/>
  <c r="I155" i="1" s="1"/>
  <c r="I160" i="1" s="1"/>
  <c r="K15" i="1"/>
  <c r="L15" i="1"/>
  <c r="L20" i="1" s="1"/>
  <c r="L25" i="1" s="1"/>
  <c r="L30" i="1" s="1"/>
  <c r="I16" i="1"/>
  <c r="J16" i="1"/>
  <c r="K16" i="1"/>
  <c r="L16" i="1"/>
  <c r="L21" i="1" s="1"/>
  <c r="L26" i="1" s="1"/>
  <c r="L31" i="1" s="1"/>
  <c r="L36" i="1" s="1"/>
  <c r="L41" i="1" s="1"/>
  <c r="L46" i="1" s="1"/>
  <c r="L51" i="1" s="1"/>
  <c r="L56" i="1" s="1"/>
  <c r="L61" i="1" s="1"/>
  <c r="L66" i="1" s="1"/>
  <c r="L71" i="1" s="1"/>
  <c r="L76" i="1" s="1"/>
  <c r="L81" i="1" s="1"/>
  <c r="L86" i="1" s="1"/>
  <c r="L91" i="1" s="1"/>
  <c r="L96" i="1" s="1"/>
  <c r="L101" i="1" s="1"/>
  <c r="L106" i="1" s="1"/>
  <c r="L111" i="1" s="1"/>
  <c r="L116" i="1" s="1"/>
  <c r="L121" i="1" s="1"/>
  <c r="L126" i="1" s="1"/>
  <c r="L131" i="1" s="1"/>
  <c r="L136" i="1" s="1"/>
  <c r="L141" i="1" s="1"/>
  <c r="L146" i="1" s="1"/>
  <c r="L151" i="1" s="1"/>
  <c r="L156" i="1" s="1"/>
  <c r="L161" i="1" s="1"/>
  <c r="I17" i="1"/>
  <c r="J17" i="1"/>
  <c r="J22" i="1" s="1"/>
  <c r="J27" i="1" s="1"/>
  <c r="J32" i="1" s="1"/>
  <c r="J37" i="1" s="1"/>
  <c r="J42" i="1" s="1"/>
  <c r="J47" i="1" s="1"/>
  <c r="J52" i="1" s="1"/>
  <c r="J57" i="1" s="1"/>
  <c r="J62" i="1" s="1"/>
  <c r="J67" i="1" s="1"/>
  <c r="J72" i="1" s="1"/>
  <c r="J77" i="1" s="1"/>
  <c r="J82" i="1" s="1"/>
  <c r="J87" i="1" s="1"/>
  <c r="J92" i="1" s="1"/>
  <c r="J97" i="1" s="1"/>
  <c r="J102" i="1" s="1"/>
  <c r="J107" i="1" s="1"/>
  <c r="J112" i="1" s="1"/>
  <c r="J117" i="1" s="1"/>
  <c r="J122" i="1" s="1"/>
  <c r="J127" i="1" s="1"/>
  <c r="J132" i="1" s="1"/>
  <c r="J137" i="1" s="1"/>
  <c r="J142" i="1" s="1"/>
  <c r="J147" i="1" s="1"/>
  <c r="J152" i="1" s="1"/>
  <c r="J157" i="1" s="1"/>
  <c r="J162" i="1" s="1"/>
  <c r="L17" i="1"/>
  <c r="H18" i="1"/>
  <c r="I18" i="1"/>
  <c r="L18" i="1"/>
  <c r="H19" i="1"/>
  <c r="H24" i="1" s="1"/>
  <c r="H29" i="1" s="1"/>
  <c r="H34" i="1" s="1"/>
  <c r="H39" i="1" s="1"/>
  <c r="H44" i="1" s="1"/>
  <c r="H49" i="1" s="1"/>
  <c r="H54" i="1" s="1"/>
  <c r="H59" i="1" s="1"/>
  <c r="H64" i="1" s="1"/>
  <c r="H69" i="1" s="1"/>
  <c r="H74" i="1" s="1"/>
  <c r="H79" i="1" s="1"/>
  <c r="H84" i="1" s="1"/>
  <c r="H89" i="1" s="1"/>
  <c r="H94" i="1" s="1"/>
  <c r="H99" i="1" s="1"/>
  <c r="H104" i="1" s="1"/>
  <c r="H109" i="1" s="1"/>
  <c r="H114" i="1" s="1"/>
  <c r="H119" i="1" s="1"/>
  <c r="H124" i="1" s="1"/>
  <c r="H129" i="1" s="1"/>
  <c r="H134" i="1" s="1"/>
  <c r="H139" i="1" s="1"/>
  <c r="H144" i="1" s="1"/>
  <c r="H149" i="1" s="1"/>
  <c r="H154" i="1" s="1"/>
  <c r="H159" i="1" s="1"/>
  <c r="K19" i="1"/>
  <c r="L19" i="1"/>
  <c r="L24" i="1" s="1"/>
  <c r="H20" i="1"/>
  <c r="H25" i="1" s="1"/>
  <c r="H30" i="1" s="1"/>
  <c r="H35" i="1" s="1"/>
  <c r="H40" i="1" s="1"/>
  <c r="H45" i="1" s="1"/>
  <c r="H50" i="1" s="1"/>
  <c r="H55" i="1" s="1"/>
  <c r="H60" i="1" s="1"/>
  <c r="H65" i="1" s="1"/>
  <c r="H70" i="1" s="1"/>
  <c r="H75" i="1" s="1"/>
  <c r="H80" i="1" s="1"/>
  <c r="H85" i="1" s="1"/>
  <c r="H90" i="1" s="1"/>
  <c r="H95" i="1" s="1"/>
  <c r="H100" i="1" s="1"/>
  <c r="H105" i="1" s="1"/>
  <c r="H110" i="1" s="1"/>
  <c r="H115" i="1" s="1"/>
  <c r="H120" i="1" s="1"/>
  <c r="H125" i="1" s="1"/>
  <c r="H130" i="1" s="1"/>
  <c r="H135" i="1" s="1"/>
  <c r="H140" i="1" s="1"/>
  <c r="H145" i="1" s="1"/>
  <c r="H150" i="1" s="1"/>
  <c r="H155" i="1" s="1"/>
  <c r="H160" i="1" s="1"/>
  <c r="K20" i="1"/>
  <c r="K25" i="1" s="1"/>
  <c r="K30" i="1" s="1"/>
  <c r="K35" i="1" s="1"/>
  <c r="K40" i="1" s="1"/>
  <c r="K45" i="1" s="1"/>
  <c r="K50" i="1" s="1"/>
  <c r="K55" i="1" s="1"/>
  <c r="K60" i="1" s="1"/>
  <c r="K65" i="1" s="1"/>
  <c r="K70" i="1" s="1"/>
  <c r="K75" i="1" s="1"/>
  <c r="K80" i="1" s="1"/>
  <c r="K85" i="1" s="1"/>
  <c r="K90" i="1" s="1"/>
  <c r="K95" i="1" s="1"/>
  <c r="K100" i="1" s="1"/>
  <c r="K105" i="1" s="1"/>
  <c r="K110" i="1" s="1"/>
  <c r="K115" i="1" s="1"/>
  <c r="K120" i="1" s="1"/>
  <c r="K125" i="1" s="1"/>
  <c r="K130" i="1" s="1"/>
  <c r="K135" i="1" s="1"/>
  <c r="K140" i="1" s="1"/>
  <c r="K145" i="1" s="1"/>
  <c r="K150" i="1" s="1"/>
  <c r="K155" i="1" s="1"/>
  <c r="K160" i="1" s="1"/>
  <c r="I21" i="1"/>
  <c r="J21" i="1"/>
  <c r="K21" i="1"/>
  <c r="K26" i="1" s="1"/>
  <c r="K31" i="1" s="1"/>
  <c r="K36" i="1" s="1"/>
  <c r="K41" i="1" s="1"/>
  <c r="K46" i="1" s="1"/>
  <c r="K51" i="1" s="1"/>
  <c r="K56" i="1" s="1"/>
  <c r="K61" i="1" s="1"/>
  <c r="K66" i="1" s="1"/>
  <c r="K71" i="1" s="1"/>
  <c r="K76" i="1" s="1"/>
  <c r="K81" i="1" s="1"/>
  <c r="K86" i="1" s="1"/>
  <c r="K91" i="1" s="1"/>
  <c r="K96" i="1" s="1"/>
  <c r="K101" i="1" s="1"/>
  <c r="K106" i="1" s="1"/>
  <c r="K111" i="1" s="1"/>
  <c r="K116" i="1" s="1"/>
  <c r="K121" i="1" s="1"/>
  <c r="K126" i="1" s="1"/>
  <c r="K131" i="1" s="1"/>
  <c r="K136" i="1" s="1"/>
  <c r="K141" i="1" s="1"/>
  <c r="K146" i="1" s="1"/>
  <c r="K151" i="1" s="1"/>
  <c r="K156" i="1" s="1"/>
  <c r="K161" i="1" s="1"/>
  <c r="I22" i="1"/>
  <c r="I27" i="1" s="1"/>
  <c r="I32" i="1" s="1"/>
  <c r="I37" i="1" s="1"/>
  <c r="L22" i="1"/>
  <c r="H23" i="1"/>
  <c r="I23" i="1"/>
  <c r="I28" i="1" s="1"/>
  <c r="I33" i="1" s="1"/>
  <c r="I38" i="1" s="1"/>
  <c r="I43" i="1" s="1"/>
  <c r="I48" i="1" s="1"/>
  <c r="I53" i="1" s="1"/>
  <c r="I58" i="1" s="1"/>
  <c r="I63" i="1" s="1"/>
  <c r="I68" i="1" s="1"/>
  <c r="I73" i="1" s="1"/>
  <c r="I78" i="1" s="1"/>
  <c r="I83" i="1" s="1"/>
  <c r="I88" i="1" s="1"/>
  <c r="I93" i="1" s="1"/>
  <c r="I98" i="1" s="1"/>
  <c r="I103" i="1" s="1"/>
  <c r="I108" i="1" s="1"/>
  <c r="I113" i="1" s="1"/>
  <c r="I118" i="1" s="1"/>
  <c r="I123" i="1" s="1"/>
  <c r="I128" i="1" s="1"/>
  <c r="I133" i="1" s="1"/>
  <c r="I138" i="1" s="1"/>
  <c r="I143" i="1" s="1"/>
  <c r="I148" i="1" s="1"/>
  <c r="I153" i="1" s="1"/>
  <c r="I158" i="1" s="1"/>
  <c r="L23" i="1"/>
  <c r="L28" i="1" s="1"/>
  <c r="L33" i="1" s="1"/>
  <c r="L38" i="1" s="1"/>
  <c r="L43" i="1" s="1"/>
  <c r="L48" i="1" s="1"/>
  <c r="L53" i="1" s="1"/>
  <c r="L58" i="1" s="1"/>
  <c r="L63" i="1" s="1"/>
  <c r="L68" i="1" s="1"/>
  <c r="L73" i="1" s="1"/>
  <c r="L78" i="1" s="1"/>
  <c r="L83" i="1" s="1"/>
  <c r="L88" i="1" s="1"/>
  <c r="L93" i="1" s="1"/>
  <c r="L98" i="1" s="1"/>
  <c r="L103" i="1" s="1"/>
  <c r="L108" i="1" s="1"/>
  <c r="L113" i="1" s="1"/>
  <c r="L118" i="1" s="1"/>
  <c r="L123" i="1" s="1"/>
  <c r="L128" i="1" s="1"/>
  <c r="L133" i="1" s="1"/>
  <c r="L138" i="1" s="1"/>
  <c r="L143" i="1" s="1"/>
  <c r="L148" i="1" s="1"/>
  <c r="L153" i="1" s="1"/>
  <c r="L158" i="1" s="1"/>
  <c r="K24" i="1"/>
  <c r="I26" i="1"/>
  <c r="J26" i="1"/>
  <c r="J31" i="1" s="1"/>
  <c r="J36" i="1" s="1"/>
  <c r="J41" i="1" s="1"/>
  <c r="J46" i="1" s="1"/>
  <c r="J51" i="1" s="1"/>
  <c r="J56" i="1" s="1"/>
  <c r="L27" i="1"/>
  <c r="H28" i="1"/>
  <c r="H33" i="1" s="1"/>
  <c r="H38" i="1" s="1"/>
  <c r="H43" i="1" s="1"/>
  <c r="H48" i="1" s="1"/>
  <c r="H53" i="1" s="1"/>
  <c r="H58" i="1" s="1"/>
  <c r="H63" i="1" s="1"/>
  <c r="H68" i="1" s="1"/>
  <c r="H73" i="1" s="1"/>
  <c r="H78" i="1" s="1"/>
  <c r="H83" i="1" s="1"/>
  <c r="H88" i="1" s="1"/>
  <c r="H93" i="1" s="1"/>
  <c r="H98" i="1" s="1"/>
  <c r="H103" i="1" s="1"/>
  <c r="H108" i="1" s="1"/>
  <c r="H113" i="1" s="1"/>
  <c r="H118" i="1" s="1"/>
  <c r="H123" i="1" s="1"/>
  <c r="H128" i="1" s="1"/>
  <c r="H133" i="1" s="1"/>
  <c r="H138" i="1" s="1"/>
  <c r="H143" i="1" s="1"/>
  <c r="H148" i="1" s="1"/>
  <c r="H153" i="1" s="1"/>
  <c r="H158" i="1" s="1"/>
  <c r="J29" i="1"/>
  <c r="J34" i="1" s="1"/>
  <c r="K29" i="1"/>
  <c r="K34" i="1" s="1"/>
  <c r="K39" i="1" s="1"/>
  <c r="K44" i="1" s="1"/>
  <c r="K49" i="1" s="1"/>
  <c r="K54" i="1" s="1"/>
  <c r="K59" i="1" s="1"/>
  <c r="K64" i="1" s="1"/>
  <c r="K69" i="1" s="1"/>
  <c r="K74" i="1" s="1"/>
  <c r="K79" i="1" s="1"/>
  <c r="K84" i="1" s="1"/>
  <c r="K89" i="1" s="1"/>
  <c r="K94" i="1" s="1"/>
  <c r="K99" i="1" s="1"/>
  <c r="K104" i="1" s="1"/>
  <c r="K109" i="1" s="1"/>
  <c r="K114" i="1" s="1"/>
  <c r="K119" i="1" s="1"/>
  <c r="K124" i="1" s="1"/>
  <c r="K129" i="1" s="1"/>
  <c r="K134" i="1" s="1"/>
  <c r="K139" i="1" s="1"/>
  <c r="K144" i="1" s="1"/>
  <c r="K149" i="1" s="1"/>
  <c r="K154" i="1" s="1"/>
  <c r="K159" i="1" s="1"/>
  <c r="I31" i="1"/>
  <c r="I36" i="1" s="1"/>
  <c r="I41" i="1" s="1"/>
  <c r="I46" i="1" s="1"/>
  <c r="I51" i="1" s="1"/>
  <c r="I56" i="1" s="1"/>
  <c r="I61" i="1" s="1"/>
  <c r="I66" i="1" s="1"/>
  <c r="I71" i="1" s="1"/>
  <c r="I76" i="1" s="1"/>
  <c r="I81" i="1" s="1"/>
  <c r="I86" i="1" s="1"/>
  <c r="I91" i="1" s="1"/>
  <c r="I96" i="1" s="1"/>
  <c r="I101" i="1" s="1"/>
  <c r="I106" i="1" s="1"/>
  <c r="I111" i="1" s="1"/>
  <c r="I116" i="1" s="1"/>
  <c r="I121" i="1" s="1"/>
  <c r="I126" i="1" s="1"/>
  <c r="I131" i="1" s="1"/>
  <c r="I136" i="1" s="1"/>
  <c r="I141" i="1" s="1"/>
  <c r="I146" i="1" s="1"/>
  <c r="I151" i="1" s="1"/>
  <c r="I156" i="1" s="1"/>
  <c r="I161" i="1" s="1"/>
  <c r="L32" i="1"/>
  <c r="L37" i="1" s="1"/>
  <c r="L42" i="1" s="1"/>
  <c r="L47" i="1" s="1"/>
  <c r="L52" i="1" s="1"/>
  <c r="L57" i="1" s="1"/>
  <c r="L62" i="1" s="1"/>
  <c r="L35" i="1"/>
  <c r="L40" i="1" s="1"/>
  <c r="L45" i="1" s="1"/>
  <c r="L50" i="1" s="1"/>
  <c r="L55" i="1" s="1"/>
  <c r="L60" i="1" s="1"/>
  <c r="L65" i="1" s="1"/>
  <c r="L70" i="1" s="1"/>
  <c r="L75" i="1" s="1"/>
  <c r="L80" i="1" s="1"/>
  <c r="L85" i="1" s="1"/>
  <c r="L90" i="1" s="1"/>
  <c r="L95" i="1" s="1"/>
  <c r="L100" i="1" s="1"/>
  <c r="L105" i="1" s="1"/>
  <c r="L110" i="1" s="1"/>
  <c r="L115" i="1" s="1"/>
  <c r="L120" i="1" s="1"/>
  <c r="L125" i="1" s="1"/>
  <c r="L130" i="1" s="1"/>
  <c r="L135" i="1" s="1"/>
  <c r="L140" i="1" s="1"/>
  <c r="L145" i="1" s="1"/>
  <c r="L150" i="1" s="1"/>
  <c r="L155" i="1" s="1"/>
  <c r="L160" i="1" s="1"/>
  <c r="I42" i="1"/>
  <c r="I47" i="1" s="1"/>
  <c r="I52" i="1" s="1"/>
  <c r="I57" i="1" s="1"/>
  <c r="I62" i="1" s="1"/>
  <c r="I67" i="1" s="1"/>
  <c r="I72" i="1" s="1"/>
  <c r="I77" i="1" s="1"/>
  <c r="I82" i="1" s="1"/>
  <c r="I87" i="1" s="1"/>
  <c r="I92" i="1" s="1"/>
  <c r="I97" i="1" s="1"/>
  <c r="I102" i="1" s="1"/>
  <c r="I107" i="1" s="1"/>
  <c r="I112" i="1" s="1"/>
  <c r="I117" i="1" s="1"/>
  <c r="I122" i="1" s="1"/>
  <c r="I127" i="1" s="1"/>
  <c r="I132" i="1" s="1"/>
  <c r="I137" i="1" s="1"/>
  <c r="I142" i="1" s="1"/>
  <c r="I147" i="1" s="1"/>
  <c r="I152" i="1" s="1"/>
  <c r="I157" i="1" s="1"/>
  <c r="I162" i="1" s="1"/>
  <c r="K48" i="1"/>
  <c r="K53" i="1" s="1"/>
  <c r="K58" i="1" s="1"/>
  <c r="K63" i="1" s="1"/>
  <c r="K68" i="1" s="1"/>
  <c r="K73" i="1" s="1"/>
  <c r="K78" i="1" s="1"/>
  <c r="K83" i="1" s="1"/>
  <c r="K88" i="1" s="1"/>
  <c r="K93" i="1" s="1"/>
  <c r="K98" i="1" s="1"/>
  <c r="K103" i="1" s="1"/>
  <c r="K108" i="1" s="1"/>
  <c r="K113" i="1" s="1"/>
  <c r="K118" i="1" s="1"/>
  <c r="K123" i="1" s="1"/>
  <c r="K128" i="1" s="1"/>
  <c r="K133" i="1" s="1"/>
  <c r="K138" i="1" s="1"/>
  <c r="K143" i="1" s="1"/>
  <c r="K148" i="1" s="1"/>
  <c r="K153" i="1" s="1"/>
  <c r="K158" i="1" s="1"/>
  <c r="J61" i="1"/>
  <c r="J66" i="1" s="1"/>
  <c r="J71" i="1" s="1"/>
  <c r="J76" i="1" s="1"/>
  <c r="J81" i="1" s="1"/>
  <c r="J86" i="1" s="1"/>
  <c r="J91" i="1" s="1"/>
  <c r="J96" i="1" s="1"/>
  <c r="J101" i="1" s="1"/>
  <c r="J106" i="1" s="1"/>
  <c r="J111" i="1" s="1"/>
  <c r="J116" i="1" s="1"/>
  <c r="J121" i="1" s="1"/>
  <c r="J126" i="1" s="1"/>
  <c r="J131" i="1" s="1"/>
  <c r="J136" i="1" s="1"/>
  <c r="J141" i="1" s="1"/>
  <c r="J146" i="1" s="1"/>
  <c r="J151" i="1" s="1"/>
  <c r="J156" i="1" s="1"/>
  <c r="J161" i="1" s="1"/>
  <c r="L67" i="1"/>
  <c r="L72" i="1" s="1"/>
  <c r="L77" i="1" s="1"/>
  <c r="L82" i="1" s="1"/>
  <c r="L87" i="1" s="1"/>
  <c r="L92" i="1" s="1"/>
  <c r="L97" i="1" s="1"/>
  <c r="L102" i="1" s="1"/>
  <c r="L107" i="1" s="1"/>
  <c r="L112" i="1" s="1"/>
  <c r="L117" i="1" s="1"/>
  <c r="L122" i="1" s="1"/>
  <c r="L127" i="1" s="1"/>
  <c r="L132" i="1" s="1"/>
  <c r="L137" i="1" s="1"/>
  <c r="L142" i="1" s="1"/>
  <c r="L147" i="1" s="1"/>
  <c r="L152" i="1" s="1"/>
  <c r="L157" i="1" s="1"/>
  <c r="L162" i="1" s="1"/>
  <c r="I8" i="1"/>
  <c r="J8" i="1"/>
  <c r="K8" i="1"/>
  <c r="L8" i="1"/>
  <c r="H8" i="1"/>
  <c r="Q10" i="1"/>
  <c r="O12" i="1"/>
  <c r="Q21" i="1"/>
  <c r="N25" i="1"/>
  <c r="P31" i="1"/>
  <c r="N8" i="1"/>
  <c r="O8" i="1"/>
  <c r="P8" i="1"/>
  <c r="M8" i="1"/>
  <c r="O29" i="1"/>
  <c r="P29" i="1"/>
  <c r="N26" i="1"/>
  <c r="Q27" i="1"/>
  <c r="N19" i="1"/>
  <c r="O19" i="1"/>
  <c r="N20" i="1"/>
  <c r="M21" i="1"/>
  <c r="P22" i="1"/>
  <c r="N14" i="1"/>
  <c r="M15" i="1"/>
  <c r="P16" i="1"/>
  <c r="Q17" i="1"/>
  <c r="P9" i="1"/>
  <c r="P11" i="1"/>
  <c r="C18" i="1"/>
  <c r="C23" i="1" s="1"/>
  <c r="C28" i="1" s="1"/>
  <c r="C33" i="1" s="1"/>
  <c r="C38" i="1" s="1"/>
  <c r="C43" i="1" s="1"/>
  <c r="D18" i="1"/>
  <c r="D23" i="1" s="1"/>
  <c r="E18" i="1"/>
  <c r="F18" i="1"/>
  <c r="F23" i="1" s="1"/>
  <c r="F28" i="1" s="1"/>
  <c r="G18" i="1"/>
  <c r="C19" i="1"/>
  <c r="D19" i="1"/>
  <c r="D24" i="1" s="1"/>
  <c r="D29" i="1" s="1"/>
  <c r="D34" i="1" s="1"/>
  <c r="D39" i="1" s="1"/>
  <c r="E19" i="1"/>
  <c r="F19" i="1"/>
  <c r="F24" i="1" s="1"/>
  <c r="F29" i="1" s="1"/>
  <c r="F34" i="1" s="1"/>
  <c r="F39" i="1" s="1"/>
  <c r="F44" i="1" s="1"/>
  <c r="F49" i="1" s="1"/>
  <c r="F54" i="1" s="1"/>
  <c r="F59" i="1" s="1"/>
  <c r="G19" i="1"/>
  <c r="G24" i="1" s="1"/>
  <c r="C20" i="1"/>
  <c r="D20" i="1"/>
  <c r="D25" i="1" s="1"/>
  <c r="D30" i="1" s="1"/>
  <c r="D35" i="1" s="1"/>
  <c r="D40" i="1" s="1"/>
  <c r="D45" i="1" s="1"/>
  <c r="D50" i="1" s="1"/>
  <c r="D55" i="1" s="1"/>
  <c r="D60" i="1" s="1"/>
  <c r="D65" i="1" s="1"/>
  <c r="D70" i="1" s="1"/>
  <c r="D75" i="1" s="1"/>
  <c r="D80" i="1" s="1"/>
  <c r="D85" i="1" s="1"/>
  <c r="E20" i="1"/>
  <c r="F20" i="1"/>
  <c r="G20" i="1"/>
  <c r="G25" i="1" s="1"/>
  <c r="G30" i="1" s="1"/>
  <c r="G35" i="1" s="1"/>
  <c r="G40" i="1" s="1"/>
  <c r="C21" i="1"/>
  <c r="D21" i="1"/>
  <c r="D26" i="1" s="1"/>
  <c r="D31" i="1" s="1"/>
  <c r="D36" i="1" s="1"/>
  <c r="D41" i="1" s="1"/>
  <c r="E21" i="1"/>
  <c r="E26" i="1" s="1"/>
  <c r="F21" i="1"/>
  <c r="G21" i="1"/>
  <c r="G26" i="1" s="1"/>
  <c r="G31" i="1" s="1"/>
  <c r="G36" i="1" s="1"/>
  <c r="G41" i="1" s="1"/>
  <c r="G46" i="1" s="1"/>
  <c r="G51" i="1" s="1"/>
  <c r="G56" i="1" s="1"/>
  <c r="G61" i="1" s="1"/>
  <c r="G66" i="1" s="1"/>
  <c r="C22" i="1"/>
  <c r="D22" i="1"/>
  <c r="D27" i="1" s="1"/>
  <c r="D32" i="1" s="1"/>
  <c r="D37" i="1" s="1"/>
  <c r="D42" i="1" s="1"/>
  <c r="D47" i="1" s="1"/>
  <c r="E22" i="1"/>
  <c r="E27" i="1" s="1"/>
  <c r="E32" i="1" s="1"/>
  <c r="E37" i="1" s="1"/>
  <c r="E42" i="1" s="1"/>
  <c r="F22" i="1"/>
  <c r="G22" i="1"/>
  <c r="E23" i="1"/>
  <c r="G23" i="1"/>
  <c r="G28" i="1" s="1"/>
  <c r="G33" i="1" s="1"/>
  <c r="G38" i="1" s="1"/>
  <c r="G43" i="1" s="1"/>
  <c r="G48" i="1" s="1"/>
  <c r="G53" i="1" s="1"/>
  <c r="G58" i="1" s="1"/>
  <c r="G63" i="1" s="1"/>
  <c r="C24" i="1"/>
  <c r="C29" i="1" s="1"/>
  <c r="C34" i="1" s="1"/>
  <c r="C39" i="1" s="1"/>
  <c r="C44" i="1" s="1"/>
  <c r="C49" i="1" s="1"/>
  <c r="C54" i="1" s="1"/>
  <c r="E24" i="1"/>
  <c r="E29" i="1" s="1"/>
  <c r="E34" i="1" s="1"/>
  <c r="E39" i="1" s="1"/>
  <c r="E44" i="1" s="1"/>
  <c r="E49" i="1" s="1"/>
  <c r="C25" i="1"/>
  <c r="C30" i="1" s="1"/>
  <c r="C35" i="1" s="1"/>
  <c r="E25" i="1"/>
  <c r="F25" i="1"/>
  <c r="F30" i="1" s="1"/>
  <c r="C26" i="1"/>
  <c r="C31" i="1" s="1"/>
  <c r="C36" i="1" s="1"/>
  <c r="C41" i="1" s="1"/>
  <c r="C46" i="1" s="1"/>
  <c r="C51" i="1" s="1"/>
  <c r="C56" i="1" s="1"/>
  <c r="C61" i="1" s="1"/>
  <c r="C66" i="1" s="1"/>
  <c r="F26" i="1"/>
  <c r="F31" i="1" s="1"/>
  <c r="F36" i="1" s="1"/>
  <c r="F41" i="1" s="1"/>
  <c r="F46" i="1" s="1"/>
  <c r="F51" i="1" s="1"/>
  <c r="F56" i="1" s="1"/>
  <c r="F61" i="1" s="1"/>
  <c r="F66" i="1" s="1"/>
  <c r="F71" i="1" s="1"/>
  <c r="F76" i="1" s="1"/>
  <c r="C27" i="1"/>
  <c r="C32" i="1" s="1"/>
  <c r="C37" i="1" s="1"/>
  <c r="C42" i="1" s="1"/>
  <c r="F27" i="1"/>
  <c r="G27" i="1"/>
  <c r="G32" i="1" s="1"/>
  <c r="G37" i="1" s="1"/>
  <c r="G42" i="1" s="1"/>
  <c r="G47" i="1" s="1"/>
  <c r="D28" i="1"/>
  <c r="D33" i="1" s="1"/>
  <c r="D38" i="1" s="1"/>
  <c r="E28" i="1"/>
  <c r="G29" i="1"/>
  <c r="E30" i="1"/>
  <c r="E35" i="1" s="1"/>
  <c r="E40" i="1" s="1"/>
  <c r="E45" i="1" s="1"/>
  <c r="E50" i="1" s="1"/>
  <c r="E55" i="1" s="1"/>
  <c r="E60" i="1" s="1"/>
  <c r="E31" i="1"/>
  <c r="E36" i="1" s="1"/>
  <c r="F32" i="1"/>
  <c r="F37" i="1" s="1"/>
  <c r="F42" i="1" s="1"/>
  <c r="F47" i="1" s="1"/>
  <c r="E33" i="1"/>
  <c r="G34" i="1"/>
  <c r="F35" i="1"/>
  <c r="F40" i="1" s="1"/>
  <c r="F45" i="1" s="1"/>
  <c r="E38" i="1"/>
  <c r="E43" i="1" s="1"/>
  <c r="G39" i="1"/>
  <c r="E41" i="1"/>
  <c r="G44" i="1"/>
  <c r="G49" i="1" s="1"/>
  <c r="G54" i="1" s="1"/>
  <c r="G59" i="1" s="1"/>
  <c r="G64" i="1" s="1"/>
  <c r="D46" i="1"/>
  <c r="D51" i="1" s="1"/>
  <c r="D56" i="1" s="1"/>
  <c r="D61" i="1" s="1"/>
  <c r="D66" i="1" s="1"/>
  <c r="D71" i="1" s="1"/>
  <c r="C47" i="1"/>
  <c r="C52" i="1" s="1"/>
  <c r="E48" i="1"/>
  <c r="E53" i="1" s="1"/>
  <c r="E58" i="1" s="1"/>
  <c r="F52" i="1"/>
  <c r="C59" i="1"/>
  <c r="E63" i="1"/>
  <c r="E68" i="1" s="1"/>
  <c r="E73" i="1" s="1"/>
  <c r="C64" i="1"/>
  <c r="C69" i="1" s="1"/>
  <c r="F64" i="1"/>
  <c r="F69" i="1" s="1"/>
  <c r="F74" i="1" s="1"/>
  <c r="F79" i="1" s="1"/>
  <c r="E65" i="1"/>
  <c r="G68" i="1"/>
  <c r="G73" i="1" s="1"/>
  <c r="G78" i="1" s="1"/>
  <c r="G83" i="1" s="1"/>
  <c r="G88" i="1" s="1"/>
  <c r="E70" i="1"/>
  <c r="E75" i="1" s="1"/>
  <c r="C71" i="1"/>
  <c r="C76" i="1" s="1"/>
  <c r="C81" i="1" s="1"/>
  <c r="C74" i="1"/>
  <c r="D76" i="1"/>
  <c r="D81" i="1" s="1"/>
  <c r="D86" i="1" s="1"/>
  <c r="C79" i="1"/>
  <c r="C84" i="1" s="1"/>
  <c r="E80" i="1"/>
  <c r="F81" i="1"/>
  <c r="F86" i="1" s="1"/>
  <c r="F91" i="1" s="1"/>
  <c r="F96" i="1" s="1"/>
  <c r="F101" i="1" s="1"/>
  <c r="F84" i="1"/>
  <c r="C86" i="1"/>
  <c r="C91" i="1" s="1"/>
  <c r="C89" i="1"/>
  <c r="C94" i="1" s="1"/>
  <c r="C99" i="1" s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C13" i="1"/>
  <c r="C14" i="1"/>
  <c r="C15" i="1"/>
  <c r="C16" i="1"/>
  <c r="C17" i="1"/>
  <c r="D8" i="1"/>
  <c r="E8" i="1"/>
  <c r="F8" i="1"/>
  <c r="G8" i="1"/>
  <c r="D9" i="1"/>
  <c r="E9" i="1"/>
  <c r="O9" i="1" s="1"/>
  <c r="F9" i="1"/>
  <c r="G9" i="1"/>
  <c r="D10" i="1"/>
  <c r="E10" i="1"/>
  <c r="F10" i="1"/>
  <c r="G10" i="1"/>
  <c r="D11" i="1"/>
  <c r="N11" i="1" s="1"/>
  <c r="E11" i="1"/>
  <c r="O11" i="1" s="1"/>
  <c r="F11" i="1"/>
  <c r="G11" i="1"/>
  <c r="D12" i="1"/>
  <c r="E12" i="1"/>
  <c r="F12" i="1"/>
  <c r="G12" i="1"/>
  <c r="C12" i="1"/>
  <c r="C9" i="1"/>
  <c r="M9" i="1" s="1"/>
  <c r="C10" i="1"/>
  <c r="C11" i="1"/>
  <c r="C8" i="1"/>
  <c r="M7" i="1"/>
  <c r="M6" i="1"/>
  <c r="M5" i="1"/>
  <c r="M4" i="1"/>
  <c r="M3" i="1"/>
  <c r="N41" i="1"/>
  <c r="Q37" i="1"/>
  <c r="N36" i="1"/>
  <c r="N32" i="1"/>
  <c r="O31" i="1"/>
  <c r="N31" i="1"/>
  <c r="N30" i="1"/>
  <c r="P27" i="1"/>
  <c r="N27" i="1"/>
  <c r="P26" i="1"/>
  <c r="O26" i="1"/>
  <c r="M26" i="1"/>
  <c r="P24" i="1"/>
  <c r="O24" i="1"/>
  <c r="Q22" i="1"/>
  <c r="N22" i="1"/>
  <c r="P21" i="1"/>
  <c r="O21" i="1"/>
  <c r="N21" i="1"/>
  <c r="P20" i="1"/>
  <c r="Q19" i="1"/>
  <c r="P19" i="1"/>
  <c r="M19" i="1"/>
  <c r="P17" i="1"/>
  <c r="N17" i="1"/>
  <c r="O16" i="1"/>
  <c r="N16" i="1"/>
  <c r="M16" i="1"/>
  <c r="P15" i="1"/>
  <c r="N15" i="1"/>
  <c r="P14" i="1"/>
  <c r="O14" i="1"/>
  <c r="M14" i="1"/>
  <c r="Q12" i="1"/>
  <c r="P12" i="1"/>
  <c r="N12" i="1"/>
  <c r="M11" i="1"/>
  <c r="P10" i="1"/>
  <c r="M10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J39" i="1" l="1"/>
  <c r="O34" i="1"/>
  <c r="L29" i="1"/>
  <c r="L34" i="1" s="1"/>
  <c r="L39" i="1" s="1"/>
  <c r="L44" i="1" s="1"/>
  <c r="L49" i="1" s="1"/>
  <c r="L54" i="1" s="1"/>
  <c r="L59" i="1" s="1"/>
  <c r="L64" i="1" s="1"/>
  <c r="L69" i="1" s="1"/>
  <c r="L74" i="1" s="1"/>
  <c r="L79" i="1" s="1"/>
  <c r="L84" i="1" s="1"/>
  <c r="L89" i="1" s="1"/>
  <c r="L94" i="1" s="1"/>
  <c r="L99" i="1" s="1"/>
  <c r="L104" i="1" s="1"/>
  <c r="L109" i="1" s="1"/>
  <c r="L114" i="1" s="1"/>
  <c r="L119" i="1" s="1"/>
  <c r="L124" i="1" s="1"/>
  <c r="L129" i="1" s="1"/>
  <c r="L134" i="1" s="1"/>
  <c r="L139" i="1" s="1"/>
  <c r="L144" i="1" s="1"/>
  <c r="L149" i="1" s="1"/>
  <c r="L154" i="1" s="1"/>
  <c r="L159" i="1" s="1"/>
  <c r="Q24" i="1"/>
  <c r="P32" i="1"/>
  <c r="K37" i="1"/>
  <c r="H36" i="1"/>
  <c r="H41" i="1" s="1"/>
  <c r="M31" i="1"/>
  <c r="P35" i="1"/>
  <c r="Q31" i="1"/>
  <c r="M12" i="1"/>
  <c r="O13" i="1"/>
  <c r="P25" i="1"/>
  <c r="P34" i="1"/>
  <c r="O15" i="1"/>
  <c r="P30" i="1"/>
  <c r="N13" i="1"/>
  <c r="Q42" i="1"/>
  <c r="Q36" i="1"/>
  <c r="M22" i="1"/>
  <c r="O20" i="1"/>
  <c r="O36" i="1"/>
  <c r="M20" i="1"/>
  <c r="N45" i="1"/>
  <c r="N46" i="1"/>
  <c r="P39" i="1"/>
  <c r="M24" i="1"/>
  <c r="Q32" i="1"/>
  <c r="Q20" i="1"/>
  <c r="Q26" i="1"/>
  <c r="P36" i="1"/>
  <c r="P13" i="1"/>
  <c r="M17" i="1"/>
  <c r="N40" i="1"/>
  <c r="P46" i="1"/>
  <c r="N35" i="1"/>
  <c r="P41" i="1"/>
  <c r="O10" i="1"/>
  <c r="Q15" i="1"/>
  <c r="Q13" i="1"/>
  <c r="Q8" i="1"/>
  <c r="M18" i="1"/>
  <c r="N42" i="1"/>
  <c r="P51" i="1"/>
  <c r="N55" i="1"/>
  <c r="N50" i="1"/>
  <c r="N37" i="1"/>
  <c r="N60" i="1"/>
  <c r="Q16" i="1"/>
  <c r="Q14" i="1"/>
  <c r="M13" i="1"/>
  <c r="Q9" i="1"/>
  <c r="N9" i="1"/>
  <c r="C57" i="1"/>
  <c r="F33" i="1"/>
  <c r="N34" i="1"/>
  <c r="C104" i="1"/>
  <c r="G71" i="1"/>
  <c r="E78" i="1"/>
  <c r="E46" i="1"/>
  <c r="O41" i="1"/>
  <c r="C48" i="1"/>
  <c r="C96" i="1"/>
  <c r="F89" i="1"/>
  <c r="E47" i="1"/>
  <c r="G45" i="1"/>
  <c r="Q40" i="1"/>
  <c r="D44" i="1"/>
  <c r="N39" i="1"/>
  <c r="F106" i="1"/>
  <c r="G93" i="1"/>
  <c r="F57" i="1"/>
  <c r="F50" i="1"/>
  <c r="D43" i="1"/>
  <c r="C40" i="1"/>
  <c r="D52" i="1"/>
  <c r="N47" i="1"/>
  <c r="E85" i="1"/>
  <c r="G52" i="1"/>
  <c r="Q47" i="1"/>
  <c r="E54" i="1"/>
  <c r="D90" i="1"/>
  <c r="D91" i="1"/>
  <c r="N24" i="1"/>
  <c r="Q25" i="1"/>
  <c r="N29" i="1"/>
  <c r="Q30" i="1"/>
  <c r="Q35" i="1"/>
  <c r="G69" i="1"/>
  <c r="H46" i="1" l="1"/>
  <c r="H51" i="1" s="1"/>
  <c r="H56" i="1" s="1"/>
  <c r="H61" i="1" s="1"/>
  <c r="H66" i="1" s="1"/>
  <c r="H71" i="1" s="1"/>
  <c r="H76" i="1" s="1"/>
  <c r="H81" i="1" s="1"/>
  <c r="H86" i="1" s="1"/>
  <c r="H91" i="1" s="1"/>
  <c r="H96" i="1" s="1"/>
  <c r="H101" i="1" s="1"/>
  <c r="H106" i="1" s="1"/>
  <c r="H111" i="1" s="1"/>
  <c r="H116" i="1" s="1"/>
  <c r="H121" i="1" s="1"/>
  <c r="H126" i="1" s="1"/>
  <c r="H131" i="1" s="1"/>
  <c r="H136" i="1" s="1"/>
  <c r="H141" i="1" s="1"/>
  <c r="H146" i="1" s="1"/>
  <c r="H151" i="1" s="1"/>
  <c r="H156" i="1" s="1"/>
  <c r="H161" i="1" s="1"/>
  <c r="M41" i="1"/>
  <c r="M36" i="1"/>
  <c r="K42" i="1"/>
  <c r="P37" i="1"/>
  <c r="Q29" i="1"/>
  <c r="J44" i="1"/>
  <c r="O39" i="1"/>
  <c r="O25" i="1"/>
  <c r="Q34" i="1"/>
  <c r="M27" i="1"/>
  <c r="M29" i="1"/>
  <c r="O17" i="1"/>
  <c r="P44" i="1"/>
  <c r="M25" i="1"/>
  <c r="Q41" i="1"/>
  <c r="N51" i="1"/>
  <c r="O18" i="1"/>
  <c r="N18" i="1"/>
  <c r="P18" i="1"/>
  <c r="Q18" i="1"/>
  <c r="M23" i="1"/>
  <c r="P56" i="1"/>
  <c r="P40" i="1"/>
  <c r="N65" i="1"/>
  <c r="E90" i="1"/>
  <c r="F94" i="1"/>
  <c r="F111" i="1"/>
  <c r="D95" i="1"/>
  <c r="F55" i="1"/>
  <c r="D49" i="1"/>
  <c r="N44" i="1"/>
  <c r="C101" i="1"/>
  <c r="E51" i="1"/>
  <c r="O46" i="1"/>
  <c r="C109" i="1"/>
  <c r="D96" i="1"/>
  <c r="D48" i="1"/>
  <c r="C53" i="1"/>
  <c r="F62" i="1"/>
  <c r="F38" i="1"/>
  <c r="E59" i="1"/>
  <c r="D57" i="1"/>
  <c r="N52" i="1"/>
  <c r="G50" i="1"/>
  <c r="Q45" i="1"/>
  <c r="E83" i="1"/>
  <c r="G76" i="1"/>
  <c r="G74" i="1"/>
  <c r="G57" i="1"/>
  <c r="Q52" i="1"/>
  <c r="C45" i="1"/>
  <c r="G98" i="1"/>
  <c r="E52" i="1"/>
  <c r="C62" i="1"/>
  <c r="K47" i="1" l="1"/>
  <c r="P42" i="1"/>
  <c r="J49" i="1"/>
  <c r="O44" i="1"/>
  <c r="M46" i="1"/>
  <c r="M34" i="1"/>
  <c r="Q46" i="1"/>
  <c r="O30" i="1"/>
  <c r="M30" i="1"/>
  <c r="Q39" i="1"/>
  <c r="N56" i="1"/>
  <c r="O22" i="1"/>
  <c r="M51" i="1"/>
  <c r="M32" i="1"/>
  <c r="P49" i="1"/>
  <c r="O23" i="1"/>
  <c r="P23" i="1"/>
  <c r="Q23" i="1"/>
  <c r="N23" i="1"/>
  <c r="M28" i="1"/>
  <c r="N70" i="1"/>
  <c r="P61" i="1"/>
  <c r="P45" i="1"/>
  <c r="D100" i="1"/>
  <c r="D62" i="1"/>
  <c r="N57" i="1"/>
  <c r="G79" i="1"/>
  <c r="E57" i="1"/>
  <c r="C58" i="1"/>
  <c r="E56" i="1"/>
  <c r="O51" i="1"/>
  <c r="G81" i="1"/>
  <c r="G103" i="1"/>
  <c r="E64" i="1"/>
  <c r="D53" i="1"/>
  <c r="C106" i="1"/>
  <c r="F116" i="1"/>
  <c r="C50" i="1"/>
  <c r="E88" i="1"/>
  <c r="F43" i="1"/>
  <c r="D101" i="1"/>
  <c r="D54" i="1"/>
  <c r="N49" i="1"/>
  <c r="F99" i="1"/>
  <c r="C67" i="1"/>
  <c r="G62" i="1"/>
  <c r="Q57" i="1"/>
  <c r="G55" i="1"/>
  <c r="Q50" i="1"/>
  <c r="F67" i="1"/>
  <c r="C114" i="1"/>
  <c r="F60" i="1"/>
  <c r="E95" i="1"/>
  <c r="J54" i="1" l="1"/>
  <c r="O49" i="1"/>
  <c r="K52" i="1"/>
  <c r="P47" i="1"/>
  <c r="M56" i="1"/>
  <c r="O27" i="1"/>
  <c r="P54" i="1"/>
  <c r="N61" i="1"/>
  <c r="Q51" i="1"/>
  <c r="M35" i="1"/>
  <c r="O35" i="1"/>
  <c r="M37" i="1"/>
  <c r="Q44" i="1"/>
  <c r="M39" i="1"/>
  <c r="N28" i="1"/>
  <c r="Q28" i="1"/>
  <c r="P28" i="1"/>
  <c r="O28" i="1"/>
  <c r="M33" i="1"/>
  <c r="P66" i="1"/>
  <c r="P50" i="1"/>
  <c r="N75" i="1"/>
  <c r="F65" i="1"/>
  <c r="F121" i="1"/>
  <c r="E62" i="1"/>
  <c r="F48" i="1"/>
  <c r="G67" i="1"/>
  <c r="Q62" i="1"/>
  <c r="D106" i="1"/>
  <c r="G108" i="1"/>
  <c r="C119" i="1"/>
  <c r="C72" i="1"/>
  <c r="C111" i="1"/>
  <c r="G86" i="1"/>
  <c r="G84" i="1"/>
  <c r="F72" i="1"/>
  <c r="F104" i="1"/>
  <c r="E93" i="1"/>
  <c r="D58" i="1"/>
  <c r="E61" i="1"/>
  <c r="O56" i="1"/>
  <c r="D67" i="1"/>
  <c r="N62" i="1"/>
  <c r="E100" i="1"/>
  <c r="G60" i="1"/>
  <c r="Q55" i="1"/>
  <c r="D59" i="1"/>
  <c r="N54" i="1"/>
  <c r="C55" i="1"/>
  <c r="E69" i="1"/>
  <c r="C63" i="1"/>
  <c r="D105" i="1"/>
  <c r="J59" i="1" l="1"/>
  <c r="O54" i="1"/>
  <c r="K57" i="1"/>
  <c r="P52" i="1"/>
  <c r="N66" i="1"/>
  <c r="M42" i="1"/>
  <c r="O40" i="1"/>
  <c r="P59" i="1"/>
  <c r="M44" i="1"/>
  <c r="M40" i="1"/>
  <c r="O32" i="1"/>
  <c r="Q49" i="1"/>
  <c r="Q56" i="1"/>
  <c r="M61" i="1"/>
  <c r="O33" i="1"/>
  <c r="P33" i="1"/>
  <c r="Q33" i="1"/>
  <c r="N33" i="1"/>
  <c r="M38" i="1"/>
  <c r="P71" i="1"/>
  <c r="P55" i="1"/>
  <c r="N80" i="1"/>
  <c r="F53" i="1"/>
  <c r="E105" i="1"/>
  <c r="C124" i="1"/>
  <c r="E74" i="1"/>
  <c r="E98" i="1"/>
  <c r="G91" i="1"/>
  <c r="G113" i="1"/>
  <c r="E67" i="1"/>
  <c r="G89" i="1"/>
  <c r="F109" i="1"/>
  <c r="C116" i="1"/>
  <c r="F126" i="1"/>
  <c r="G65" i="1"/>
  <c r="Q60" i="1"/>
  <c r="C60" i="1"/>
  <c r="D72" i="1"/>
  <c r="N67" i="1"/>
  <c r="D111" i="1"/>
  <c r="D63" i="1"/>
  <c r="C68" i="1"/>
  <c r="D110" i="1"/>
  <c r="D64" i="1"/>
  <c r="N59" i="1"/>
  <c r="E66" i="1"/>
  <c r="O61" i="1"/>
  <c r="F77" i="1"/>
  <c r="C77" i="1"/>
  <c r="G72" i="1"/>
  <c r="Q67" i="1"/>
  <c r="F70" i="1"/>
  <c r="K62" i="1" l="1"/>
  <c r="P57" i="1"/>
  <c r="J64" i="1"/>
  <c r="O59" i="1"/>
  <c r="Q54" i="1"/>
  <c r="P64" i="1"/>
  <c r="O45" i="1"/>
  <c r="M66" i="1"/>
  <c r="M45" i="1"/>
  <c r="M47" i="1"/>
  <c r="O37" i="1"/>
  <c r="Q61" i="1"/>
  <c r="M49" i="1"/>
  <c r="N71" i="1"/>
  <c r="P38" i="1"/>
  <c r="O38" i="1"/>
  <c r="N38" i="1"/>
  <c r="Q38" i="1"/>
  <c r="M43" i="1"/>
  <c r="N85" i="1"/>
  <c r="P60" i="1"/>
  <c r="P76" i="1"/>
  <c r="D116" i="1"/>
  <c r="D115" i="1"/>
  <c r="F131" i="1"/>
  <c r="C82" i="1"/>
  <c r="C129" i="1"/>
  <c r="C65" i="1"/>
  <c r="E110" i="1"/>
  <c r="D69" i="1"/>
  <c r="N64" i="1"/>
  <c r="E72" i="1"/>
  <c r="D77" i="1"/>
  <c r="N72" i="1"/>
  <c r="C121" i="1"/>
  <c r="F114" i="1"/>
  <c r="G77" i="1"/>
  <c r="Q72" i="1"/>
  <c r="E79" i="1"/>
  <c r="G118" i="1"/>
  <c r="G96" i="1"/>
  <c r="F82" i="1"/>
  <c r="C73" i="1"/>
  <c r="F75" i="1"/>
  <c r="E71" i="1"/>
  <c r="O66" i="1"/>
  <c r="D68" i="1"/>
  <c r="G70" i="1"/>
  <c r="Q65" i="1"/>
  <c r="G94" i="1"/>
  <c r="E103" i="1"/>
  <c r="F58" i="1"/>
  <c r="K67" i="1" l="1"/>
  <c r="P62" i="1"/>
  <c r="J69" i="1"/>
  <c r="O64" i="1"/>
  <c r="Q66" i="1"/>
  <c r="M71" i="1"/>
  <c r="O50" i="1"/>
  <c r="N76" i="1"/>
  <c r="M52" i="1"/>
  <c r="P69" i="1"/>
  <c r="O42" i="1"/>
  <c r="M54" i="1"/>
  <c r="M50" i="1"/>
  <c r="Q59" i="1"/>
  <c r="O43" i="1"/>
  <c r="P43" i="1"/>
  <c r="Q43" i="1"/>
  <c r="N43" i="1"/>
  <c r="M48" i="1"/>
  <c r="P81" i="1"/>
  <c r="N90" i="1"/>
  <c r="P65" i="1"/>
  <c r="E108" i="1"/>
  <c r="F80" i="1"/>
  <c r="E76" i="1"/>
  <c r="O71" i="1"/>
  <c r="C87" i="1"/>
  <c r="C126" i="1"/>
  <c r="G99" i="1"/>
  <c r="G75" i="1"/>
  <c r="Q70" i="1"/>
  <c r="C78" i="1"/>
  <c r="E84" i="1"/>
  <c r="D82" i="1"/>
  <c r="N77" i="1"/>
  <c r="C70" i="1"/>
  <c r="D120" i="1"/>
  <c r="G101" i="1"/>
  <c r="F136" i="1"/>
  <c r="G123" i="1"/>
  <c r="E115" i="1"/>
  <c r="F63" i="1"/>
  <c r="F119" i="1"/>
  <c r="D74" i="1"/>
  <c r="N69" i="1"/>
  <c r="D73" i="1"/>
  <c r="F87" i="1"/>
  <c r="G82" i="1"/>
  <c r="Q77" i="1"/>
  <c r="E77" i="1"/>
  <c r="C134" i="1"/>
  <c r="D121" i="1"/>
  <c r="J74" i="1" l="1"/>
  <c r="O69" i="1"/>
  <c r="K72" i="1"/>
  <c r="P67" i="1"/>
  <c r="N81" i="1"/>
  <c r="O47" i="1"/>
  <c r="O55" i="1"/>
  <c r="Q64" i="1"/>
  <c r="P74" i="1"/>
  <c r="M76" i="1"/>
  <c r="M59" i="1"/>
  <c r="M55" i="1"/>
  <c r="M57" i="1"/>
  <c r="Q71" i="1"/>
  <c r="N48" i="1"/>
  <c r="Q48" i="1"/>
  <c r="P48" i="1"/>
  <c r="O48" i="1"/>
  <c r="M53" i="1"/>
  <c r="N95" i="1"/>
  <c r="P86" i="1"/>
  <c r="P70" i="1"/>
  <c r="C139" i="1"/>
  <c r="D125" i="1"/>
  <c r="G128" i="1"/>
  <c r="E82" i="1"/>
  <c r="D79" i="1"/>
  <c r="N74" i="1"/>
  <c r="C75" i="1"/>
  <c r="G80" i="1"/>
  <c r="Q75" i="1"/>
  <c r="E81" i="1"/>
  <c r="O76" i="1"/>
  <c r="D78" i="1"/>
  <c r="C92" i="1"/>
  <c r="G87" i="1"/>
  <c r="Q82" i="1"/>
  <c r="F124" i="1"/>
  <c r="F141" i="1"/>
  <c r="D87" i="1"/>
  <c r="N82" i="1"/>
  <c r="G104" i="1"/>
  <c r="F85" i="1"/>
  <c r="E120" i="1"/>
  <c r="C83" i="1"/>
  <c r="D126" i="1"/>
  <c r="F92" i="1"/>
  <c r="F68" i="1"/>
  <c r="G106" i="1"/>
  <c r="E89" i="1"/>
  <c r="C131" i="1"/>
  <c r="E113" i="1"/>
  <c r="K77" i="1" l="1"/>
  <c r="P72" i="1"/>
  <c r="J79" i="1"/>
  <c r="O74" i="1"/>
  <c r="Q69" i="1"/>
  <c r="M64" i="1"/>
  <c r="O60" i="1"/>
  <c r="Q76" i="1"/>
  <c r="M81" i="1"/>
  <c r="O52" i="1"/>
  <c r="M60" i="1"/>
  <c r="M62" i="1"/>
  <c r="P79" i="1"/>
  <c r="N86" i="1"/>
  <c r="O53" i="1"/>
  <c r="P53" i="1"/>
  <c r="Q53" i="1"/>
  <c r="N53" i="1"/>
  <c r="M58" i="1"/>
  <c r="P75" i="1"/>
  <c r="P91" i="1"/>
  <c r="N100" i="1"/>
  <c r="E86" i="1"/>
  <c r="O81" i="1"/>
  <c r="C136" i="1"/>
  <c r="F129" i="1"/>
  <c r="E94" i="1"/>
  <c r="D131" i="1"/>
  <c r="G109" i="1"/>
  <c r="G92" i="1"/>
  <c r="Q87" i="1"/>
  <c r="G85" i="1"/>
  <c r="Q80" i="1"/>
  <c r="G133" i="1"/>
  <c r="F90" i="1"/>
  <c r="F97" i="1"/>
  <c r="G111" i="1"/>
  <c r="C88" i="1"/>
  <c r="D92" i="1"/>
  <c r="N87" i="1"/>
  <c r="C97" i="1"/>
  <c r="C80" i="1"/>
  <c r="D130" i="1"/>
  <c r="E87" i="1"/>
  <c r="E118" i="1"/>
  <c r="F73" i="1"/>
  <c r="E125" i="1"/>
  <c r="F146" i="1"/>
  <c r="D83" i="1"/>
  <c r="D84" i="1"/>
  <c r="N79" i="1"/>
  <c r="C144" i="1"/>
  <c r="J84" i="1" l="1"/>
  <c r="O79" i="1"/>
  <c r="K82" i="1"/>
  <c r="P77" i="1"/>
  <c r="M65" i="1"/>
  <c r="O65" i="1"/>
  <c r="N91" i="1"/>
  <c r="O57" i="1"/>
  <c r="M69" i="1"/>
  <c r="M67" i="1"/>
  <c r="Q81" i="1"/>
  <c r="P84" i="1"/>
  <c r="M86" i="1"/>
  <c r="Q74" i="1"/>
  <c r="N58" i="1"/>
  <c r="Q58" i="1"/>
  <c r="P58" i="1"/>
  <c r="O58" i="1"/>
  <c r="M63" i="1"/>
  <c r="P96" i="1"/>
  <c r="N105" i="1"/>
  <c r="P80" i="1"/>
  <c r="D89" i="1"/>
  <c r="N84" i="1"/>
  <c r="G90" i="1"/>
  <c r="Q85" i="1"/>
  <c r="D88" i="1"/>
  <c r="E123" i="1"/>
  <c r="C102" i="1"/>
  <c r="F102" i="1"/>
  <c r="G97" i="1"/>
  <c r="Q92" i="1"/>
  <c r="F134" i="1"/>
  <c r="E99" i="1"/>
  <c r="C85" i="1"/>
  <c r="F151" i="1"/>
  <c r="E92" i="1"/>
  <c r="D97" i="1"/>
  <c r="N92" i="1"/>
  <c r="F95" i="1"/>
  <c r="G114" i="1"/>
  <c r="C141" i="1"/>
  <c r="G116" i="1"/>
  <c r="D135" i="1"/>
  <c r="G138" i="1"/>
  <c r="F78" i="1"/>
  <c r="C149" i="1"/>
  <c r="E130" i="1"/>
  <c r="C93" i="1"/>
  <c r="D136" i="1"/>
  <c r="E91" i="1"/>
  <c r="O86" i="1"/>
  <c r="K87" i="1" l="1"/>
  <c r="P82" i="1"/>
  <c r="J89" i="1"/>
  <c r="O84" i="1"/>
  <c r="P89" i="1"/>
  <c r="O62" i="1"/>
  <c r="N96" i="1"/>
  <c r="Q79" i="1"/>
  <c r="M72" i="1"/>
  <c r="O70" i="1"/>
  <c r="Q86" i="1"/>
  <c r="M91" i="1"/>
  <c r="M74" i="1"/>
  <c r="M70" i="1"/>
  <c r="P63" i="1"/>
  <c r="Q63" i="1"/>
  <c r="O63" i="1"/>
  <c r="N63" i="1"/>
  <c r="M68" i="1"/>
  <c r="P85" i="1"/>
  <c r="N110" i="1"/>
  <c r="P101" i="1"/>
  <c r="C146" i="1"/>
  <c r="G119" i="1"/>
  <c r="F83" i="1"/>
  <c r="F139" i="1"/>
  <c r="C98" i="1"/>
  <c r="G102" i="1"/>
  <c r="Q97" i="1"/>
  <c r="E97" i="1"/>
  <c r="F156" i="1"/>
  <c r="E135" i="1"/>
  <c r="D140" i="1"/>
  <c r="F100" i="1"/>
  <c r="C90" i="1"/>
  <c r="F107" i="1"/>
  <c r="G95" i="1"/>
  <c r="Q90" i="1"/>
  <c r="D141" i="1"/>
  <c r="E128" i="1"/>
  <c r="G143" i="1"/>
  <c r="D93" i="1"/>
  <c r="E96" i="1"/>
  <c r="O91" i="1"/>
  <c r="C154" i="1"/>
  <c r="G121" i="1"/>
  <c r="D102" i="1"/>
  <c r="N97" i="1"/>
  <c r="E104" i="1"/>
  <c r="C107" i="1"/>
  <c r="D94" i="1"/>
  <c r="N89" i="1"/>
  <c r="K92" i="1" l="1"/>
  <c r="P87" i="1"/>
  <c r="J94" i="1"/>
  <c r="O89" i="1"/>
  <c r="M96" i="1"/>
  <c r="Q84" i="1"/>
  <c r="M75" i="1"/>
  <c r="N101" i="1"/>
  <c r="O75" i="1"/>
  <c r="O67" i="1"/>
  <c r="Q91" i="1"/>
  <c r="M79" i="1"/>
  <c r="M77" i="1"/>
  <c r="P94" i="1"/>
  <c r="N68" i="1"/>
  <c r="O68" i="1"/>
  <c r="Q68" i="1"/>
  <c r="P68" i="1"/>
  <c r="M73" i="1"/>
  <c r="N115" i="1"/>
  <c r="P106" i="1"/>
  <c r="P90" i="1"/>
  <c r="F144" i="1"/>
  <c r="C159" i="1"/>
  <c r="C95" i="1"/>
  <c r="E101" i="1"/>
  <c r="O96" i="1"/>
  <c r="F88" i="1"/>
  <c r="D145" i="1"/>
  <c r="D98" i="1"/>
  <c r="G124" i="1"/>
  <c r="E133" i="1"/>
  <c r="E109" i="1"/>
  <c r="E102" i="1"/>
  <c r="G148" i="1"/>
  <c r="C112" i="1"/>
  <c r="F161" i="1"/>
  <c r="D146" i="1"/>
  <c r="F105" i="1"/>
  <c r="N102" i="1"/>
  <c r="D107" i="1"/>
  <c r="Q95" i="1"/>
  <c r="G100" i="1"/>
  <c r="G107" i="1"/>
  <c r="Q102" i="1"/>
  <c r="F112" i="1"/>
  <c r="D99" i="1"/>
  <c r="N94" i="1"/>
  <c r="G126" i="1"/>
  <c r="E140" i="1"/>
  <c r="C103" i="1"/>
  <c r="C151" i="1"/>
  <c r="J99" i="1" l="1"/>
  <c r="O94" i="1"/>
  <c r="K97" i="1"/>
  <c r="P92" i="1"/>
  <c r="N106" i="1"/>
  <c r="M84" i="1"/>
  <c r="Q96" i="1"/>
  <c r="P99" i="1"/>
  <c r="O72" i="1"/>
  <c r="Q89" i="1"/>
  <c r="M80" i="1"/>
  <c r="M82" i="1"/>
  <c r="O80" i="1"/>
  <c r="M101" i="1"/>
  <c r="Q73" i="1"/>
  <c r="O73" i="1"/>
  <c r="P73" i="1"/>
  <c r="N73" i="1"/>
  <c r="M78" i="1"/>
  <c r="P95" i="1"/>
  <c r="P111" i="1"/>
  <c r="N120" i="1"/>
  <c r="C108" i="1"/>
  <c r="F117" i="1"/>
  <c r="G153" i="1"/>
  <c r="D151" i="1"/>
  <c r="F110" i="1"/>
  <c r="E145" i="1"/>
  <c r="E106" i="1"/>
  <c r="O101" i="1"/>
  <c r="G112" i="1"/>
  <c r="Q107" i="1"/>
  <c r="D103" i="1"/>
  <c r="D150" i="1"/>
  <c r="D112" i="1"/>
  <c r="N107" i="1"/>
  <c r="G129" i="1"/>
  <c r="E107" i="1"/>
  <c r="C100" i="1"/>
  <c r="G105" i="1"/>
  <c r="Q100" i="1"/>
  <c r="E114" i="1"/>
  <c r="G131" i="1"/>
  <c r="C156" i="1"/>
  <c r="D104" i="1"/>
  <c r="N99" i="1"/>
  <c r="C117" i="1"/>
  <c r="E138" i="1"/>
  <c r="F93" i="1"/>
  <c r="F149" i="1"/>
  <c r="J104" i="1" l="1"/>
  <c r="O99" i="1"/>
  <c r="K102" i="1"/>
  <c r="P97" i="1"/>
  <c r="M87" i="1"/>
  <c r="P104" i="1"/>
  <c r="M85" i="1"/>
  <c r="M106" i="1"/>
  <c r="Q94" i="1"/>
  <c r="M89" i="1"/>
  <c r="Q101" i="1"/>
  <c r="O85" i="1"/>
  <c r="O77" i="1"/>
  <c r="N111" i="1"/>
  <c r="N78" i="1"/>
  <c r="P78" i="1"/>
  <c r="O78" i="1"/>
  <c r="Q78" i="1"/>
  <c r="M83" i="1"/>
  <c r="N125" i="1"/>
  <c r="P116" i="1"/>
  <c r="P100" i="1"/>
  <c r="E119" i="1"/>
  <c r="D156" i="1"/>
  <c r="D117" i="1"/>
  <c r="N112" i="1"/>
  <c r="G117" i="1"/>
  <c r="Q112" i="1"/>
  <c r="D109" i="1"/>
  <c r="N104" i="1"/>
  <c r="E111" i="1"/>
  <c r="O106" i="1"/>
  <c r="C105" i="1"/>
  <c r="E150" i="1"/>
  <c r="F122" i="1"/>
  <c r="C122" i="1"/>
  <c r="C161" i="1"/>
  <c r="G134" i="1"/>
  <c r="F154" i="1"/>
  <c r="G110" i="1"/>
  <c r="Q105" i="1"/>
  <c r="G158" i="1"/>
  <c r="F98" i="1"/>
  <c r="D155" i="1"/>
  <c r="E143" i="1"/>
  <c r="G136" i="1"/>
  <c r="E112" i="1"/>
  <c r="D108" i="1"/>
  <c r="F115" i="1"/>
  <c r="C113" i="1"/>
  <c r="J109" i="1" l="1"/>
  <c r="O104" i="1"/>
  <c r="K107" i="1"/>
  <c r="P102" i="1"/>
  <c r="M111" i="1"/>
  <c r="M90" i="1"/>
  <c r="N116" i="1"/>
  <c r="M94" i="1"/>
  <c r="P109" i="1"/>
  <c r="O90" i="1"/>
  <c r="Q106" i="1"/>
  <c r="O82" i="1"/>
  <c r="Q99" i="1"/>
  <c r="M92" i="1"/>
  <c r="Q83" i="1"/>
  <c r="O83" i="1"/>
  <c r="P83" i="1"/>
  <c r="N83" i="1"/>
  <c r="M88" i="1"/>
  <c r="P121" i="1"/>
  <c r="P105" i="1"/>
  <c r="N130" i="1"/>
  <c r="F103" i="1"/>
  <c r="G139" i="1"/>
  <c r="E116" i="1"/>
  <c r="O111" i="1"/>
  <c r="C118" i="1"/>
  <c r="F120" i="1"/>
  <c r="E117" i="1"/>
  <c r="E155" i="1"/>
  <c r="G122" i="1"/>
  <c r="Q117" i="1"/>
  <c r="G141" i="1"/>
  <c r="C110" i="1"/>
  <c r="D122" i="1"/>
  <c r="N117" i="1"/>
  <c r="E148" i="1"/>
  <c r="G115" i="1"/>
  <c r="Q110" i="1"/>
  <c r="C127" i="1"/>
  <c r="D161" i="1"/>
  <c r="D113" i="1"/>
  <c r="D160" i="1"/>
  <c r="F159" i="1"/>
  <c r="F127" i="1"/>
  <c r="D114" i="1"/>
  <c r="N109" i="1"/>
  <c r="E124" i="1"/>
  <c r="K112" i="1" l="1"/>
  <c r="P107" i="1"/>
  <c r="J114" i="1"/>
  <c r="O109" i="1"/>
  <c r="M99" i="1"/>
  <c r="O87" i="1"/>
  <c r="M97" i="1"/>
  <c r="M95" i="1"/>
  <c r="N121" i="1"/>
  <c r="Q111" i="1"/>
  <c r="O95" i="1"/>
  <c r="Q104" i="1"/>
  <c r="P114" i="1"/>
  <c r="M116" i="1"/>
  <c r="N88" i="1"/>
  <c r="P88" i="1"/>
  <c r="O88" i="1"/>
  <c r="Q88" i="1"/>
  <c r="M93" i="1"/>
  <c r="P126" i="1"/>
  <c r="N135" i="1"/>
  <c r="P110" i="1"/>
  <c r="E153" i="1"/>
  <c r="D127" i="1"/>
  <c r="N122" i="1"/>
  <c r="D118" i="1"/>
  <c r="D119" i="1"/>
  <c r="N114" i="1"/>
  <c r="F132" i="1"/>
  <c r="E160" i="1"/>
  <c r="E122" i="1"/>
  <c r="C115" i="1"/>
  <c r="C123" i="1"/>
  <c r="G127" i="1"/>
  <c r="Q122" i="1"/>
  <c r="O116" i="1"/>
  <c r="E121" i="1"/>
  <c r="C132" i="1"/>
  <c r="G144" i="1"/>
  <c r="E129" i="1"/>
  <c r="G120" i="1"/>
  <c r="Q115" i="1"/>
  <c r="G146" i="1"/>
  <c r="F125" i="1"/>
  <c r="F108" i="1"/>
  <c r="J119" i="1" l="1"/>
  <c r="O114" i="1"/>
  <c r="K117" i="1"/>
  <c r="P112" i="1"/>
  <c r="Q109" i="1"/>
  <c r="Q116" i="1"/>
  <c r="M100" i="1"/>
  <c r="M102" i="1"/>
  <c r="M121" i="1"/>
  <c r="O92" i="1"/>
  <c r="P119" i="1"/>
  <c r="N126" i="1"/>
  <c r="O100" i="1"/>
  <c r="M104" i="1"/>
  <c r="Q93" i="1"/>
  <c r="O93" i="1"/>
  <c r="P93" i="1"/>
  <c r="N93" i="1"/>
  <c r="M98" i="1"/>
  <c r="P115" i="1"/>
  <c r="P131" i="1"/>
  <c r="N140" i="1"/>
  <c r="E126" i="1"/>
  <c r="O121" i="1"/>
  <c r="E127" i="1"/>
  <c r="G132" i="1"/>
  <c r="Q127" i="1"/>
  <c r="C137" i="1"/>
  <c r="D124" i="1"/>
  <c r="N119" i="1"/>
  <c r="Q120" i="1"/>
  <c r="G125" i="1"/>
  <c r="D123" i="1"/>
  <c r="E134" i="1"/>
  <c r="G151" i="1"/>
  <c r="C120" i="1"/>
  <c r="F113" i="1"/>
  <c r="D132" i="1"/>
  <c r="N127" i="1"/>
  <c r="F130" i="1"/>
  <c r="G149" i="1"/>
  <c r="C128" i="1"/>
  <c r="F137" i="1"/>
  <c r="E158" i="1"/>
  <c r="K122" i="1" l="1"/>
  <c r="P117" i="1"/>
  <c r="J124" i="1"/>
  <c r="O119" i="1"/>
  <c r="M109" i="1"/>
  <c r="N131" i="1"/>
  <c r="M105" i="1"/>
  <c r="M107" i="1"/>
  <c r="P124" i="1"/>
  <c r="O97" i="1"/>
  <c r="Q121" i="1"/>
  <c r="O105" i="1"/>
  <c r="M126" i="1"/>
  <c r="Q114" i="1"/>
  <c r="P98" i="1"/>
  <c r="O98" i="1"/>
  <c r="Q98" i="1"/>
  <c r="N98" i="1"/>
  <c r="M103" i="1"/>
  <c r="P136" i="1"/>
  <c r="N145" i="1"/>
  <c r="P120" i="1"/>
  <c r="N132" i="1"/>
  <c r="D137" i="1"/>
  <c r="G137" i="1"/>
  <c r="Q132" i="1"/>
  <c r="C142" i="1"/>
  <c r="F118" i="1"/>
  <c r="F142" i="1"/>
  <c r="E139" i="1"/>
  <c r="C133" i="1"/>
  <c r="D128" i="1"/>
  <c r="G130" i="1"/>
  <c r="Q125" i="1"/>
  <c r="G154" i="1"/>
  <c r="C125" i="1"/>
  <c r="E132" i="1"/>
  <c r="F135" i="1"/>
  <c r="G156" i="1"/>
  <c r="D129" i="1"/>
  <c r="N124" i="1"/>
  <c r="E131" i="1"/>
  <c r="O126" i="1"/>
  <c r="J129" i="1" l="1"/>
  <c r="O124" i="1"/>
  <c r="K127" i="1"/>
  <c r="P122" i="1"/>
  <c r="M112" i="1"/>
  <c r="O110" i="1"/>
  <c r="Q126" i="1"/>
  <c r="M110" i="1"/>
  <c r="Q119" i="1"/>
  <c r="O102" i="1"/>
  <c r="N136" i="1"/>
  <c r="M131" i="1"/>
  <c r="P129" i="1"/>
  <c r="M114" i="1"/>
  <c r="N103" i="1"/>
  <c r="Q103" i="1"/>
  <c r="O103" i="1"/>
  <c r="P103" i="1"/>
  <c r="M108" i="1"/>
  <c r="P141" i="1"/>
  <c r="P125" i="1"/>
  <c r="N150" i="1"/>
  <c r="E137" i="1"/>
  <c r="F123" i="1"/>
  <c r="C138" i="1"/>
  <c r="D133" i="1"/>
  <c r="D134" i="1"/>
  <c r="N129" i="1"/>
  <c r="C147" i="1"/>
  <c r="G159" i="1"/>
  <c r="N137" i="1"/>
  <c r="D142" i="1"/>
  <c r="E136" i="1"/>
  <c r="O131" i="1"/>
  <c r="C130" i="1"/>
  <c r="G161" i="1"/>
  <c r="E144" i="1"/>
  <c r="Q137" i="1"/>
  <c r="G142" i="1"/>
  <c r="F140" i="1"/>
  <c r="G135" i="1"/>
  <c r="Q130" i="1"/>
  <c r="F147" i="1"/>
  <c r="K132" i="1" l="1"/>
  <c r="P127" i="1"/>
  <c r="J134" i="1"/>
  <c r="O129" i="1"/>
  <c r="M136" i="1"/>
  <c r="N141" i="1"/>
  <c r="O107" i="1"/>
  <c r="O115" i="1"/>
  <c r="M115" i="1"/>
  <c r="M119" i="1"/>
  <c r="Q131" i="1"/>
  <c r="P134" i="1"/>
  <c r="Q124" i="1"/>
  <c r="M117" i="1"/>
  <c r="O108" i="1"/>
  <c r="Q108" i="1"/>
  <c r="P108" i="1"/>
  <c r="N108" i="1"/>
  <c r="M113" i="1"/>
  <c r="N160" i="1"/>
  <c r="N155" i="1"/>
  <c r="P130" i="1"/>
  <c r="P146" i="1"/>
  <c r="D138" i="1"/>
  <c r="E149" i="1"/>
  <c r="N142" i="1"/>
  <c r="D147" i="1"/>
  <c r="F152" i="1"/>
  <c r="C143" i="1"/>
  <c r="G140" i="1"/>
  <c r="Q135" i="1"/>
  <c r="F145" i="1"/>
  <c r="C135" i="1"/>
  <c r="C152" i="1"/>
  <c r="F128" i="1"/>
  <c r="G147" i="1"/>
  <c r="Q142" i="1"/>
  <c r="O136" i="1"/>
  <c r="E141" i="1"/>
  <c r="N134" i="1"/>
  <c r="D139" i="1"/>
  <c r="E142" i="1"/>
  <c r="J139" i="1" l="1"/>
  <c r="O134" i="1"/>
  <c r="K137" i="1"/>
  <c r="P132" i="1"/>
  <c r="Q136" i="1"/>
  <c r="M122" i="1"/>
  <c r="O120" i="1"/>
  <c r="O112" i="1"/>
  <c r="Q129" i="1"/>
  <c r="P139" i="1"/>
  <c r="M124" i="1"/>
  <c r="N146" i="1"/>
  <c r="M120" i="1"/>
  <c r="M141" i="1"/>
  <c r="N113" i="1"/>
  <c r="P113" i="1"/>
  <c r="Q113" i="1"/>
  <c r="O113" i="1"/>
  <c r="M118" i="1"/>
  <c r="P135" i="1"/>
  <c r="P151" i="1"/>
  <c r="E146" i="1"/>
  <c r="O141" i="1"/>
  <c r="F157" i="1"/>
  <c r="C140" i="1"/>
  <c r="D152" i="1"/>
  <c r="N147" i="1"/>
  <c r="F150" i="1"/>
  <c r="G152" i="1"/>
  <c r="Q147" i="1"/>
  <c r="F133" i="1"/>
  <c r="E147" i="1"/>
  <c r="G145" i="1"/>
  <c r="Q140" i="1"/>
  <c r="E154" i="1"/>
  <c r="D144" i="1"/>
  <c r="N139" i="1"/>
  <c r="C157" i="1"/>
  <c r="C148" i="1"/>
  <c r="D143" i="1"/>
  <c r="J144" i="1" l="1"/>
  <c r="O139" i="1"/>
  <c r="K142" i="1"/>
  <c r="P137" i="1"/>
  <c r="O117" i="1"/>
  <c r="O125" i="1"/>
  <c r="M127" i="1"/>
  <c r="N151" i="1"/>
  <c r="M146" i="1"/>
  <c r="P144" i="1"/>
  <c r="M129" i="1"/>
  <c r="M125" i="1"/>
  <c r="Q134" i="1"/>
  <c r="Q141" i="1"/>
  <c r="O118" i="1"/>
  <c r="Q118" i="1"/>
  <c r="P118" i="1"/>
  <c r="N118" i="1"/>
  <c r="M123" i="1"/>
  <c r="P161" i="1"/>
  <c r="P156" i="1"/>
  <c r="P140" i="1"/>
  <c r="N144" i="1"/>
  <c r="D149" i="1"/>
  <c r="C162" i="1"/>
  <c r="N152" i="1"/>
  <c r="D157" i="1"/>
  <c r="C145" i="1"/>
  <c r="E152" i="1"/>
  <c r="F138" i="1"/>
  <c r="D148" i="1"/>
  <c r="E159" i="1"/>
  <c r="Q152" i="1"/>
  <c r="G157" i="1"/>
  <c r="F162" i="1"/>
  <c r="C153" i="1"/>
  <c r="Q145" i="1"/>
  <c r="G150" i="1"/>
  <c r="F155" i="1"/>
  <c r="O146" i="1"/>
  <c r="E151" i="1"/>
  <c r="K147" i="1" l="1"/>
  <c r="P142" i="1"/>
  <c r="J149" i="1"/>
  <c r="O144" i="1"/>
  <c r="M130" i="1"/>
  <c r="M134" i="1"/>
  <c r="M132" i="1"/>
  <c r="Q146" i="1"/>
  <c r="N161" i="1"/>
  <c r="N156" i="1"/>
  <c r="P149" i="1"/>
  <c r="O130" i="1"/>
  <c r="Q139" i="1"/>
  <c r="M151" i="1"/>
  <c r="O122" i="1"/>
  <c r="N123" i="1"/>
  <c r="P123" i="1"/>
  <c r="Q123" i="1"/>
  <c r="O123" i="1"/>
  <c r="M128" i="1"/>
  <c r="P145" i="1"/>
  <c r="C150" i="1"/>
  <c r="C158" i="1"/>
  <c r="D162" i="1"/>
  <c r="N162" i="1" s="1"/>
  <c r="N157" i="1"/>
  <c r="E156" i="1"/>
  <c r="O151" i="1"/>
  <c r="F143" i="1"/>
  <c r="N149" i="1"/>
  <c r="D154" i="1"/>
  <c r="Q150" i="1"/>
  <c r="G155" i="1"/>
  <c r="D153" i="1"/>
  <c r="G162" i="1"/>
  <c r="Q162" i="1" s="1"/>
  <c r="Q157" i="1"/>
  <c r="F160" i="1"/>
  <c r="E157" i="1"/>
  <c r="J154" i="1" l="1"/>
  <c r="O149" i="1"/>
  <c r="K152" i="1"/>
  <c r="P147" i="1"/>
  <c r="Q144" i="1"/>
  <c r="O135" i="1"/>
  <c r="P159" i="1"/>
  <c r="P154" i="1"/>
  <c r="M137" i="1"/>
  <c r="Q151" i="1"/>
  <c r="O127" i="1"/>
  <c r="M139" i="1"/>
  <c r="M161" i="1"/>
  <c r="M156" i="1"/>
  <c r="M135" i="1"/>
  <c r="O128" i="1"/>
  <c r="Q128" i="1"/>
  <c r="P128" i="1"/>
  <c r="N128" i="1"/>
  <c r="M133" i="1"/>
  <c r="P150" i="1"/>
  <c r="O156" i="1"/>
  <c r="E161" i="1"/>
  <c r="O161" i="1" s="1"/>
  <c r="D158" i="1"/>
  <c r="Q155" i="1"/>
  <c r="G160" i="1"/>
  <c r="Q160" i="1" s="1"/>
  <c r="E162" i="1"/>
  <c r="N154" i="1"/>
  <c r="D159" i="1"/>
  <c r="N159" i="1" s="1"/>
  <c r="F148" i="1"/>
  <c r="C155" i="1"/>
  <c r="J159" i="1" l="1"/>
  <c r="O159" i="1" s="1"/>
  <c r="O154" i="1"/>
  <c r="K157" i="1"/>
  <c r="P152" i="1"/>
  <c r="M144" i="1"/>
  <c r="O140" i="1"/>
  <c r="M142" i="1"/>
  <c r="O132" i="1"/>
  <c r="M140" i="1"/>
  <c r="Q161" i="1"/>
  <c r="Q156" i="1"/>
  <c r="Q149" i="1"/>
  <c r="N133" i="1"/>
  <c r="P133" i="1"/>
  <c r="Q133" i="1"/>
  <c r="O133" i="1"/>
  <c r="M138" i="1"/>
  <c r="P160" i="1"/>
  <c r="P155" i="1"/>
  <c r="C160" i="1"/>
  <c r="F153" i="1"/>
  <c r="K162" i="1" l="1"/>
  <c r="P162" i="1" s="1"/>
  <c r="P157" i="1"/>
  <c r="Q159" i="1"/>
  <c r="Q154" i="1"/>
  <c r="O137" i="1"/>
  <c r="M147" i="1"/>
  <c r="O145" i="1"/>
  <c r="M145" i="1"/>
  <c r="M149" i="1"/>
  <c r="O138" i="1"/>
  <c r="P138" i="1"/>
  <c r="Q138" i="1"/>
  <c r="N138" i="1"/>
  <c r="M143" i="1"/>
  <c r="F158" i="1"/>
  <c r="O150" i="1" l="1"/>
  <c r="M152" i="1"/>
  <c r="M159" i="1"/>
  <c r="M154" i="1"/>
  <c r="O142" i="1"/>
  <c r="M150" i="1"/>
  <c r="N143" i="1"/>
  <c r="Q143" i="1"/>
  <c r="P143" i="1"/>
  <c r="O143" i="1"/>
  <c r="M148" i="1"/>
  <c r="O147" i="1" l="1"/>
  <c r="M162" i="1"/>
  <c r="M157" i="1"/>
  <c r="M160" i="1"/>
  <c r="M155" i="1"/>
  <c r="O160" i="1"/>
  <c r="O155" i="1"/>
  <c r="O148" i="1"/>
  <c r="P148" i="1"/>
  <c r="Q148" i="1"/>
  <c r="N148" i="1"/>
  <c r="M158" i="1"/>
  <c r="M153" i="1"/>
  <c r="O152" i="1" l="1"/>
  <c r="N158" i="1"/>
  <c r="N153" i="1"/>
  <c r="Q158" i="1"/>
  <c r="Q153" i="1"/>
  <c r="P158" i="1"/>
  <c r="P153" i="1"/>
  <c r="O158" i="1"/>
  <c r="O153" i="1"/>
  <c r="O162" i="1" l="1"/>
  <c r="O157" i="1"/>
</calcChain>
</file>

<file path=xl/sharedStrings.xml><?xml version="1.0" encoding="utf-8"?>
<sst xmlns="http://schemas.openxmlformats.org/spreadsheetml/2006/main" count="210" uniqueCount="45">
  <si>
    <t>パーコスト</t>
  </si>
  <si>
    <t>ターゲットINDEX</t>
  </si>
  <si>
    <t>ターゲットコスト</t>
  </si>
  <si>
    <t>全日</t>
  </si>
  <si>
    <t>ヨの字</t>
  </si>
  <si>
    <t>コの字</t>
  </si>
  <si>
    <t>逆L</t>
  </si>
  <si>
    <t>ATT</t>
  </si>
  <si>
    <t>NTV</t>
  </si>
  <si>
    <t>TBS</t>
  </si>
  <si>
    <t>CX</t>
  </si>
  <si>
    <t>EX</t>
  </si>
  <si>
    <t>TX</t>
  </si>
  <si>
    <t>関東</t>
    <rPh sb="0" eb="2">
      <t>カントウ</t>
    </rPh>
    <phoneticPr fontId="2"/>
  </si>
  <si>
    <t>関西</t>
    <rPh sb="0" eb="2">
      <t>カンサイ</t>
    </rPh>
    <phoneticPr fontId="2"/>
  </si>
  <si>
    <t>中京</t>
    <rPh sb="0" eb="2">
      <t>チュウキョウ</t>
    </rPh>
    <phoneticPr fontId="2"/>
  </si>
  <si>
    <t>福岡</t>
    <rPh sb="0" eb="2">
      <t>フクオカ</t>
    </rPh>
    <phoneticPr fontId="2"/>
  </si>
  <si>
    <t>北海道</t>
    <rPh sb="0" eb="3">
      <t>ホッカイドウ</t>
    </rPh>
    <phoneticPr fontId="2"/>
  </si>
  <si>
    <t>宮城</t>
    <rPh sb="0" eb="2">
      <t>ミヤギ</t>
    </rPh>
    <phoneticPr fontId="2"/>
  </si>
  <si>
    <t>広島</t>
    <rPh sb="0" eb="2">
      <t>ヒロシマ</t>
    </rPh>
    <phoneticPr fontId="2"/>
  </si>
  <si>
    <t>静岡</t>
    <rPh sb="0" eb="2">
      <t>シズオカ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</si>
  <si>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</si>
  <si>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</si>
  <si>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</si>
  <si>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</si>
  <si>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</si>
  <si>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</si>
  <si>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</si>
  <si>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</si>
  <si>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</si>
  <si>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</si>
  <si>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</si>
  <si>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鳥島</t>
    <rPh sb="0" eb="1">
      <t>トリ</t>
    </rPh>
    <rPh sb="1" eb="2">
      <t>シマ</t>
    </rPh>
    <phoneticPr fontId="2"/>
  </si>
  <si>
    <t>岡高</t>
    <rPh sb="0" eb="1">
      <t>オカ</t>
    </rPh>
    <rPh sb="1" eb="2">
      <t>タカ</t>
    </rPh>
    <phoneticPr fontId="2"/>
  </si>
  <si>
    <t>山口</t>
    <rPh sb="0" eb="2">
      <t>ヤマグチ</t>
    </rPh>
    <phoneticPr fontId="2"/>
  </si>
  <si>
    <t>愛媛</t>
    <rPh sb="0" eb="2">
      <t>エヒメ</t>
    </rPh>
    <phoneticPr fontId="2"/>
  </si>
  <si>
    <t>徳島</t>
    <rPh sb="0" eb="2">
      <t>トクシマ</t>
    </rPh>
    <phoneticPr fontId="2"/>
  </si>
  <si>
    <t>高知</t>
    <rPh sb="0" eb="2">
      <t>コウチ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</si>
  <si>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</si>
  <si>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</si>
  <si>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</si>
  <si>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</si>
  <si>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熊本</t>
    <rPh sb="0" eb="2">
      <t>クマモト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</si>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</sst>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1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215D"/>
        <bgColor indexed="64"/>
      </patternFill>
    </fill>
    <fill>
      <patternFill patternType="solid">
        <fgColor rgb="FF808080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808080"/>
      </bottom>
      <diagonal/>
    </border>
    <border>
      <left/>
      <right/>
      <top style="thin">
        <color rgb="FFBFBFBF"/>
      </top>
      <bottom style="thin">
        <color rgb="FF808080"/>
      </bottom>
      <diagonal/>
    </border>
    <border>
      <left/>
      <right style="medium">
        <color rgb="FFBFBFBF"/>
      </right>
      <top style="thin">
        <color rgb="FFBFBFBF"/>
      </top>
      <bottom style="thin">
        <color rgb="FF808080"/>
      </bottom>
      <diagonal/>
    </border>
    <border>
      <left style="medium">
        <color rgb="FFBFBFBF"/>
      </left>
      <right/>
      <top style="thin">
        <color rgb="FFBFBFBF"/>
      </top>
      <bottom style="thin">
        <color rgb="FF808080"/>
      </bottom>
      <diagonal/>
    </border>
    <border>
      <left/>
      <right style="thin">
        <color rgb="FFBFBFBF"/>
      </right>
      <top style="thin">
        <color rgb="FFBFBFBF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BFBFBF"/>
      </bottom>
      <diagonal/>
    </border>
    <border>
      <left style="thin">
        <color rgb="FF808080"/>
      </left>
      <right style="medium">
        <color rgb="FFBFBFBF"/>
      </right>
      <top style="thin">
        <color rgb="FF808080"/>
      </top>
      <bottom style="thin">
        <color rgb="FFBFBFBF"/>
      </bottom>
      <diagonal/>
    </border>
    <border>
      <left style="medium">
        <color rgb="FFBFBFBF"/>
      </left>
      <right style="thin">
        <color rgb="FF808080"/>
      </right>
      <top style="thin">
        <color rgb="FF808080"/>
      </top>
      <bottom style="thin">
        <color rgb="FFBFBFBF"/>
      </bottom>
      <diagonal/>
    </border>
    <border>
      <left style="thin">
        <color rgb="FF808080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BFBFBF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808080"/>
      </left>
      <right style="thin">
        <color rgb="FFBFBFBF"/>
      </right>
      <top style="medium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808080"/>
      </left>
      <right style="thin">
        <color rgb="FFBFBFBF"/>
      </right>
      <top style="thin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thin">
        <color rgb="FF808080"/>
      </right>
      <top/>
      <bottom style="medium">
        <color rgb="FF808080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3" fontId="6" fillId="0" borderId="10" xfId="0" applyNumberFormat="1" applyFont="1" applyBorder="1" applyAlignment="1">
      <alignment horizontal="center" vertical="center" wrapText="1" readingOrder="1"/>
    </xf>
    <xf numFmtId="3" fontId="6" fillId="0" borderId="11" xfId="0" applyNumberFormat="1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3" fontId="6" fillId="0" borderId="12" xfId="0" applyNumberFormat="1" applyFont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3" fontId="6" fillId="0" borderId="15" xfId="0" applyNumberFormat="1" applyFont="1" applyBorder="1" applyAlignment="1">
      <alignment horizontal="center" vertical="center" wrapText="1" readingOrder="1"/>
    </xf>
    <xf numFmtId="3" fontId="6" fillId="0" borderId="16" xfId="0" applyNumberFormat="1" applyFont="1" applyBorder="1" applyAlignment="1">
      <alignment horizontal="center" vertical="center" wrapText="1" readingOrder="1"/>
    </xf>
    <xf numFmtId="0" fontId="3" fillId="0" borderId="25" xfId="0" applyFont="1" applyBorder="1">
      <alignment vertical="center"/>
    </xf>
    <xf numFmtId="0" fontId="5" fillId="3" borderId="18" xfId="0" applyFont="1" applyFill="1" applyBorder="1" applyAlignment="1">
      <alignment horizontal="center" vertical="center" wrapText="1" readingOrder="1"/>
    </xf>
    <xf numFmtId="3" fontId="6" fillId="0" borderId="19" xfId="0" applyNumberFormat="1" applyFont="1" applyBorder="1" applyAlignment="1">
      <alignment horizontal="center" vertical="center" wrapText="1" readingOrder="1"/>
    </xf>
    <xf numFmtId="3" fontId="6" fillId="0" borderId="20" xfId="0" applyNumberFormat="1" applyFont="1" applyBorder="1" applyAlignment="1">
      <alignment horizontal="center" vertical="center" wrapText="1" readingOrder="1"/>
    </xf>
    <xf numFmtId="0" fontId="3" fillId="0" borderId="24" xfId="0" applyFont="1" applyBorder="1">
      <alignment vertical="center"/>
    </xf>
    <xf numFmtId="0" fontId="3" fillId="0" borderId="26" xfId="0" applyFont="1" applyBorder="1">
      <alignment vertical="center"/>
    </xf>
    <xf numFmtId="0" fontId="5" fillId="3" borderId="21" xfId="0" applyFont="1" applyFill="1" applyBorder="1" applyAlignment="1">
      <alignment horizontal="center" vertical="center" wrapText="1" readingOrder="1"/>
    </xf>
    <xf numFmtId="3" fontId="6" fillId="0" borderId="22" xfId="0" applyNumberFormat="1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wrapText="1" readingOrder="1"/>
    </xf>
    <xf numFmtId="3" fontId="6" fillId="0" borderId="23" xfId="0" applyNumberFormat="1" applyFont="1" applyBorder="1" applyAlignment="1">
      <alignment horizontal="center" vertical="center" wrapText="1" readingOrder="1"/>
    </xf>
    <xf numFmtId="38" fontId="6" fillId="0" borderId="12" xfId="1" applyFont="1" applyBorder="1" applyAlignment="1">
      <alignment horizontal="center" vertical="center" wrapText="1" readingOrder="1"/>
    </xf>
    <xf numFmtId="38" fontId="6" fillId="0" borderId="10" xfId="1" applyFont="1" applyBorder="1" applyAlignment="1">
      <alignment horizontal="center" vertical="center" wrapText="1" readingOrder="1"/>
    </xf>
    <xf numFmtId="38" fontId="6" fillId="0" borderId="17" xfId="1" applyFont="1" applyBorder="1" applyAlignment="1">
      <alignment horizontal="center" vertical="center" wrapText="1" readingOrder="1"/>
    </xf>
    <xf numFmtId="38" fontId="6" fillId="0" borderId="15" xfId="1" applyFont="1" applyBorder="1" applyAlignment="1">
      <alignment horizontal="center" vertical="center" wrapText="1" readingOrder="1"/>
    </xf>
    <xf numFmtId="176" fontId="6" fillId="0" borderId="12" xfId="1" applyNumberFormat="1" applyFont="1" applyBorder="1" applyAlignment="1">
      <alignment horizontal="center" vertical="center" wrapText="1" readingOrder="1"/>
    </xf>
    <xf numFmtId="176" fontId="6" fillId="0" borderId="10" xfId="1" applyNumberFormat="1" applyFont="1" applyBorder="1" applyAlignment="1">
      <alignment horizontal="center" vertical="center" wrapText="1" readingOrder="1"/>
    </xf>
    <xf numFmtId="176" fontId="6" fillId="0" borderId="11" xfId="1" applyNumberFormat="1" applyFont="1" applyBorder="1" applyAlignment="1">
      <alignment horizontal="center" vertical="center" wrapText="1" readingOrder="1"/>
    </xf>
    <xf numFmtId="176" fontId="6" fillId="0" borderId="17" xfId="1" applyNumberFormat="1" applyFont="1" applyBorder="1" applyAlignment="1">
      <alignment horizontal="center" vertical="center" wrapText="1" readingOrder="1"/>
    </xf>
    <xf numFmtId="176" fontId="6" fillId="0" borderId="15" xfId="1" applyNumberFormat="1" applyFont="1" applyBorder="1" applyAlignment="1">
      <alignment horizontal="center" vertical="center" wrapText="1" readingOrder="1"/>
    </xf>
    <xf numFmtId="176" fontId="6" fillId="0" borderId="16" xfId="1" applyNumberFormat="1" applyFont="1" applyBorder="1" applyAlignment="1">
      <alignment horizontal="center" vertical="center" wrapText="1" readingOrder="1"/>
    </xf>
    <xf numFmtId="176" fontId="6" fillId="0" borderId="20" xfId="1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16AE-879D-410E-8D3D-5F188EAC45CA}">
  <dimension ref="A1:Q162"/>
  <sheetViews>
    <sheetView showGridLines="0" tabSelected="1" topLeftCell="A124" zoomScale="150" workbookViewId="0">
      <selection activeCell="K152" sqref="K152"/>
    </sheetView>
  </sheetViews>
  <sheetFormatPr defaultColWidth="8.75" defaultRowHeight="12.5" x14ac:dyDescent="0.3"/>
  <cols>
    <col min="1" max="16384" width="8.75" style="1"/>
  </cols>
  <sheetData>
    <row r="1" spans="1:17" ht="16.25" customHeight="1" x14ac:dyDescent="0.3">
      <c r="B1" s="34"/>
      <c r="C1" s="36" t="s">
        <v>0</v>
      </c>
      <c r="D1" s="37"/>
      <c r="E1" s="37"/>
      <c r="F1" s="37"/>
      <c r="G1" s="38"/>
      <c r="H1" s="39" t="s">
        <v>1</v>
      </c>
      <c r="I1" s="37"/>
      <c r="J1" s="37"/>
      <c r="K1" s="37"/>
      <c r="L1" s="38"/>
      <c r="M1" s="39" t="s">
        <v>2</v>
      </c>
      <c r="N1" s="37"/>
      <c r="O1" s="37"/>
      <c r="P1" s="37"/>
      <c r="Q1" s="40"/>
    </row>
    <row r="2" spans="1:17" x14ac:dyDescent="0.3">
      <c r="B2" s="35"/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 t="s">
        <v>3</v>
      </c>
      <c r="I2" s="2" t="s">
        <v>4</v>
      </c>
      <c r="J2" s="2" t="s">
        <v>5</v>
      </c>
      <c r="K2" s="2" t="s">
        <v>6</v>
      </c>
      <c r="L2" s="3" t="s">
        <v>7</v>
      </c>
      <c r="M2" s="4" t="s">
        <v>3</v>
      </c>
      <c r="N2" s="2" t="s">
        <v>4</v>
      </c>
      <c r="O2" s="2" t="s">
        <v>5</v>
      </c>
      <c r="P2" s="2" t="s">
        <v>6</v>
      </c>
      <c r="Q2" s="2" t="s">
        <v>7</v>
      </c>
    </row>
    <row r="3" spans="1:17" x14ac:dyDescent="0.3">
      <c r="A3" s="1" t="s">
        <v>13</v>
      </c>
      <c r="B3" s="5" t="s">
        <v>8</v>
      </c>
      <c r="C3" s="6">
        <v>13617</v>
      </c>
      <c r="D3" s="6">
        <v>13223</v>
      </c>
      <c r="E3" s="6">
        <v>17417</v>
      </c>
      <c r="F3" s="6">
        <v>16914</v>
      </c>
      <c r="G3" s="7">
        <v>21034</v>
      </c>
      <c r="H3" s="27">
        <v>1</v>
      </c>
      <c r="I3" s="28">
        <v>1</v>
      </c>
      <c r="J3" s="28">
        <v>1</v>
      </c>
      <c r="K3" s="28">
        <v>1</v>
      </c>
      <c r="L3" s="29">
        <v>1</v>
      </c>
      <c r="M3" s="23">
        <f t="shared" ref="M3:M9" si="0">C3/H3</f>
        <v>13617</v>
      </c>
      <c r="N3" s="24">
        <f t="shared" ref="N3:N7" si="1">D3/I3</f>
        <v>13223</v>
      </c>
      <c r="O3" s="24">
        <f t="shared" ref="O3:O7" si="2">E3/J3</f>
        <v>17417</v>
      </c>
      <c r="P3" s="24">
        <f t="shared" ref="P3:P7" si="3">F3/K3</f>
        <v>16914</v>
      </c>
      <c r="Q3" s="24">
        <f t="shared" ref="Q3:Q7" si="4">G3/L3</f>
        <v>21034</v>
      </c>
    </row>
    <row r="4" spans="1:17" x14ac:dyDescent="0.3">
      <c r="B4" s="5" t="s">
        <v>9</v>
      </c>
      <c r="C4" s="6">
        <v>13480</v>
      </c>
      <c r="D4" s="6">
        <v>13280</v>
      </c>
      <c r="E4" s="6">
        <v>18190</v>
      </c>
      <c r="F4" s="6">
        <v>17920</v>
      </c>
      <c r="G4" s="7">
        <v>20130</v>
      </c>
      <c r="H4" s="27">
        <v>0.9</v>
      </c>
      <c r="I4" s="28">
        <v>0.9</v>
      </c>
      <c r="J4" s="28">
        <v>0.9</v>
      </c>
      <c r="K4" s="28">
        <v>0.9</v>
      </c>
      <c r="L4" s="29">
        <v>0.8</v>
      </c>
      <c r="M4" s="23">
        <f t="shared" si="0"/>
        <v>14977.777777777777</v>
      </c>
      <c r="N4" s="24">
        <f t="shared" si="1"/>
        <v>14755.555555555555</v>
      </c>
      <c r="O4" s="24">
        <f t="shared" si="2"/>
        <v>20211.111111111109</v>
      </c>
      <c r="P4" s="24">
        <f t="shared" si="3"/>
        <v>19911.111111111109</v>
      </c>
      <c r="Q4" s="24">
        <f t="shared" si="4"/>
        <v>25162.5</v>
      </c>
    </row>
    <row r="5" spans="1:17" x14ac:dyDescent="0.3">
      <c r="B5" s="5" t="s">
        <v>10</v>
      </c>
      <c r="C5" s="6">
        <v>13654</v>
      </c>
      <c r="D5" s="6">
        <v>13459</v>
      </c>
      <c r="E5" s="6">
        <v>17751</v>
      </c>
      <c r="F5" s="6">
        <v>17497</v>
      </c>
      <c r="G5" s="7">
        <v>18706</v>
      </c>
      <c r="H5" s="27">
        <v>1</v>
      </c>
      <c r="I5" s="28">
        <v>1</v>
      </c>
      <c r="J5" s="28">
        <v>1</v>
      </c>
      <c r="K5" s="28">
        <v>1</v>
      </c>
      <c r="L5" s="29">
        <v>0.9</v>
      </c>
      <c r="M5" s="23">
        <f t="shared" si="0"/>
        <v>13654</v>
      </c>
      <c r="N5" s="24">
        <f t="shared" si="1"/>
        <v>13459</v>
      </c>
      <c r="O5" s="24">
        <f t="shared" si="2"/>
        <v>17751</v>
      </c>
      <c r="P5" s="24">
        <f t="shared" si="3"/>
        <v>17497</v>
      </c>
      <c r="Q5" s="24">
        <f t="shared" si="4"/>
        <v>20784.444444444445</v>
      </c>
    </row>
    <row r="6" spans="1:17" x14ac:dyDescent="0.3">
      <c r="B6" s="5" t="s">
        <v>11</v>
      </c>
      <c r="C6" s="6">
        <v>12795</v>
      </c>
      <c r="D6" s="6">
        <v>12795</v>
      </c>
      <c r="E6" s="6">
        <v>15588</v>
      </c>
      <c r="F6" s="6">
        <v>15588</v>
      </c>
      <c r="G6" s="7">
        <v>17210</v>
      </c>
      <c r="H6" s="27">
        <v>0.6</v>
      </c>
      <c r="I6" s="28">
        <v>0.6</v>
      </c>
      <c r="J6" s="28">
        <v>0.7</v>
      </c>
      <c r="K6" s="28">
        <v>0.7</v>
      </c>
      <c r="L6" s="29">
        <v>0.6</v>
      </c>
      <c r="M6" s="23">
        <f t="shared" si="0"/>
        <v>21325</v>
      </c>
      <c r="N6" s="24">
        <f t="shared" si="1"/>
        <v>21325</v>
      </c>
      <c r="O6" s="24">
        <f t="shared" si="2"/>
        <v>22268.571428571431</v>
      </c>
      <c r="P6" s="24">
        <f t="shared" si="3"/>
        <v>22268.571428571431</v>
      </c>
      <c r="Q6" s="24">
        <f t="shared" si="4"/>
        <v>28683.333333333336</v>
      </c>
    </row>
    <row r="7" spans="1:17" ht="13" thickBot="1" x14ac:dyDescent="0.35">
      <c r="B7" s="10" t="s">
        <v>12</v>
      </c>
      <c r="C7" s="11">
        <v>11211</v>
      </c>
      <c r="D7" s="11">
        <v>11211</v>
      </c>
      <c r="E7" s="11">
        <v>14530</v>
      </c>
      <c r="F7" s="11">
        <v>13208</v>
      </c>
      <c r="G7" s="12">
        <v>17970</v>
      </c>
      <c r="H7" s="30">
        <v>0.8</v>
      </c>
      <c r="I7" s="31">
        <v>0.9</v>
      </c>
      <c r="J7" s="31">
        <v>1</v>
      </c>
      <c r="K7" s="31">
        <v>0.9</v>
      </c>
      <c r="L7" s="32">
        <v>0.6</v>
      </c>
      <c r="M7" s="25">
        <f t="shared" si="0"/>
        <v>14013.75</v>
      </c>
      <c r="N7" s="26">
        <f t="shared" si="1"/>
        <v>12456.666666666666</v>
      </c>
      <c r="O7" s="26">
        <f t="shared" si="2"/>
        <v>14530</v>
      </c>
      <c r="P7" s="26">
        <f t="shared" si="3"/>
        <v>14675.555555555555</v>
      </c>
      <c r="Q7" s="26">
        <f t="shared" si="4"/>
        <v>29950</v>
      </c>
    </row>
    <row r="8" spans="1:17" ht="13" thickBot="1" x14ac:dyDescent="0.35">
      <c r="A8" s="13" t="s">
        <v>14</v>
      </c>
      <c r="B8" s="14" t="s">
        <v>8</v>
      </c>
      <c r="C8" s="15">
        <f>C3+1000</f>
        <v>14617</v>
      </c>
      <c r="D8" s="15">
        <f t="shared" ref="D8:G8" si="5">D3+1000</f>
        <v>14223</v>
      </c>
      <c r="E8" s="15">
        <f t="shared" si="5"/>
        <v>18417</v>
      </c>
      <c r="F8" s="15">
        <f t="shared" si="5"/>
        <v>17914</v>
      </c>
      <c r="G8" s="15">
        <f t="shared" si="5"/>
        <v>22034</v>
      </c>
      <c r="H8" s="33">
        <f>H3 * 0.99</f>
        <v>0.99</v>
      </c>
      <c r="I8" s="33">
        <f t="shared" ref="I8:L8" si="6">I3 * 0.99</f>
        <v>0.99</v>
      </c>
      <c r="J8" s="33">
        <f t="shared" si="6"/>
        <v>0.99</v>
      </c>
      <c r="K8" s="33">
        <f t="shared" si="6"/>
        <v>0.99</v>
      </c>
      <c r="L8" s="33">
        <f t="shared" si="6"/>
        <v>0.99</v>
      </c>
      <c r="M8" s="16">
        <f>C8/H8</f>
        <v>14764.646464646465</v>
      </c>
      <c r="N8" s="15">
        <f>D8/I8</f>
        <v>14366.666666666666</v>
      </c>
      <c r="O8" s="15">
        <f t="shared" ref="O8:O71" si="7">E8/J8</f>
        <v>18603.030303030304</v>
      </c>
      <c r="P8" s="15">
        <f t="shared" ref="P8:P71" si="8">F8/K8</f>
        <v>18094.949494949495</v>
      </c>
      <c r="Q8" s="15">
        <f t="shared" ref="Q8:Q71" si="9">G8/L8</f>
        <v>22256.565656565657</v>
      </c>
    </row>
    <row r="9" spans="1:17" ht="13" thickBot="1" x14ac:dyDescent="0.35">
      <c r="A9" s="17"/>
      <c r="B9" s="5" t="s">
        <v>9</v>
      </c>
      <c r="C9" s="15">
        <f t="shared" ref="C9:G11" si="10">C4+1000</f>
        <v>14480</v>
      </c>
      <c r="D9" s="15">
        <f t="shared" si="10"/>
        <v>14280</v>
      </c>
      <c r="E9" s="15">
        <f t="shared" si="10"/>
        <v>19190</v>
      </c>
      <c r="F9" s="15">
        <f t="shared" si="10"/>
        <v>18920</v>
      </c>
      <c r="G9" s="15">
        <f t="shared" si="10"/>
        <v>21130</v>
      </c>
      <c r="H9" s="33">
        <f t="shared" ref="H9:L9" si="11">H4 * 0.99</f>
        <v>0.89100000000000001</v>
      </c>
      <c r="I9" s="33">
        <f t="shared" si="11"/>
        <v>0.89100000000000001</v>
      </c>
      <c r="J9" s="33">
        <f t="shared" si="11"/>
        <v>0.89100000000000001</v>
      </c>
      <c r="K9" s="33">
        <f t="shared" si="11"/>
        <v>0.89100000000000001</v>
      </c>
      <c r="L9" s="33">
        <f t="shared" si="11"/>
        <v>0.79200000000000004</v>
      </c>
      <c r="M9" s="9">
        <f t="shared" si="0"/>
        <v>16251.402918069585</v>
      </c>
      <c r="N9" s="6">
        <f t="shared" ref="N9:N71" si="12">D9/I9</f>
        <v>16026.936026936026</v>
      </c>
      <c r="O9" s="6">
        <f t="shared" si="7"/>
        <v>21537.598204264872</v>
      </c>
      <c r="P9" s="6">
        <f t="shared" si="8"/>
        <v>21234.567901234568</v>
      </c>
      <c r="Q9" s="6">
        <f t="shared" si="9"/>
        <v>26679.292929292929</v>
      </c>
    </row>
    <row r="10" spans="1:17" ht="13" thickBot="1" x14ac:dyDescent="0.35">
      <c r="A10" s="17"/>
      <c r="B10" s="5" t="s">
        <v>10</v>
      </c>
      <c r="C10" s="15">
        <f t="shared" si="10"/>
        <v>14654</v>
      </c>
      <c r="D10" s="15">
        <f t="shared" si="10"/>
        <v>14459</v>
      </c>
      <c r="E10" s="15">
        <f t="shared" si="10"/>
        <v>18751</v>
      </c>
      <c r="F10" s="15">
        <f t="shared" si="10"/>
        <v>18497</v>
      </c>
      <c r="G10" s="15">
        <f t="shared" si="10"/>
        <v>19706</v>
      </c>
      <c r="H10" s="33">
        <f t="shared" ref="H10:L10" si="13">H5 * 0.99</f>
        <v>0.99</v>
      </c>
      <c r="I10" s="33">
        <f t="shared" si="13"/>
        <v>0.99</v>
      </c>
      <c r="J10" s="33">
        <f t="shared" si="13"/>
        <v>0.99</v>
      </c>
      <c r="K10" s="33">
        <f t="shared" si="13"/>
        <v>0.99</v>
      </c>
      <c r="L10" s="33">
        <f t="shared" si="13"/>
        <v>0.89100000000000001</v>
      </c>
      <c r="M10" s="9">
        <f t="shared" ref="M10:M72" si="14">C10/H10</f>
        <v>14802.020202020201</v>
      </c>
      <c r="N10" s="6">
        <f t="shared" si="12"/>
        <v>14605.050505050505</v>
      </c>
      <c r="O10" s="6">
        <f t="shared" si="7"/>
        <v>18940.404040404039</v>
      </c>
      <c r="P10" s="6">
        <f t="shared" si="8"/>
        <v>18683.838383838385</v>
      </c>
      <c r="Q10" s="6">
        <f t="shared" si="9"/>
        <v>22116.72278338945</v>
      </c>
    </row>
    <row r="11" spans="1:17" ht="13" thickBot="1" x14ac:dyDescent="0.35">
      <c r="A11" s="17"/>
      <c r="B11" s="5" t="s">
        <v>11</v>
      </c>
      <c r="C11" s="15">
        <f t="shared" si="10"/>
        <v>13795</v>
      </c>
      <c r="D11" s="15">
        <f t="shared" si="10"/>
        <v>13795</v>
      </c>
      <c r="E11" s="15">
        <f t="shared" si="10"/>
        <v>16588</v>
      </c>
      <c r="F11" s="15">
        <f t="shared" si="10"/>
        <v>16588</v>
      </c>
      <c r="G11" s="15">
        <f t="shared" si="10"/>
        <v>18210</v>
      </c>
      <c r="H11" s="33">
        <f t="shared" ref="H11:L11" si="15">H6 * 0.99</f>
        <v>0.59399999999999997</v>
      </c>
      <c r="I11" s="33">
        <f t="shared" si="15"/>
        <v>0.59399999999999997</v>
      </c>
      <c r="J11" s="33">
        <f t="shared" si="15"/>
        <v>0.69299999999999995</v>
      </c>
      <c r="K11" s="33">
        <f t="shared" si="15"/>
        <v>0.69299999999999995</v>
      </c>
      <c r="L11" s="33">
        <f t="shared" si="15"/>
        <v>0.59399999999999997</v>
      </c>
      <c r="M11" s="9">
        <f t="shared" si="14"/>
        <v>23223.905723905726</v>
      </c>
      <c r="N11" s="6">
        <f t="shared" si="12"/>
        <v>23223.905723905726</v>
      </c>
      <c r="O11" s="6">
        <f t="shared" si="7"/>
        <v>23936.50793650794</v>
      </c>
      <c r="P11" s="6">
        <f t="shared" si="8"/>
        <v>23936.50793650794</v>
      </c>
      <c r="Q11" s="6">
        <f t="shared" si="9"/>
        <v>30656.565656565657</v>
      </c>
    </row>
    <row r="12" spans="1:17" ht="13" thickBot="1" x14ac:dyDescent="0.35">
      <c r="A12" s="18"/>
      <c r="B12" s="19" t="s">
        <v>12</v>
      </c>
      <c r="C12" s="15">
        <f>C7+1000</f>
        <v>12211</v>
      </c>
      <c r="D12" s="15">
        <f t="shared" ref="D12:G12" si="16">D7+1000</f>
        <v>12211</v>
      </c>
      <c r="E12" s="15">
        <f t="shared" si="16"/>
        <v>15530</v>
      </c>
      <c r="F12" s="15">
        <f t="shared" si="16"/>
        <v>14208</v>
      </c>
      <c r="G12" s="15">
        <f t="shared" si="16"/>
        <v>18970</v>
      </c>
      <c r="H12" s="33">
        <f t="shared" ref="H12:L12" si="17">H7 * 0.99</f>
        <v>0.79200000000000004</v>
      </c>
      <c r="I12" s="33">
        <f t="shared" si="17"/>
        <v>0.89100000000000001</v>
      </c>
      <c r="J12" s="33">
        <f t="shared" si="17"/>
        <v>0.99</v>
      </c>
      <c r="K12" s="33">
        <f t="shared" si="17"/>
        <v>0.89100000000000001</v>
      </c>
      <c r="L12" s="33">
        <f t="shared" si="17"/>
        <v>0.59399999999999997</v>
      </c>
      <c r="M12" s="22">
        <f t="shared" si="14"/>
        <v>15417.929292929291</v>
      </c>
      <c r="N12" s="20">
        <f t="shared" si="12"/>
        <v>13704.826038159372</v>
      </c>
      <c r="O12" s="20">
        <f t="shared" si="7"/>
        <v>15686.868686868687</v>
      </c>
      <c r="P12" s="20">
        <f t="shared" si="8"/>
        <v>15946.127946127946</v>
      </c>
      <c r="Q12" s="21">
        <f t="shared" si="9"/>
        <v>31936.026936026938</v>
      </c>
    </row>
    <row r="13" spans="1:17" ht="13" thickBot="1" x14ac:dyDescent="0.35">
      <c r="A13" s="1" t="s">
        <v>15</v>
      </c>
      <c r="B13" s="14" t="s">
        <v>8</v>
      </c>
      <c r="C13" s="15">
        <f t="shared" ref="C13:G17" si="18">C8+1000</f>
        <v>15617</v>
      </c>
      <c r="D13" s="15">
        <f t="shared" si="18"/>
        <v>15223</v>
      </c>
      <c r="E13" s="15">
        <f t="shared" si="18"/>
        <v>19417</v>
      </c>
      <c r="F13" s="15">
        <f t="shared" si="18"/>
        <v>18914</v>
      </c>
      <c r="G13" s="15">
        <f t="shared" si="18"/>
        <v>23034</v>
      </c>
      <c r="H13" s="33">
        <f t="shared" ref="H13:L13" si="19">H8 * 0.99</f>
        <v>0.98009999999999997</v>
      </c>
      <c r="I13" s="33">
        <f t="shared" si="19"/>
        <v>0.98009999999999997</v>
      </c>
      <c r="J13" s="33">
        <f t="shared" si="19"/>
        <v>0.98009999999999997</v>
      </c>
      <c r="K13" s="33">
        <f t="shared" si="19"/>
        <v>0.98009999999999997</v>
      </c>
      <c r="L13" s="33">
        <f t="shared" si="19"/>
        <v>0.98009999999999997</v>
      </c>
      <c r="M13" s="16">
        <f t="shared" si="14"/>
        <v>15934.088358330782</v>
      </c>
      <c r="N13" s="15">
        <f t="shared" si="12"/>
        <v>15532.088562391593</v>
      </c>
      <c r="O13" s="15">
        <f t="shared" si="7"/>
        <v>19811.243750637692</v>
      </c>
      <c r="P13" s="15">
        <f t="shared" si="8"/>
        <v>19298.030813182329</v>
      </c>
      <c r="Q13" s="15">
        <f t="shared" si="9"/>
        <v>23501.683501683503</v>
      </c>
    </row>
    <row r="14" spans="1:17" ht="13" thickBot="1" x14ac:dyDescent="0.35">
      <c r="B14" s="5" t="s">
        <v>9</v>
      </c>
      <c r="C14" s="15">
        <f t="shared" si="18"/>
        <v>15480</v>
      </c>
      <c r="D14" s="15">
        <f t="shared" si="18"/>
        <v>15280</v>
      </c>
      <c r="E14" s="15">
        <f t="shared" si="18"/>
        <v>20190</v>
      </c>
      <c r="F14" s="15">
        <f t="shared" si="18"/>
        <v>19920</v>
      </c>
      <c r="G14" s="15">
        <f t="shared" si="18"/>
        <v>22130</v>
      </c>
      <c r="H14" s="33">
        <f t="shared" ref="H14:L14" si="20">H9 * 0.99</f>
        <v>0.88209000000000004</v>
      </c>
      <c r="I14" s="33">
        <f t="shared" si="20"/>
        <v>0.88209000000000004</v>
      </c>
      <c r="J14" s="33">
        <f t="shared" si="20"/>
        <v>0.88209000000000004</v>
      </c>
      <c r="K14" s="33">
        <f t="shared" si="20"/>
        <v>0.88209000000000004</v>
      </c>
      <c r="L14" s="33">
        <f t="shared" si="20"/>
        <v>0.78408</v>
      </c>
      <c r="M14" s="9">
        <f t="shared" si="14"/>
        <v>17549.229670441789</v>
      </c>
      <c r="N14" s="6">
        <f t="shared" si="12"/>
        <v>17322.49543697355</v>
      </c>
      <c r="O14" s="6">
        <f t="shared" si="7"/>
        <v>22888.820868618848</v>
      </c>
      <c r="P14" s="6">
        <f t="shared" si="8"/>
        <v>22582.729653436723</v>
      </c>
      <c r="Q14" s="6">
        <f t="shared" si="9"/>
        <v>28224.160799918376</v>
      </c>
    </row>
    <row r="15" spans="1:17" ht="13" thickBot="1" x14ac:dyDescent="0.35">
      <c r="B15" s="5" t="s">
        <v>10</v>
      </c>
      <c r="C15" s="15">
        <f t="shared" si="18"/>
        <v>15654</v>
      </c>
      <c r="D15" s="15">
        <f t="shared" si="18"/>
        <v>15459</v>
      </c>
      <c r="E15" s="15">
        <f t="shared" si="18"/>
        <v>19751</v>
      </c>
      <c r="F15" s="15">
        <f t="shared" si="18"/>
        <v>19497</v>
      </c>
      <c r="G15" s="15">
        <f t="shared" si="18"/>
        <v>20706</v>
      </c>
      <c r="H15" s="33">
        <f t="shared" ref="H15:L15" si="21">H10 * 0.99</f>
        <v>0.98009999999999997</v>
      </c>
      <c r="I15" s="33">
        <f t="shared" si="21"/>
        <v>0.98009999999999997</v>
      </c>
      <c r="J15" s="33">
        <f t="shared" si="21"/>
        <v>0.98009999999999997</v>
      </c>
      <c r="K15" s="33">
        <f t="shared" si="21"/>
        <v>0.98009999999999997</v>
      </c>
      <c r="L15" s="33">
        <f t="shared" si="21"/>
        <v>0.88209000000000004</v>
      </c>
      <c r="M15" s="9">
        <f t="shared" si="14"/>
        <v>15971.839608203245</v>
      </c>
      <c r="N15" s="6">
        <f t="shared" si="12"/>
        <v>15772.880318334865</v>
      </c>
      <c r="O15" s="6">
        <f t="shared" si="7"/>
        <v>20152.025303540457</v>
      </c>
      <c r="P15" s="6">
        <f t="shared" si="8"/>
        <v>19892.868074686256</v>
      </c>
      <c r="Q15" s="6">
        <f t="shared" si="9"/>
        <v>23473.795190966906</v>
      </c>
    </row>
    <row r="16" spans="1:17" ht="13" thickBot="1" x14ac:dyDescent="0.35">
      <c r="B16" s="5" t="s">
        <v>11</v>
      </c>
      <c r="C16" s="15">
        <f t="shared" si="18"/>
        <v>14795</v>
      </c>
      <c r="D16" s="15">
        <f t="shared" si="18"/>
        <v>14795</v>
      </c>
      <c r="E16" s="15">
        <f t="shared" si="18"/>
        <v>17588</v>
      </c>
      <c r="F16" s="15">
        <f t="shared" si="18"/>
        <v>17588</v>
      </c>
      <c r="G16" s="15">
        <f t="shared" si="18"/>
        <v>19210</v>
      </c>
      <c r="H16" s="33">
        <f t="shared" ref="H16:L16" si="22">H11 * 0.99</f>
        <v>0.58805999999999992</v>
      </c>
      <c r="I16" s="33">
        <f t="shared" si="22"/>
        <v>0.58805999999999992</v>
      </c>
      <c r="J16" s="33">
        <f t="shared" si="22"/>
        <v>0.68606999999999996</v>
      </c>
      <c r="K16" s="33">
        <f t="shared" si="22"/>
        <v>0.68606999999999996</v>
      </c>
      <c r="L16" s="33">
        <f t="shared" si="22"/>
        <v>0.58805999999999992</v>
      </c>
      <c r="M16" s="9">
        <f t="shared" si="14"/>
        <v>25158.997381219608</v>
      </c>
      <c r="N16" s="6">
        <f t="shared" si="12"/>
        <v>25158.997381219608</v>
      </c>
      <c r="O16" s="6">
        <f t="shared" si="7"/>
        <v>25635.868060110486</v>
      </c>
      <c r="P16" s="6">
        <f t="shared" si="8"/>
        <v>25635.868060110486</v>
      </c>
      <c r="Q16" s="6">
        <f t="shared" si="9"/>
        <v>32666.73468693671</v>
      </c>
    </row>
    <row r="17" spans="1:17" ht="13" thickBot="1" x14ac:dyDescent="0.35">
      <c r="A17" s="18"/>
      <c r="B17" s="19" t="s">
        <v>12</v>
      </c>
      <c r="C17" s="15">
        <f t="shared" si="18"/>
        <v>13211</v>
      </c>
      <c r="D17" s="15">
        <f t="shared" si="18"/>
        <v>13211</v>
      </c>
      <c r="E17" s="15">
        <f t="shared" si="18"/>
        <v>16530</v>
      </c>
      <c r="F17" s="15">
        <f t="shared" si="18"/>
        <v>15208</v>
      </c>
      <c r="G17" s="15">
        <f t="shared" si="18"/>
        <v>19970</v>
      </c>
      <c r="H17" s="33">
        <f t="shared" ref="H17:L17" si="23">H12 * 0.99</f>
        <v>0.78408</v>
      </c>
      <c r="I17" s="33">
        <f t="shared" si="23"/>
        <v>0.88209000000000004</v>
      </c>
      <c r="J17" s="33">
        <f t="shared" si="23"/>
        <v>0.98009999999999997</v>
      </c>
      <c r="K17" s="33">
        <f t="shared" si="23"/>
        <v>0.88209000000000004</v>
      </c>
      <c r="L17" s="33">
        <f t="shared" si="23"/>
        <v>0.58805999999999992</v>
      </c>
      <c r="M17" s="22">
        <f t="shared" si="14"/>
        <v>16849.046015712684</v>
      </c>
      <c r="N17" s="20">
        <f t="shared" si="12"/>
        <v>14976.929791744606</v>
      </c>
      <c r="O17" s="20">
        <f t="shared" si="7"/>
        <v>16865.625956535048</v>
      </c>
      <c r="P17" s="20">
        <f t="shared" si="8"/>
        <v>17240.871112924986</v>
      </c>
      <c r="Q17" s="21">
        <f t="shared" si="9"/>
        <v>33959.119817705679</v>
      </c>
    </row>
    <row r="18" spans="1:17" ht="13" thickBot="1" x14ac:dyDescent="0.35">
      <c r="A18" s="1" t="s">
        <v>16</v>
      </c>
      <c r="B18" s="14" t="s">
        <v>8</v>
      </c>
      <c r="C18" s="15">
        <f t="shared" ref="C18:G18" si="24">C13+1000</f>
        <v>16617</v>
      </c>
      <c r="D18" s="15">
        <f t="shared" si="24"/>
        <v>16223</v>
      </c>
      <c r="E18" s="15">
        <f t="shared" si="24"/>
        <v>20417</v>
      </c>
      <c r="F18" s="15">
        <f t="shared" si="24"/>
        <v>19914</v>
      </c>
      <c r="G18" s="15">
        <f t="shared" si="24"/>
        <v>24034</v>
      </c>
      <c r="H18" s="33">
        <f t="shared" ref="H18:L18" si="25">H13 * 0.99</f>
        <v>0.97029899999999991</v>
      </c>
      <c r="I18" s="33">
        <f t="shared" si="25"/>
        <v>0.97029899999999991</v>
      </c>
      <c r="J18" s="33">
        <f t="shared" si="25"/>
        <v>0.97029899999999991</v>
      </c>
      <c r="K18" s="33">
        <f t="shared" si="25"/>
        <v>0.97029899999999991</v>
      </c>
      <c r="L18" s="33">
        <f t="shared" si="25"/>
        <v>0.97029899999999991</v>
      </c>
      <c r="M18" s="16">
        <f t="shared" si="14"/>
        <v>17125.648897917035</v>
      </c>
      <c r="N18" s="15">
        <f t="shared" si="12"/>
        <v>16719.588497978461</v>
      </c>
      <c r="O18" s="15">
        <f t="shared" si="7"/>
        <v>21041.967476004822</v>
      </c>
      <c r="P18" s="15">
        <f t="shared" si="8"/>
        <v>20523.570569484255</v>
      </c>
      <c r="Q18" s="15">
        <f t="shared" si="9"/>
        <v>24769.684396253117</v>
      </c>
    </row>
    <row r="19" spans="1:17" ht="13" thickBot="1" x14ac:dyDescent="0.35">
      <c r="B19" s="5" t="s">
        <v>9</v>
      </c>
      <c r="C19" s="15">
        <f t="shared" ref="C19:G19" si="26">C14+1000</f>
        <v>16480</v>
      </c>
      <c r="D19" s="15">
        <f t="shared" si="26"/>
        <v>16280</v>
      </c>
      <c r="E19" s="15">
        <f t="shared" si="26"/>
        <v>21190</v>
      </c>
      <c r="F19" s="15">
        <f t="shared" si="26"/>
        <v>20920</v>
      </c>
      <c r="G19" s="15">
        <f t="shared" si="26"/>
        <v>23130</v>
      </c>
      <c r="H19" s="33">
        <f t="shared" ref="H19:L19" si="27">H14 * 0.99</f>
        <v>0.87326910000000002</v>
      </c>
      <c r="I19" s="33">
        <f t="shared" si="27"/>
        <v>0.87326910000000002</v>
      </c>
      <c r="J19" s="33">
        <f t="shared" si="27"/>
        <v>0.87326910000000002</v>
      </c>
      <c r="K19" s="33">
        <f t="shared" si="27"/>
        <v>0.87326910000000002</v>
      </c>
      <c r="L19" s="33">
        <f t="shared" si="27"/>
        <v>0.77623920000000002</v>
      </c>
      <c r="M19" s="9">
        <f t="shared" si="14"/>
        <v>18871.617007861609</v>
      </c>
      <c r="N19" s="6">
        <f t="shared" si="12"/>
        <v>18642.592529610862</v>
      </c>
      <c r="O19" s="6">
        <f t="shared" si="7"/>
        <v>24265.143470666717</v>
      </c>
      <c r="P19" s="6">
        <f t="shared" si="8"/>
        <v>23955.960425028206</v>
      </c>
      <c r="Q19" s="6">
        <f t="shared" si="9"/>
        <v>29797.516023411339</v>
      </c>
    </row>
    <row r="20" spans="1:17" ht="13" thickBot="1" x14ac:dyDescent="0.35">
      <c r="B20" s="5" t="s">
        <v>10</v>
      </c>
      <c r="C20" s="15">
        <f t="shared" ref="C20:G20" si="28">C15+1000</f>
        <v>16654</v>
      </c>
      <c r="D20" s="15">
        <f t="shared" si="28"/>
        <v>16459</v>
      </c>
      <c r="E20" s="15">
        <f t="shared" si="28"/>
        <v>20751</v>
      </c>
      <c r="F20" s="15">
        <f t="shared" si="28"/>
        <v>20497</v>
      </c>
      <c r="G20" s="15">
        <f t="shared" si="28"/>
        <v>21706</v>
      </c>
      <c r="H20" s="33">
        <f t="shared" ref="H20:L20" si="29">H15 * 0.99</f>
        <v>0.97029899999999991</v>
      </c>
      <c r="I20" s="33">
        <f t="shared" si="29"/>
        <v>0.97029899999999991</v>
      </c>
      <c r="J20" s="33">
        <f t="shared" si="29"/>
        <v>0.97029899999999991</v>
      </c>
      <c r="K20" s="33">
        <f t="shared" si="29"/>
        <v>0.97029899999999991</v>
      </c>
      <c r="L20" s="33">
        <f t="shared" si="29"/>
        <v>0.87326910000000002</v>
      </c>
      <c r="M20" s="9">
        <f t="shared" si="14"/>
        <v>17163.781473545783</v>
      </c>
      <c r="N20" s="6">
        <f t="shared" si="12"/>
        <v>16962.812493880752</v>
      </c>
      <c r="O20" s="6">
        <f t="shared" si="7"/>
        <v>21386.191266815695</v>
      </c>
      <c r="P20" s="6">
        <f t="shared" si="8"/>
        <v>21124.416288175089</v>
      </c>
      <c r="Q20" s="6">
        <f t="shared" si="9"/>
        <v>24856.026624553644</v>
      </c>
    </row>
    <row r="21" spans="1:17" ht="13" thickBot="1" x14ac:dyDescent="0.35">
      <c r="B21" s="5" t="s">
        <v>11</v>
      </c>
      <c r="C21" s="15">
        <f t="shared" ref="C21:G21" si="30">C16+1000</f>
        <v>15795</v>
      </c>
      <c r="D21" s="15">
        <f t="shared" si="30"/>
        <v>15795</v>
      </c>
      <c r="E21" s="15">
        <f t="shared" si="30"/>
        <v>18588</v>
      </c>
      <c r="F21" s="15">
        <f t="shared" si="30"/>
        <v>18588</v>
      </c>
      <c r="G21" s="15">
        <f t="shared" si="30"/>
        <v>20210</v>
      </c>
      <c r="H21" s="33">
        <f t="shared" ref="H21:L21" si="31">H16 * 0.99</f>
        <v>0.5821793999999999</v>
      </c>
      <c r="I21" s="33">
        <f t="shared" si="31"/>
        <v>0.5821793999999999</v>
      </c>
      <c r="J21" s="33">
        <f t="shared" si="31"/>
        <v>0.6792092999999999</v>
      </c>
      <c r="K21" s="33">
        <f t="shared" si="31"/>
        <v>0.6792092999999999</v>
      </c>
      <c r="L21" s="33">
        <f t="shared" si="31"/>
        <v>0.5821793999999999</v>
      </c>
      <c r="M21" s="9">
        <f t="shared" si="14"/>
        <v>27130.812254779201</v>
      </c>
      <c r="N21" s="6">
        <f t="shared" si="12"/>
        <v>27130.812254779201</v>
      </c>
      <c r="O21" s="6">
        <f t="shared" si="7"/>
        <v>27367.116439660062</v>
      </c>
      <c r="P21" s="6">
        <f t="shared" si="8"/>
        <v>27367.116439660062</v>
      </c>
      <c r="Q21" s="6">
        <f t="shared" si="9"/>
        <v>34714.385290857084</v>
      </c>
    </row>
    <row r="22" spans="1:17" ht="13" thickBot="1" x14ac:dyDescent="0.35">
      <c r="A22" s="18"/>
      <c r="B22" s="19" t="s">
        <v>12</v>
      </c>
      <c r="C22" s="15">
        <f t="shared" ref="C22:G22" si="32">C17+1000</f>
        <v>14211</v>
      </c>
      <c r="D22" s="15">
        <f t="shared" si="32"/>
        <v>14211</v>
      </c>
      <c r="E22" s="15">
        <f t="shared" si="32"/>
        <v>17530</v>
      </c>
      <c r="F22" s="15">
        <f t="shared" si="32"/>
        <v>16208</v>
      </c>
      <c r="G22" s="15">
        <f t="shared" si="32"/>
        <v>20970</v>
      </c>
      <c r="H22" s="33">
        <f t="shared" ref="H22:L22" si="33">H17 * 0.99</f>
        <v>0.77623920000000002</v>
      </c>
      <c r="I22" s="33">
        <f t="shared" si="33"/>
        <v>0.87326910000000002</v>
      </c>
      <c r="J22" s="33">
        <f t="shared" si="33"/>
        <v>0.97029899999999991</v>
      </c>
      <c r="K22" s="33">
        <f t="shared" si="33"/>
        <v>0.87326910000000002</v>
      </c>
      <c r="L22" s="33">
        <f t="shared" si="33"/>
        <v>0.5821793999999999</v>
      </c>
      <c r="M22" s="22">
        <f t="shared" si="14"/>
        <v>18307.501089870235</v>
      </c>
      <c r="N22" s="20">
        <f t="shared" si="12"/>
        <v>16273.334302106876</v>
      </c>
      <c r="O22" s="20">
        <f t="shared" si="7"/>
        <v>18066.595966810233</v>
      </c>
      <c r="P22" s="20">
        <f t="shared" si="8"/>
        <v>18560.143717440591</v>
      </c>
      <c r="Q22" s="21">
        <f t="shared" si="9"/>
        <v>36019.82481688635</v>
      </c>
    </row>
    <row r="23" spans="1:17" ht="13" thickBot="1" x14ac:dyDescent="0.35">
      <c r="A23" s="1" t="s">
        <v>17</v>
      </c>
      <c r="B23" s="14" t="s">
        <v>8</v>
      </c>
      <c r="C23" s="15">
        <f t="shared" ref="C23:G23" si="34">C18+1000</f>
        <v>17617</v>
      </c>
      <c r="D23" s="15">
        <f t="shared" si="34"/>
        <v>17223</v>
      </c>
      <c r="E23" s="15">
        <f t="shared" si="34"/>
        <v>21417</v>
      </c>
      <c r="F23" s="15">
        <f t="shared" si="34"/>
        <v>20914</v>
      </c>
      <c r="G23" s="15">
        <f t="shared" si="34"/>
        <v>25034</v>
      </c>
      <c r="H23" s="33">
        <f t="shared" ref="H23:L23" si="35">H18 * 0.99</f>
        <v>0.96059600999999994</v>
      </c>
      <c r="I23" s="33">
        <f t="shared" si="35"/>
        <v>0.96059600999999994</v>
      </c>
      <c r="J23" s="33">
        <f t="shared" si="35"/>
        <v>0.96059600999999994</v>
      </c>
      <c r="K23" s="33">
        <f t="shared" si="35"/>
        <v>0.96059600999999994</v>
      </c>
      <c r="L23" s="33">
        <f t="shared" si="35"/>
        <v>0.96059600999999994</v>
      </c>
      <c r="M23" s="16">
        <f t="shared" si="14"/>
        <v>18339.655606106466</v>
      </c>
      <c r="N23" s="15">
        <f t="shared" si="12"/>
        <v>17929.493585966487</v>
      </c>
      <c r="O23" s="15">
        <f t="shared" si="7"/>
        <v>22295.532957710289</v>
      </c>
      <c r="P23" s="15">
        <f t="shared" si="8"/>
        <v>21771.899718800625</v>
      </c>
      <c r="Q23" s="15">
        <f t="shared" si="9"/>
        <v>26060.903584223717</v>
      </c>
    </row>
    <row r="24" spans="1:17" ht="13" thickBot="1" x14ac:dyDescent="0.35">
      <c r="B24" s="5" t="s">
        <v>9</v>
      </c>
      <c r="C24" s="15">
        <f t="shared" ref="C24:G24" si="36">C19+1000</f>
        <v>17480</v>
      </c>
      <c r="D24" s="15">
        <f t="shared" si="36"/>
        <v>17280</v>
      </c>
      <c r="E24" s="15">
        <f t="shared" si="36"/>
        <v>22190</v>
      </c>
      <c r="F24" s="15">
        <f t="shared" si="36"/>
        <v>21920</v>
      </c>
      <c r="G24" s="15">
        <f t="shared" si="36"/>
        <v>24130</v>
      </c>
      <c r="H24" s="33">
        <f t="shared" ref="H24:L24" si="37">H19 * 0.99</f>
        <v>0.86453640900000006</v>
      </c>
      <c r="I24" s="33">
        <f t="shared" si="37"/>
        <v>0.86453640900000006</v>
      </c>
      <c r="J24" s="33">
        <f t="shared" si="37"/>
        <v>0.86453640900000006</v>
      </c>
      <c r="K24" s="33">
        <f t="shared" si="37"/>
        <v>0.86453640900000006</v>
      </c>
      <c r="L24" s="33">
        <f t="shared" si="37"/>
        <v>0.76847680799999996</v>
      </c>
      <c r="M24" s="9">
        <f t="shared" si="14"/>
        <v>20218.928685975097</v>
      </c>
      <c r="N24" s="6">
        <f t="shared" si="12"/>
        <v>19987.590829156161</v>
      </c>
      <c r="O24" s="6">
        <f t="shared" si="7"/>
        <v>25666.935214061064</v>
      </c>
      <c r="P24" s="6">
        <f t="shared" si="8"/>
        <v>25354.6291073555</v>
      </c>
      <c r="Q24" s="6">
        <f t="shared" si="9"/>
        <v>31399.77647835535</v>
      </c>
    </row>
    <row r="25" spans="1:17" ht="13" thickBot="1" x14ac:dyDescent="0.35">
      <c r="B25" s="5" t="s">
        <v>10</v>
      </c>
      <c r="C25" s="15">
        <f t="shared" ref="C25:G25" si="38">C20+1000</f>
        <v>17654</v>
      </c>
      <c r="D25" s="15">
        <f t="shared" si="38"/>
        <v>17459</v>
      </c>
      <c r="E25" s="15">
        <f t="shared" si="38"/>
        <v>21751</v>
      </c>
      <c r="F25" s="15">
        <f t="shared" si="38"/>
        <v>21497</v>
      </c>
      <c r="G25" s="15">
        <f t="shared" si="38"/>
        <v>22706</v>
      </c>
      <c r="H25" s="33">
        <f t="shared" ref="H25:L25" si="39">H20 * 0.99</f>
        <v>0.96059600999999994</v>
      </c>
      <c r="I25" s="33">
        <f t="shared" si="39"/>
        <v>0.96059600999999994</v>
      </c>
      <c r="J25" s="33">
        <f t="shared" si="39"/>
        <v>0.96059600999999994</v>
      </c>
      <c r="K25" s="33">
        <f t="shared" si="39"/>
        <v>0.96059600999999994</v>
      </c>
      <c r="L25" s="33">
        <f t="shared" si="39"/>
        <v>0.86453640900000006</v>
      </c>
      <c r="M25" s="9">
        <f t="shared" si="14"/>
        <v>18378.173359266817</v>
      </c>
      <c r="N25" s="6">
        <f t="shared" si="12"/>
        <v>18175.174389908199</v>
      </c>
      <c r="O25" s="6">
        <f t="shared" si="7"/>
        <v>22643.233756509151</v>
      </c>
      <c r="P25" s="6">
        <f t="shared" si="8"/>
        <v>22378.814586165106</v>
      </c>
      <c r="Q25" s="6">
        <f t="shared" si="9"/>
        <v>26263.78688465392</v>
      </c>
    </row>
    <row r="26" spans="1:17" ht="13" thickBot="1" x14ac:dyDescent="0.35">
      <c r="B26" s="5" t="s">
        <v>11</v>
      </c>
      <c r="C26" s="15">
        <f t="shared" ref="C26:G26" si="40">C21+1000</f>
        <v>16795</v>
      </c>
      <c r="D26" s="15">
        <f t="shared" si="40"/>
        <v>16795</v>
      </c>
      <c r="E26" s="15">
        <f t="shared" si="40"/>
        <v>19588</v>
      </c>
      <c r="F26" s="15">
        <f t="shared" si="40"/>
        <v>19588</v>
      </c>
      <c r="G26" s="15">
        <f t="shared" si="40"/>
        <v>21210</v>
      </c>
      <c r="H26" s="33">
        <f t="shared" ref="H26:L26" si="41">H21 * 0.99</f>
        <v>0.57635760599999986</v>
      </c>
      <c r="I26" s="33">
        <f t="shared" si="41"/>
        <v>0.57635760599999986</v>
      </c>
      <c r="J26" s="33">
        <f t="shared" si="41"/>
        <v>0.67241720699999985</v>
      </c>
      <c r="K26" s="33">
        <f t="shared" si="41"/>
        <v>0.67241720699999985</v>
      </c>
      <c r="L26" s="33">
        <f t="shared" si="41"/>
        <v>0.57635760599999986</v>
      </c>
      <c r="M26" s="9">
        <f t="shared" si="14"/>
        <v>29139.894789555365</v>
      </c>
      <c r="N26" s="6">
        <f t="shared" si="12"/>
        <v>29139.894789555365</v>
      </c>
      <c r="O26" s="6">
        <f t="shared" si="7"/>
        <v>29130.723895945757</v>
      </c>
      <c r="P26" s="6">
        <f t="shared" si="8"/>
        <v>29130.723895945757</v>
      </c>
      <c r="Q26" s="6">
        <f t="shared" si="9"/>
        <v>36800.069573472421</v>
      </c>
    </row>
    <row r="27" spans="1:17" ht="13" thickBot="1" x14ac:dyDescent="0.35">
      <c r="A27" s="18"/>
      <c r="B27" s="19" t="s">
        <v>12</v>
      </c>
      <c r="C27" s="15">
        <f t="shared" ref="C27:G27" si="42">C22+1000</f>
        <v>15211</v>
      </c>
      <c r="D27" s="15">
        <f t="shared" si="42"/>
        <v>15211</v>
      </c>
      <c r="E27" s="15">
        <f t="shared" si="42"/>
        <v>18530</v>
      </c>
      <c r="F27" s="15">
        <f t="shared" si="42"/>
        <v>17208</v>
      </c>
      <c r="G27" s="15">
        <f t="shared" si="42"/>
        <v>21970</v>
      </c>
      <c r="H27" s="33">
        <f t="shared" ref="H27:L27" si="43">H22 * 0.99</f>
        <v>0.76847680799999996</v>
      </c>
      <c r="I27" s="33">
        <f t="shared" si="43"/>
        <v>0.86453640900000006</v>
      </c>
      <c r="J27" s="33">
        <f t="shared" si="43"/>
        <v>0.96059600999999994</v>
      </c>
      <c r="K27" s="33">
        <f t="shared" si="43"/>
        <v>0.86453640900000006</v>
      </c>
      <c r="L27" s="33">
        <f t="shared" si="43"/>
        <v>0.57635760599999986</v>
      </c>
      <c r="M27" s="22">
        <f t="shared" si="14"/>
        <v>19793.700787909791</v>
      </c>
      <c r="N27" s="20">
        <f t="shared" si="12"/>
        <v>17594.400700364255</v>
      </c>
      <c r="O27" s="20">
        <f t="shared" si="7"/>
        <v>19290.107190847066</v>
      </c>
      <c r="P27" s="20">
        <f t="shared" si="8"/>
        <v>19904.309200701344</v>
      </c>
      <c r="Q27" s="21">
        <f t="shared" si="9"/>
        <v>38118.695357340359</v>
      </c>
    </row>
    <row r="28" spans="1:17" ht="13" thickBot="1" x14ac:dyDescent="0.35">
      <c r="A28" s="1" t="s">
        <v>18</v>
      </c>
      <c r="B28" s="14" t="s">
        <v>8</v>
      </c>
      <c r="C28" s="15">
        <f t="shared" ref="C28:G28" si="44">C23+1000</f>
        <v>18617</v>
      </c>
      <c r="D28" s="15">
        <f t="shared" si="44"/>
        <v>18223</v>
      </c>
      <c r="E28" s="15">
        <f t="shared" si="44"/>
        <v>22417</v>
      </c>
      <c r="F28" s="15">
        <f t="shared" si="44"/>
        <v>21914</v>
      </c>
      <c r="G28" s="15">
        <f t="shared" si="44"/>
        <v>26034</v>
      </c>
      <c r="H28" s="33">
        <f t="shared" ref="H28:L28" si="45">H23 * 0.99</f>
        <v>0.95099004989999991</v>
      </c>
      <c r="I28" s="33">
        <f t="shared" si="45"/>
        <v>0.95099004989999991</v>
      </c>
      <c r="J28" s="33">
        <f t="shared" si="45"/>
        <v>0.95099004989999991</v>
      </c>
      <c r="K28" s="33">
        <f t="shared" si="45"/>
        <v>0.95099004989999991</v>
      </c>
      <c r="L28" s="33">
        <f t="shared" si="45"/>
        <v>0.95099004989999991</v>
      </c>
      <c r="M28" s="16">
        <f t="shared" si="14"/>
        <v>19576.440365446142</v>
      </c>
      <c r="N28" s="15">
        <f t="shared" si="12"/>
        <v>19162.135294597683</v>
      </c>
      <c r="O28" s="15">
        <f t="shared" si="7"/>
        <v>23572.276074136873</v>
      </c>
      <c r="P28" s="15">
        <f t="shared" si="8"/>
        <v>23043.353610591759</v>
      </c>
      <c r="Q28" s="15">
        <f t="shared" si="9"/>
        <v>27375.680747382761</v>
      </c>
    </row>
    <row r="29" spans="1:17" ht="13" thickBot="1" x14ac:dyDescent="0.35">
      <c r="B29" s="5" t="s">
        <v>9</v>
      </c>
      <c r="C29" s="15">
        <f t="shared" ref="C29:G29" si="46">C24+1000</f>
        <v>18480</v>
      </c>
      <c r="D29" s="15">
        <f t="shared" si="46"/>
        <v>18280</v>
      </c>
      <c r="E29" s="15">
        <f t="shared" si="46"/>
        <v>23190</v>
      </c>
      <c r="F29" s="15">
        <f t="shared" si="46"/>
        <v>22920</v>
      </c>
      <c r="G29" s="15">
        <f t="shared" si="46"/>
        <v>25130</v>
      </c>
      <c r="H29" s="33">
        <f t="shared" ref="H29:L29" si="47">H24 * 0.99</f>
        <v>0.85589104491000001</v>
      </c>
      <c r="I29" s="33">
        <f t="shared" si="47"/>
        <v>0.85589104491000001</v>
      </c>
      <c r="J29" s="33">
        <f t="shared" si="47"/>
        <v>0.85589104491000001</v>
      </c>
      <c r="K29" s="33">
        <f t="shared" si="47"/>
        <v>0.85589104491000001</v>
      </c>
      <c r="L29" s="33">
        <f t="shared" si="47"/>
        <v>0.76079203992</v>
      </c>
      <c r="M29" s="9">
        <f t="shared" si="14"/>
        <v>21591.53330310079</v>
      </c>
      <c r="N29" s="6">
        <f t="shared" si="12"/>
        <v>21357.858700253379</v>
      </c>
      <c r="O29" s="6">
        <f t="shared" si="7"/>
        <v>27094.570200157323</v>
      </c>
      <c r="P29" s="6">
        <f t="shared" si="8"/>
        <v>26779.109486313318</v>
      </c>
      <c r="Q29" s="6">
        <f t="shared" si="9"/>
        <v>33031.365578749363</v>
      </c>
    </row>
    <row r="30" spans="1:17" ht="13" thickBot="1" x14ac:dyDescent="0.35">
      <c r="B30" s="5" t="s">
        <v>10</v>
      </c>
      <c r="C30" s="15">
        <f t="shared" ref="C30:G30" si="48">C25+1000</f>
        <v>18654</v>
      </c>
      <c r="D30" s="15">
        <f t="shared" si="48"/>
        <v>18459</v>
      </c>
      <c r="E30" s="15">
        <f t="shared" si="48"/>
        <v>22751</v>
      </c>
      <c r="F30" s="15">
        <f t="shared" si="48"/>
        <v>22497</v>
      </c>
      <c r="G30" s="15">
        <f t="shared" si="48"/>
        <v>23706</v>
      </c>
      <c r="H30" s="33">
        <f t="shared" ref="H30:L30" si="49">H25 * 0.99</f>
        <v>0.95099004989999991</v>
      </c>
      <c r="I30" s="33">
        <f t="shared" si="49"/>
        <v>0.95099004989999991</v>
      </c>
      <c r="J30" s="33">
        <f t="shared" si="49"/>
        <v>0.95099004989999991</v>
      </c>
      <c r="K30" s="33">
        <f t="shared" si="49"/>
        <v>0.95099004989999991</v>
      </c>
      <c r="L30" s="33">
        <f t="shared" si="49"/>
        <v>0.85589104491000001</v>
      </c>
      <c r="M30" s="9">
        <f t="shared" si="14"/>
        <v>19615.347186820236</v>
      </c>
      <c r="N30" s="6">
        <f t="shared" si="12"/>
        <v>19410.297722821633</v>
      </c>
      <c r="O30" s="6">
        <f t="shared" si="7"/>
        <v>23923.489002216535</v>
      </c>
      <c r="P30" s="6">
        <f t="shared" si="8"/>
        <v>23656.398931161941</v>
      </c>
      <c r="Q30" s="6">
        <f t="shared" si="9"/>
        <v>27697.450675503645</v>
      </c>
    </row>
    <row r="31" spans="1:17" ht="13" thickBot="1" x14ac:dyDescent="0.35">
      <c r="B31" s="5" t="s">
        <v>11</v>
      </c>
      <c r="C31" s="15">
        <f t="shared" ref="C31:G31" si="50">C26+1000</f>
        <v>17795</v>
      </c>
      <c r="D31" s="15">
        <f t="shared" si="50"/>
        <v>17795</v>
      </c>
      <c r="E31" s="15">
        <f t="shared" si="50"/>
        <v>20588</v>
      </c>
      <c r="F31" s="15">
        <f t="shared" si="50"/>
        <v>20588</v>
      </c>
      <c r="G31" s="15">
        <f t="shared" si="50"/>
        <v>22210</v>
      </c>
      <c r="H31" s="33">
        <f t="shared" ref="H31:L31" si="51">H26 * 0.99</f>
        <v>0.57059402993999986</v>
      </c>
      <c r="I31" s="33">
        <f t="shared" si="51"/>
        <v>0.57059402993999986</v>
      </c>
      <c r="J31" s="33">
        <f t="shared" si="51"/>
        <v>0.66569303492999987</v>
      </c>
      <c r="K31" s="33">
        <f t="shared" si="51"/>
        <v>0.66569303492999987</v>
      </c>
      <c r="L31" s="33">
        <f t="shared" si="51"/>
        <v>0.57059402993999986</v>
      </c>
      <c r="M31" s="9">
        <f t="shared" si="14"/>
        <v>31186.796682522621</v>
      </c>
      <c r="N31" s="6">
        <f t="shared" si="12"/>
        <v>31186.796682522621</v>
      </c>
      <c r="O31" s="6">
        <f t="shared" si="7"/>
        <v>30927.167507716083</v>
      </c>
      <c r="P31" s="6">
        <f t="shared" si="8"/>
        <v>30927.167507716083</v>
      </c>
      <c r="Q31" s="6">
        <f t="shared" si="9"/>
        <v>38924.346969307524</v>
      </c>
    </row>
    <row r="32" spans="1:17" ht="13" thickBot="1" x14ac:dyDescent="0.35">
      <c r="A32" s="18"/>
      <c r="B32" s="19" t="s">
        <v>12</v>
      </c>
      <c r="C32" s="15">
        <f t="shared" ref="C32:G32" si="52">C27+1000</f>
        <v>16211</v>
      </c>
      <c r="D32" s="15">
        <f t="shared" si="52"/>
        <v>16211</v>
      </c>
      <c r="E32" s="15">
        <f t="shared" si="52"/>
        <v>19530</v>
      </c>
      <c r="F32" s="15">
        <f t="shared" si="52"/>
        <v>18208</v>
      </c>
      <c r="G32" s="15">
        <f t="shared" si="52"/>
        <v>22970</v>
      </c>
      <c r="H32" s="33">
        <f t="shared" ref="H32:L32" si="53">H27 * 0.99</f>
        <v>0.76079203992</v>
      </c>
      <c r="I32" s="33">
        <f t="shared" si="53"/>
        <v>0.85589104491000001</v>
      </c>
      <c r="J32" s="33">
        <f t="shared" si="53"/>
        <v>0.95099004989999991</v>
      </c>
      <c r="K32" s="33">
        <f t="shared" si="53"/>
        <v>0.85589104491000001</v>
      </c>
      <c r="L32" s="33">
        <f t="shared" si="53"/>
        <v>0.57059402993999986</v>
      </c>
      <c r="M32" s="22">
        <f t="shared" si="14"/>
        <v>21308.056800521525</v>
      </c>
      <c r="N32" s="20">
        <f t="shared" si="12"/>
        <v>18940.494933796912</v>
      </c>
      <c r="O32" s="20">
        <f t="shared" si="7"/>
        <v>20536.492471244732</v>
      </c>
      <c r="P32" s="20">
        <f t="shared" si="8"/>
        <v>21273.735843228311</v>
      </c>
      <c r="Q32" s="21">
        <f t="shared" si="9"/>
        <v>40256.292205537771</v>
      </c>
    </row>
    <row r="33" spans="1:17" ht="13" thickBot="1" x14ac:dyDescent="0.35">
      <c r="A33" s="1" t="s">
        <v>19</v>
      </c>
      <c r="B33" s="14" t="s">
        <v>8</v>
      </c>
      <c r="C33" s="15">
        <f t="shared" ref="C33:G33" si="54">C28+1000</f>
        <v>19617</v>
      </c>
      <c r="D33" s="15">
        <f t="shared" si="54"/>
        <v>19223</v>
      </c>
      <c r="E33" s="15">
        <f t="shared" si="54"/>
        <v>23417</v>
      </c>
      <c r="F33" s="15">
        <f t="shared" si="54"/>
        <v>22914</v>
      </c>
      <c r="G33" s="15">
        <f t="shared" si="54"/>
        <v>27034</v>
      </c>
      <c r="H33" s="33">
        <f t="shared" ref="H33:L33" si="55">H28 * 0.99</f>
        <v>0.94148014940099989</v>
      </c>
      <c r="I33" s="33">
        <f t="shared" si="55"/>
        <v>0.94148014940099989</v>
      </c>
      <c r="J33" s="33">
        <f t="shared" si="55"/>
        <v>0.94148014940099989</v>
      </c>
      <c r="K33" s="33">
        <f t="shared" si="55"/>
        <v>0.94148014940099989</v>
      </c>
      <c r="L33" s="33">
        <f t="shared" si="55"/>
        <v>0.94148014940099989</v>
      </c>
      <c r="M33" s="16">
        <f t="shared" si="14"/>
        <v>20836.339472989388</v>
      </c>
      <c r="N33" s="15">
        <f t="shared" si="12"/>
        <v>20417.849502435387</v>
      </c>
      <c r="O33" s="15">
        <f t="shared" si="7"/>
        <v>24872.537158535582</v>
      </c>
      <c r="P33" s="15">
        <f t="shared" si="8"/>
        <v>24338.272043843546</v>
      </c>
      <c r="Q33" s="15">
        <f t="shared" si="9"/>
        <v>28714.360060804156</v>
      </c>
    </row>
    <row r="34" spans="1:17" ht="13" thickBot="1" x14ac:dyDescent="0.35">
      <c r="B34" s="5" t="s">
        <v>9</v>
      </c>
      <c r="C34" s="15">
        <f t="shared" ref="C34:G34" si="56">C29+1000</f>
        <v>19480</v>
      </c>
      <c r="D34" s="15">
        <f t="shared" si="56"/>
        <v>19280</v>
      </c>
      <c r="E34" s="15">
        <f t="shared" si="56"/>
        <v>24190</v>
      </c>
      <c r="F34" s="15">
        <f t="shared" si="56"/>
        <v>23920</v>
      </c>
      <c r="G34" s="15">
        <f t="shared" si="56"/>
        <v>26130</v>
      </c>
      <c r="H34" s="33">
        <f t="shared" ref="H34:L34" si="57">H29 * 0.99</f>
        <v>0.84733213446090005</v>
      </c>
      <c r="I34" s="33">
        <f t="shared" si="57"/>
        <v>0.84733213446090005</v>
      </c>
      <c r="J34" s="33">
        <f t="shared" si="57"/>
        <v>0.84733213446090005</v>
      </c>
      <c r="K34" s="33">
        <f t="shared" si="57"/>
        <v>0.84733213446090005</v>
      </c>
      <c r="L34" s="33">
        <f t="shared" si="57"/>
        <v>0.7531841195208</v>
      </c>
      <c r="M34" s="9">
        <f t="shared" si="14"/>
        <v>22989.804360947317</v>
      </c>
      <c r="N34" s="6">
        <f t="shared" si="12"/>
        <v>22753.769408576198</v>
      </c>
      <c r="O34" s="6">
        <f t="shared" si="7"/>
        <v>28548.427489287249</v>
      </c>
      <c r="P34" s="6">
        <f t="shared" si="8"/>
        <v>28229.780303586234</v>
      </c>
      <c r="Q34" s="6">
        <f t="shared" si="9"/>
        <v>34692.712343198029</v>
      </c>
    </row>
    <row r="35" spans="1:17" ht="13" thickBot="1" x14ac:dyDescent="0.35">
      <c r="B35" s="5" t="s">
        <v>10</v>
      </c>
      <c r="C35" s="15">
        <f t="shared" ref="C35:G35" si="58">C30+1000</f>
        <v>19654</v>
      </c>
      <c r="D35" s="15">
        <f t="shared" si="58"/>
        <v>19459</v>
      </c>
      <c r="E35" s="15">
        <f t="shared" si="58"/>
        <v>23751</v>
      </c>
      <c r="F35" s="15">
        <f t="shared" si="58"/>
        <v>23497</v>
      </c>
      <c r="G35" s="15">
        <f t="shared" si="58"/>
        <v>24706</v>
      </c>
      <c r="H35" s="33">
        <f t="shared" ref="H35:L35" si="59">H30 * 0.99</f>
        <v>0.94148014940099989</v>
      </c>
      <c r="I35" s="33">
        <f t="shared" si="59"/>
        <v>0.94148014940099989</v>
      </c>
      <c r="J35" s="33">
        <f t="shared" si="59"/>
        <v>0.94148014940099989</v>
      </c>
      <c r="K35" s="33">
        <f t="shared" si="59"/>
        <v>0.94148014940099989</v>
      </c>
      <c r="L35" s="33">
        <f t="shared" si="59"/>
        <v>0.84733213446090005</v>
      </c>
      <c r="M35" s="9">
        <f t="shared" si="14"/>
        <v>20875.639292559179</v>
      </c>
      <c r="N35" s="6">
        <f t="shared" si="12"/>
        <v>20668.51862185352</v>
      </c>
      <c r="O35" s="6">
        <f t="shared" si="7"/>
        <v>25227.297691949378</v>
      </c>
      <c r="P35" s="6">
        <f t="shared" si="8"/>
        <v>24957.509741389185</v>
      </c>
      <c r="Q35" s="6">
        <f t="shared" si="9"/>
        <v>29157.397666404748</v>
      </c>
    </row>
    <row r="36" spans="1:17" ht="13" thickBot="1" x14ac:dyDescent="0.35">
      <c r="B36" s="5" t="s">
        <v>11</v>
      </c>
      <c r="C36" s="15">
        <f t="shared" ref="C36:G36" si="60">C31+1000</f>
        <v>18795</v>
      </c>
      <c r="D36" s="15">
        <f t="shared" si="60"/>
        <v>18795</v>
      </c>
      <c r="E36" s="15">
        <f t="shared" si="60"/>
        <v>21588</v>
      </c>
      <c r="F36" s="15">
        <f t="shared" si="60"/>
        <v>21588</v>
      </c>
      <c r="G36" s="15">
        <f t="shared" si="60"/>
        <v>23210</v>
      </c>
      <c r="H36" s="33">
        <f t="shared" ref="H36:L36" si="61">H31 * 0.99</f>
        <v>0.56488808964059989</v>
      </c>
      <c r="I36" s="33">
        <f t="shared" si="61"/>
        <v>0.56488808964059989</v>
      </c>
      <c r="J36" s="33">
        <f t="shared" si="61"/>
        <v>0.65903610458069983</v>
      </c>
      <c r="K36" s="33">
        <f t="shared" si="61"/>
        <v>0.65903610458069983</v>
      </c>
      <c r="L36" s="33">
        <f t="shared" si="61"/>
        <v>0.56488808964059989</v>
      </c>
      <c r="M36" s="9">
        <f t="shared" si="14"/>
        <v>33272.076973614348</v>
      </c>
      <c r="N36" s="6">
        <f t="shared" si="12"/>
        <v>33272.076973614348</v>
      </c>
      <c r="O36" s="6">
        <f t="shared" si="7"/>
        <v>32756.930690064371</v>
      </c>
      <c r="P36" s="6">
        <f t="shared" si="8"/>
        <v>32756.930690064371</v>
      </c>
      <c r="Q36" s="6">
        <f t="shared" si="9"/>
        <v>41087.78433400314</v>
      </c>
    </row>
    <row r="37" spans="1:17" ht="13" thickBot="1" x14ac:dyDescent="0.35">
      <c r="A37" s="18"/>
      <c r="B37" s="19" t="s">
        <v>12</v>
      </c>
      <c r="C37" s="15">
        <f t="shared" ref="C37:G37" si="62">C32+1000</f>
        <v>17211</v>
      </c>
      <c r="D37" s="15">
        <f t="shared" si="62"/>
        <v>17211</v>
      </c>
      <c r="E37" s="15">
        <f t="shared" si="62"/>
        <v>20530</v>
      </c>
      <c r="F37" s="15">
        <f t="shared" si="62"/>
        <v>19208</v>
      </c>
      <c r="G37" s="15">
        <f t="shared" si="62"/>
        <v>23970</v>
      </c>
      <c r="H37" s="33">
        <f t="shared" ref="H37:L37" si="63">H32 * 0.99</f>
        <v>0.7531841195208</v>
      </c>
      <c r="I37" s="33">
        <f t="shared" si="63"/>
        <v>0.84733213446090005</v>
      </c>
      <c r="J37" s="33">
        <f t="shared" si="63"/>
        <v>0.94148014940099989</v>
      </c>
      <c r="K37" s="33">
        <f t="shared" si="63"/>
        <v>0.84733213446090005</v>
      </c>
      <c r="L37" s="33">
        <f t="shared" si="63"/>
        <v>0.56488808964059989</v>
      </c>
      <c r="M37" s="22">
        <f t="shared" si="14"/>
        <v>22850.986304584054</v>
      </c>
      <c r="N37" s="20">
        <f t="shared" si="12"/>
        <v>20311.987826296936</v>
      </c>
      <c r="O37" s="20">
        <f t="shared" si="7"/>
        <v>21806.089074806143</v>
      </c>
      <c r="P37" s="20">
        <f t="shared" si="8"/>
        <v>22668.796825722591</v>
      </c>
      <c r="Q37" s="21">
        <f t="shared" si="9"/>
        <v>42433.183562518534</v>
      </c>
    </row>
    <row r="38" spans="1:17" ht="13" thickBot="1" x14ac:dyDescent="0.35">
      <c r="A38" s="1" t="s">
        <v>20</v>
      </c>
      <c r="B38" s="14" t="s">
        <v>8</v>
      </c>
      <c r="C38" s="15">
        <f t="shared" ref="C38:G38" si="64">C33+1000</f>
        <v>20617</v>
      </c>
      <c r="D38" s="15">
        <f t="shared" si="64"/>
        <v>20223</v>
      </c>
      <c r="E38" s="15">
        <f t="shared" si="64"/>
        <v>24417</v>
      </c>
      <c r="F38" s="15">
        <f t="shared" si="64"/>
        <v>23914</v>
      </c>
      <c r="G38" s="15">
        <f t="shared" si="64"/>
        <v>28034</v>
      </c>
      <c r="H38" s="33">
        <f t="shared" ref="H38:L38" si="65">H33 * 0.99</f>
        <v>0.93206534790698992</v>
      </c>
      <c r="I38" s="33">
        <f t="shared" si="65"/>
        <v>0.93206534790698992</v>
      </c>
      <c r="J38" s="33">
        <f t="shared" si="65"/>
        <v>0.93206534790698992</v>
      </c>
      <c r="K38" s="33">
        <f t="shared" si="65"/>
        <v>0.93206534790698992</v>
      </c>
      <c r="L38" s="33">
        <f t="shared" si="65"/>
        <v>0.93206534790698992</v>
      </c>
      <c r="M38" s="16">
        <f t="shared" si="14"/>
        <v>22119.693695615595</v>
      </c>
      <c r="N38" s="15">
        <f t="shared" si="12"/>
        <v>21696.976553641856</v>
      </c>
      <c r="O38" s="15">
        <f t="shared" si="7"/>
        <v>26196.661054753164</v>
      </c>
      <c r="P38" s="15">
        <f t="shared" si="8"/>
        <v>25656.999322741005</v>
      </c>
      <c r="Q38" s="15">
        <f t="shared" si="9"/>
        <v>30077.290248963844</v>
      </c>
    </row>
    <row r="39" spans="1:17" ht="13" thickBot="1" x14ac:dyDescent="0.35">
      <c r="B39" s="5" t="s">
        <v>9</v>
      </c>
      <c r="C39" s="15">
        <f t="shared" ref="C39:G39" si="66">C34+1000</f>
        <v>20480</v>
      </c>
      <c r="D39" s="15">
        <f t="shared" si="66"/>
        <v>20280</v>
      </c>
      <c r="E39" s="15">
        <f t="shared" si="66"/>
        <v>25190</v>
      </c>
      <c r="F39" s="15">
        <f t="shared" si="66"/>
        <v>24920</v>
      </c>
      <c r="G39" s="15">
        <f t="shared" si="66"/>
        <v>27130</v>
      </c>
      <c r="H39" s="33">
        <f t="shared" ref="H39:L39" si="67">H34 * 0.99</f>
        <v>0.83885881311629107</v>
      </c>
      <c r="I39" s="33">
        <f t="shared" si="67"/>
        <v>0.83885881311629107</v>
      </c>
      <c r="J39" s="33">
        <f t="shared" si="67"/>
        <v>0.83885881311629107</v>
      </c>
      <c r="K39" s="33">
        <f t="shared" si="67"/>
        <v>0.83885881311629107</v>
      </c>
      <c r="L39" s="33">
        <f t="shared" si="67"/>
        <v>0.745652278325592</v>
      </c>
      <c r="M39" s="9">
        <f t="shared" si="14"/>
        <v>24414.120326063567</v>
      </c>
      <c r="N39" s="6">
        <f t="shared" si="12"/>
        <v>24175.70118225435</v>
      </c>
      <c r="O39" s="6">
        <f t="shared" si="7"/>
        <v>30028.891162770567</v>
      </c>
      <c r="P39" s="6">
        <f t="shared" si="8"/>
        <v>29707.02531862813</v>
      </c>
      <c r="Q39" s="6">
        <f t="shared" si="9"/>
        <v>36384.251464934947</v>
      </c>
    </row>
    <row r="40" spans="1:17" ht="13" thickBot="1" x14ac:dyDescent="0.35">
      <c r="B40" s="5" t="s">
        <v>10</v>
      </c>
      <c r="C40" s="15">
        <f t="shared" ref="C40:G40" si="68">C35+1000</f>
        <v>20654</v>
      </c>
      <c r="D40" s="15">
        <f t="shared" si="68"/>
        <v>20459</v>
      </c>
      <c r="E40" s="15">
        <f t="shared" si="68"/>
        <v>24751</v>
      </c>
      <c r="F40" s="15">
        <f t="shared" si="68"/>
        <v>24497</v>
      </c>
      <c r="G40" s="15">
        <f t="shared" si="68"/>
        <v>25706</v>
      </c>
      <c r="H40" s="33">
        <f t="shared" ref="H40:L40" si="69">H35 * 0.99</f>
        <v>0.93206534790698992</v>
      </c>
      <c r="I40" s="33">
        <f t="shared" si="69"/>
        <v>0.93206534790698992</v>
      </c>
      <c r="J40" s="33">
        <f t="shared" si="69"/>
        <v>0.93206534790698992</v>
      </c>
      <c r="K40" s="33">
        <f t="shared" si="69"/>
        <v>0.93206534790698992</v>
      </c>
      <c r="L40" s="33">
        <f t="shared" si="69"/>
        <v>0.83885881311629107</v>
      </c>
      <c r="M40" s="9">
        <f t="shared" si="14"/>
        <v>22159.390483059829</v>
      </c>
      <c r="N40" s="6">
        <f t="shared" si="12"/>
        <v>21950.177684367241</v>
      </c>
      <c r="O40" s="6">
        <f t="shared" si="7"/>
        <v>26555.005027898413</v>
      </c>
      <c r="P40" s="6">
        <f t="shared" si="8"/>
        <v>26282.491946524478</v>
      </c>
      <c r="Q40" s="6">
        <f t="shared" si="9"/>
        <v>30644.01255379834</v>
      </c>
    </row>
    <row r="41" spans="1:17" ht="13" thickBot="1" x14ac:dyDescent="0.35">
      <c r="B41" s="5" t="s">
        <v>11</v>
      </c>
      <c r="C41" s="15">
        <f t="shared" ref="C41:G41" si="70">C36+1000</f>
        <v>19795</v>
      </c>
      <c r="D41" s="15">
        <f t="shared" si="70"/>
        <v>19795</v>
      </c>
      <c r="E41" s="15">
        <f t="shared" si="70"/>
        <v>22588</v>
      </c>
      <c r="F41" s="15">
        <f t="shared" si="70"/>
        <v>22588</v>
      </c>
      <c r="G41" s="15">
        <f t="shared" si="70"/>
        <v>24210</v>
      </c>
      <c r="H41" s="33">
        <f t="shared" ref="H41:L41" si="71">H36 * 0.99</f>
        <v>0.55923920874419386</v>
      </c>
      <c r="I41" s="33">
        <f t="shared" si="71"/>
        <v>0.55923920874419386</v>
      </c>
      <c r="J41" s="33">
        <f t="shared" si="71"/>
        <v>0.65244574353489282</v>
      </c>
      <c r="K41" s="33">
        <f t="shared" si="71"/>
        <v>0.65244574353489282</v>
      </c>
      <c r="L41" s="33">
        <f t="shared" si="71"/>
        <v>0.55923920874419386</v>
      </c>
      <c r="M41" s="9">
        <f t="shared" si="14"/>
        <v>35396.302137775521</v>
      </c>
      <c r="N41" s="6">
        <f t="shared" si="12"/>
        <v>35396.302137775521</v>
      </c>
      <c r="O41" s="6">
        <f t="shared" si="7"/>
        <v>34620.503273759183</v>
      </c>
      <c r="P41" s="6">
        <f t="shared" si="8"/>
        <v>34620.503273759183</v>
      </c>
      <c r="Q41" s="6">
        <f t="shared" si="9"/>
        <v>43290.956037158139</v>
      </c>
    </row>
    <row r="42" spans="1:17" ht="13" thickBot="1" x14ac:dyDescent="0.35">
      <c r="A42" s="18"/>
      <c r="B42" s="19" t="s">
        <v>12</v>
      </c>
      <c r="C42" s="15">
        <f t="shared" ref="C42:G42" si="72">C37+1000</f>
        <v>18211</v>
      </c>
      <c r="D42" s="15">
        <f t="shared" si="72"/>
        <v>18211</v>
      </c>
      <c r="E42" s="15">
        <f t="shared" si="72"/>
        <v>21530</v>
      </c>
      <c r="F42" s="15">
        <f t="shared" si="72"/>
        <v>20208</v>
      </c>
      <c r="G42" s="15">
        <f t="shared" si="72"/>
        <v>24970</v>
      </c>
      <c r="H42" s="33">
        <f t="shared" ref="H42:L42" si="73">H37 * 0.99</f>
        <v>0.745652278325592</v>
      </c>
      <c r="I42" s="33">
        <f t="shared" si="73"/>
        <v>0.83885881311629107</v>
      </c>
      <c r="J42" s="33">
        <f t="shared" si="73"/>
        <v>0.93206534790698992</v>
      </c>
      <c r="K42" s="33">
        <f t="shared" si="73"/>
        <v>0.83885881311629107</v>
      </c>
      <c r="L42" s="33">
        <f t="shared" si="73"/>
        <v>0.55923920874419386</v>
      </c>
      <c r="M42" s="22">
        <f t="shared" si="14"/>
        <v>24422.912031991531</v>
      </c>
      <c r="N42" s="20">
        <f t="shared" si="12"/>
        <v>21709.255139548026</v>
      </c>
      <c r="O42" s="20">
        <f t="shared" si="7"/>
        <v>23099.238747955751</v>
      </c>
      <c r="P42" s="20">
        <f t="shared" si="8"/>
        <v>24089.870290483035</v>
      </c>
      <c r="Q42" s="21">
        <f t="shared" si="9"/>
        <v>44649.945156870665</v>
      </c>
    </row>
    <row r="43" spans="1:17" ht="13" thickBot="1" x14ac:dyDescent="0.35">
      <c r="A43" s="1" t="s">
        <v>21</v>
      </c>
      <c r="B43" s="14" t="s">
        <v>8</v>
      </c>
      <c r="C43" s="15">
        <f t="shared" ref="C43:G43" si="74">C38+1000</f>
        <v>21617</v>
      </c>
      <c r="D43" s="15">
        <f t="shared" si="74"/>
        <v>21223</v>
      </c>
      <c r="E43" s="15">
        <f t="shared" si="74"/>
        <v>25417</v>
      </c>
      <c r="F43" s="15">
        <f t="shared" si="74"/>
        <v>24914</v>
      </c>
      <c r="G43" s="15">
        <f t="shared" si="74"/>
        <v>29034</v>
      </c>
      <c r="H43" s="33">
        <f t="shared" ref="H43:L43" si="75">H38 * 0.99</f>
        <v>0.92274469442791995</v>
      </c>
      <c r="I43" s="33">
        <f t="shared" si="75"/>
        <v>0.92274469442791995</v>
      </c>
      <c r="J43" s="33">
        <f t="shared" si="75"/>
        <v>0.92274469442791995</v>
      </c>
      <c r="K43" s="33">
        <f t="shared" si="75"/>
        <v>0.92274469442791995</v>
      </c>
      <c r="L43" s="33">
        <f t="shared" si="75"/>
        <v>0.92274469442791995</v>
      </c>
      <c r="M43" s="16">
        <f t="shared" si="14"/>
        <v>23426.848326017232</v>
      </c>
      <c r="N43" s="15">
        <f t="shared" si="12"/>
        <v>22999.861313922549</v>
      </c>
      <c r="O43" s="15">
        <f t="shared" si="7"/>
        <v>27544.997173630938</v>
      </c>
      <c r="P43" s="15">
        <f t="shared" si="8"/>
        <v>26999.884313012601</v>
      </c>
      <c r="Q43" s="15">
        <f t="shared" si="9"/>
        <v>31464.824642530617</v>
      </c>
    </row>
    <row r="44" spans="1:17" ht="13" thickBot="1" x14ac:dyDescent="0.35">
      <c r="B44" s="5" t="s">
        <v>9</v>
      </c>
      <c r="C44" s="15">
        <f t="shared" ref="C44:G44" si="76">C39+1000</f>
        <v>21480</v>
      </c>
      <c r="D44" s="15">
        <f t="shared" si="76"/>
        <v>21280</v>
      </c>
      <c r="E44" s="15">
        <f t="shared" si="76"/>
        <v>26190</v>
      </c>
      <c r="F44" s="15">
        <f t="shared" si="76"/>
        <v>25920</v>
      </c>
      <c r="G44" s="15">
        <f t="shared" si="76"/>
        <v>28130</v>
      </c>
      <c r="H44" s="33">
        <f t="shared" ref="H44:L44" si="77">H39 * 0.99</f>
        <v>0.83047022498512812</v>
      </c>
      <c r="I44" s="33">
        <f t="shared" si="77"/>
        <v>0.83047022498512812</v>
      </c>
      <c r="J44" s="33">
        <f t="shared" si="77"/>
        <v>0.83047022498512812</v>
      </c>
      <c r="K44" s="33">
        <f t="shared" si="77"/>
        <v>0.83047022498512812</v>
      </c>
      <c r="L44" s="33">
        <f t="shared" si="77"/>
        <v>0.73819575554233607</v>
      </c>
      <c r="M44" s="9">
        <f t="shared" si="14"/>
        <v>25864.86469202994</v>
      </c>
      <c r="N44" s="6">
        <f t="shared" si="12"/>
        <v>25624.037274040835</v>
      </c>
      <c r="O44" s="6">
        <f t="shared" si="7"/>
        <v>31536.350385673377</v>
      </c>
      <c r="P44" s="6">
        <f t="shared" si="8"/>
        <v>31211.233371388083</v>
      </c>
      <c r="Q44" s="6">
        <f t="shared" si="9"/>
        <v>38106.423382688663</v>
      </c>
    </row>
    <row r="45" spans="1:17" ht="13" thickBot="1" x14ac:dyDescent="0.35">
      <c r="B45" s="5" t="s">
        <v>10</v>
      </c>
      <c r="C45" s="15">
        <f t="shared" ref="C45:G45" si="78">C40+1000</f>
        <v>21654</v>
      </c>
      <c r="D45" s="15">
        <f t="shared" si="78"/>
        <v>21459</v>
      </c>
      <c r="E45" s="15">
        <f t="shared" si="78"/>
        <v>25751</v>
      </c>
      <c r="F45" s="15">
        <f t="shared" si="78"/>
        <v>25497</v>
      </c>
      <c r="G45" s="15">
        <f t="shared" si="78"/>
        <v>26706</v>
      </c>
      <c r="H45" s="33">
        <f t="shared" ref="H45:L45" si="79">H40 * 0.99</f>
        <v>0.92274469442791995</v>
      </c>
      <c r="I45" s="33">
        <f t="shared" si="79"/>
        <v>0.92274469442791995</v>
      </c>
      <c r="J45" s="33">
        <f t="shared" si="79"/>
        <v>0.92274469442791995</v>
      </c>
      <c r="K45" s="33">
        <f t="shared" si="79"/>
        <v>0.92274469442791995</v>
      </c>
      <c r="L45" s="33">
        <f t="shared" si="79"/>
        <v>0.83047022498512812</v>
      </c>
      <c r="M45" s="9">
        <f t="shared" si="14"/>
        <v>23466.946091112419</v>
      </c>
      <c r="N45" s="6">
        <f t="shared" si="12"/>
        <v>23255.62003182698</v>
      </c>
      <c r="O45" s="6">
        <f t="shared" si="7"/>
        <v>27906.960782868566</v>
      </c>
      <c r="P45" s="6">
        <f t="shared" si="8"/>
        <v>27631.695044107018</v>
      </c>
      <c r="Q45" s="6">
        <f t="shared" si="9"/>
        <v>32157.685124085267</v>
      </c>
    </row>
    <row r="46" spans="1:17" ht="13" thickBot="1" x14ac:dyDescent="0.35">
      <c r="B46" s="5" t="s">
        <v>11</v>
      </c>
      <c r="C46" s="15">
        <f t="shared" ref="C46:G46" si="80">C41+1000</f>
        <v>20795</v>
      </c>
      <c r="D46" s="15">
        <f t="shared" si="80"/>
        <v>20795</v>
      </c>
      <c r="E46" s="15">
        <f t="shared" si="80"/>
        <v>23588</v>
      </c>
      <c r="F46" s="15">
        <f t="shared" si="80"/>
        <v>23588</v>
      </c>
      <c r="G46" s="15">
        <f t="shared" si="80"/>
        <v>25210</v>
      </c>
      <c r="H46" s="33">
        <f t="shared" ref="H46:L46" si="81">H41 * 0.99</f>
        <v>0.55364681665675197</v>
      </c>
      <c r="I46" s="33">
        <f t="shared" si="81"/>
        <v>0.55364681665675197</v>
      </c>
      <c r="J46" s="33">
        <f t="shared" si="81"/>
        <v>0.64592128609954391</v>
      </c>
      <c r="K46" s="33">
        <f t="shared" si="81"/>
        <v>0.64592128609954391</v>
      </c>
      <c r="L46" s="33">
        <f t="shared" si="81"/>
        <v>0.55364681665675197</v>
      </c>
      <c r="M46" s="9">
        <f t="shared" si="14"/>
        <v>37560.046178125885</v>
      </c>
      <c r="N46" s="6">
        <f t="shared" si="12"/>
        <v>37560.046178125885</v>
      </c>
      <c r="O46" s="6">
        <f t="shared" si="7"/>
        <v>36518.381585530871</v>
      </c>
      <c r="P46" s="6">
        <f t="shared" si="8"/>
        <v>36518.381585530871</v>
      </c>
      <c r="Q46" s="6">
        <f t="shared" si="9"/>
        <v>45534.444056290144</v>
      </c>
    </row>
    <row r="47" spans="1:17" ht="13" thickBot="1" x14ac:dyDescent="0.35">
      <c r="A47" s="18"/>
      <c r="B47" s="19" t="s">
        <v>12</v>
      </c>
      <c r="C47" s="15">
        <f t="shared" ref="C47:G47" si="82">C42+1000</f>
        <v>19211</v>
      </c>
      <c r="D47" s="15">
        <f t="shared" si="82"/>
        <v>19211</v>
      </c>
      <c r="E47" s="15">
        <f t="shared" si="82"/>
        <v>22530</v>
      </c>
      <c r="F47" s="15">
        <f t="shared" si="82"/>
        <v>21208</v>
      </c>
      <c r="G47" s="15">
        <f t="shared" si="82"/>
        <v>25970</v>
      </c>
      <c r="H47" s="33">
        <f t="shared" ref="H47:L47" si="83">H42 * 0.99</f>
        <v>0.73819575554233607</v>
      </c>
      <c r="I47" s="33">
        <f t="shared" si="83"/>
        <v>0.83047022498512812</v>
      </c>
      <c r="J47" s="33">
        <f t="shared" si="83"/>
        <v>0.92274469442791995</v>
      </c>
      <c r="K47" s="33">
        <f t="shared" si="83"/>
        <v>0.83047022498512812</v>
      </c>
      <c r="L47" s="33">
        <f t="shared" si="83"/>
        <v>0.55364681665675197</v>
      </c>
      <c r="M47" s="22">
        <f t="shared" si="14"/>
        <v>26024.262339311481</v>
      </c>
      <c r="N47" s="20">
        <f t="shared" si="12"/>
        <v>23132.677634943535</v>
      </c>
      <c r="O47" s="20">
        <f t="shared" si="7"/>
        <v>24416.287772825475</v>
      </c>
      <c r="P47" s="20">
        <f t="shared" si="8"/>
        <v>25537.339403564754</v>
      </c>
      <c r="Q47" s="21">
        <f t="shared" si="9"/>
        <v>46907.160338828049</v>
      </c>
    </row>
    <row r="48" spans="1:17" ht="13" thickBot="1" x14ac:dyDescent="0.35">
      <c r="A48" s="1" t="s">
        <v>22</v>
      </c>
      <c r="B48" s="14" t="s">
        <v>8</v>
      </c>
      <c r="C48" s="15">
        <f t="shared" ref="C48:G48" si="84">C43+1000</f>
        <v>22617</v>
      </c>
      <c r="D48" s="15">
        <f t="shared" si="84"/>
        <v>22223</v>
      </c>
      <c r="E48" s="15">
        <f t="shared" si="84"/>
        <v>26417</v>
      </c>
      <c r="F48" s="15">
        <f t="shared" si="84"/>
        <v>25914</v>
      </c>
      <c r="G48" s="15">
        <f t="shared" si="84"/>
        <v>30034</v>
      </c>
      <c r="H48" s="33">
        <f t="shared" ref="H48:L48" si="85">H43 * 0.99</f>
        <v>0.91351724748364072</v>
      </c>
      <c r="I48" s="33">
        <f t="shared" si="85"/>
        <v>0.91351724748364072</v>
      </c>
      <c r="J48" s="33">
        <f t="shared" si="85"/>
        <v>0.91351724748364072</v>
      </c>
      <c r="K48" s="33">
        <f t="shared" si="85"/>
        <v>0.91351724748364072</v>
      </c>
      <c r="L48" s="33">
        <f t="shared" si="85"/>
        <v>0.91351724748364072</v>
      </c>
      <c r="M48" s="16">
        <f t="shared" si="14"/>
        <v>24758.153239361829</v>
      </c>
      <c r="N48" s="15">
        <f t="shared" si="12"/>
        <v>24326.853227144977</v>
      </c>
      <c r="O48" s="15">
        <f t="shared" si="7"/>
        <v>28917.899550082744</v>
      </c>
      <c r="P48" s="15">
        <f t="shared" si="8"/>
        <v>28367.280498953107</v>
      </c>
      <c r="Q48" s="15">
        <f t="shared" si="9"/>
        <v>32877.321235839991</v>
      </c>
    </row>
    <row r="49" spans="1:17" ht="13" thickBot="1" x14ac:dyDescent="0.35">
      <c r="B49" s="5" t="s">
        <v>9</v>
      </c>
      <c r="C49" s="15">
        <f t="shared" ref="C49:G49" si="86">C44+1000</f>
        <v>22480</v>
      </c>
      <c r="D49" s="15">
        <f t="shared" si="86"/>
        <v>22280</v>
      </c>
      <c r="E49" s="15">
        <f t="shared" si="86"/>
        <v>27190</v>
      </c>
      <c r="F49" s="15">
        <f t="shared" si="86"/>
        <v>26920</v>
      </c>
      <c r="G49" s="15">
        <f t="shared" si="86"/>
        <v>29130</v>
      </c>
      <c r="H49" s="33">
        <f t="shared" ref="H49:L49" si="87">H44 * 0.99</f>
        <v>0.82216552273527688</v>
      </c>
      <c r="I49" s="33">
        <f t="shared" si="87"/>
        <v>0.82216552273527688</v>
      </c>
      <c r="J49" s="33">
        <f t="shared" si="87"/>
        <v>0.82216552273527688</v>
      </c>
      <c r="K49" s="33">
        <f t="shared" si="87"/>
        <v>0.82216552273527688</v>
      </c>
      <c r="L49" s="33">
        <f t="shared" si="87"/>
        <v>0.73081379798691271</v>
      </c>
      <c r="M49" s="9">
        <f t="shared" si="14"/>
        <v>27342.42604239946</v>
      </c>
      <c r="N49" s="6">
        <f t="shared" si="12"/>
        <v>27099.166024228645</v>
      </c>
      <c r="O49" s="6">
        <f t="shared" si="7"/>
        <v>33071.199470322121</v>
      </c>
      <c r="P49" s="6">
        <f t="shared" si="8"/>
        <v>32742.798445791523</v>
      </c>
      <c r="Q49" s="6">
        <f t="shared" si="9"/>
        <v>39859.674352401395</v>
      </c>
    </row>
    <row r="50" spans="1:17" ht="13" thickBot="1" x14ac:dyDescent="0.35">
      <c r="B50" s="5" t="s">
        <v>10</v>
      </c>
      <c r="C50" s="15">
        <f t="shared" ref="C50:G50" si="88">C45+1000</f>
        <v>22654</v>
      </c>
      <c r="D50" s="15">
        <f t="shared" si="88"/>
        <v>22459</v>
      </c>
      <c r="E50" s="15">
        <f t="shared" si="88"/>
        <v>26751</v>
      </c>
      <c r="F50" s="15">
        <f t="shared" si="88"/>
        <v>26497</v>
      </c>
      <c r="G50" s="15">
        <f t="shared" si="88"/>
        <v>27706</v>
      </c>
      <c r="H50" s="33">
        <f t="shared" ref="H50:L50" si="89">H45 * 0.99</f>
        <v>0.91351724748364072</v>
      </c>
      <c r="I50" s="33">
        <f t="shared" si="89"/>
        <v>0.91351724748364072</v>
      </c>
      <c r="J50" s="33">
        <f t="shared" si="89"/>
        <v>0.91351724748364072</v>
      </c>
      <c r="K50" s="33">
        <f t="shared" si="89"/>
        <v>0.91351724748364072</v>
      </c>
      <c r="L50" s="33">
        <f t="shared" si="89"/>
        <v>0.82216552273527688</v>
      </c>
      <c r="M50" s="9">
        <f t="shared" si="14"/>
        <v>24798.656032387269</v>
      </c>
      <c r="N50" s="6">
        <f t="shared" si="12"/>
        <v>24585.195366442378</v>
      </c>
      <c r="O50" s="6">
        <f t="shared" si="7"/>
        <v>29283.519357393478</v>
      </c>
      <c r="P50" s="6">
        <f t="shared" si="8"/>
        <v>29005.473156624237</v>
      </c>
      <c r="Q50" s="6">
        <f t="shared" si="9"/>
        <v>33698.81031720282</v>
      </c>
    </row>
    <row r="51" spans="1:17" ht="13" thickBot="1" x14ac:dyDescent="0.35">
      <c r="B51" s="5" t="s">
        <v>11</v>
      </c>
      <c r="C51" s="15">
        <f t="shared" ref="C51:G51" si="90">C46+1000</f>
        <v>21795</v>
      </c>
      <c r="D51" s="15">
        <f t="shared" si="90"/>
        <v>21795</v>
      </c>
      <c r="E51" s="15">
        <f t="shared" si="90"/>
        <v>24588</v>
      </c>
      <c r="F51" s="15">
        <f t="shared" si="90"/>
        <v>24588</v>
      </c>
      <c r="G51" s="15">
        <f t="shared" si="90"/>
        <v>26210</v>
      </c>
      <c r="H51" s="33">
        <f t="shared" ref="H51:L51" si="91">H46 * 0.99</f>
        <v>0.54811034849018447</v>
      </c>
      <c r="I51" s="33">
        <f t="shared" si="91"/>
        <v>0.54811034849018447</v>
      </c>
      <c r="J51" s="33">
        <f t="shared" si="91"/>
        <v>0.63946207323854842</v>
      </c>
      <c r="K51" s="33">
        <f t="shared" si="91"/>
        <v>0.63946207323854842</v>
      </c>
      <c r="L51" s="33">
        <f t="shared" si="91"/>
        <v>0.54811034849018447</v>
      </c>
      <c r="M51" s="9">
        <f t="shared" si="14"/>
        <v>39763.890720246643</v>
      </c>
      <c r="N51" s="6">
        <f t="shared" si="12"/>
        <v>39763.890720246643</v>
      </c>
      <c r="O51" s="6">
        <f t="shared" si="7"/>
        <v>38451.068529325523</v>
      </c>
      <c r="P51" s="6">
        <f t="shared" si="8"/>
        <v>38451.068529325523</v>
      </c>
      <c r="Q51" s="6">
        <f t="shared" si="9"/>
        <v>47818.838071927712</v>
      </c>
    </row>
    <row r="52" spans="1:17" ht="13" thickBot="1" x14ac:dyDescent="0.35">
      <c r="A52" s="18"/>
      <c r="B52" s="19" t="s">
        <v>12</v>
      </c>
      <c r="C52" s="15">
        <f t="shared" ref="C52:G52" si="92">C47+1000</f>
        <v>20211</v>
      </c>
      <c r="D52" s="15">
        <f t="shared" si="92"/>
        <v>20211</v>
      </c>
      <c r="E52" s="15">
        <f t="shared" si="92"/>
        <v>23530</v>
      </c>
      <c r="F52" s="15">
        <f t="shared" si="92"/>
        <v>22208</v>
      </c>
      <c r="G52" s="15">
        <f t="shared" si="92"/>
        <v>26970</v>
      </c>
      <c r="H52" s="33">
        <f t="shared" ref="H52:L52" si="93">H47 * 0.99</f>
        <v>0.73081379798691271</v>
      </c>
      <c r="I52" s="33">
        <f t="shared" si="93"/>
        <v>0.82216552273527688</v>
      </c>
      <c r="J52" s="33">
        <f t="shared" si="93"/>
        <v>0.91351724748364072</v>
      </c>
      <c r="K52" s="33">
        <f t="shared" si="93"/>
        <v>0.82216552273527688</v>
      </c>
      <c r="L52" s="33">
        <f t="shared" si="93"/>
        <v>0.54811034849018447</v>
      </c>
      <c r="M52" s="22">
        <f t="shared" si="14"/>
        <v>27655.471278283028</v>
      </c>
      <c r="N52" s="20">
        <f t="shared" si="12"/>
        <v>24582.641136251579</v>
      </c>
      <c r="O52" s="20">
        <f t="shared" si="7"/>
        <v>25757.587024016615</v>
      </c>
      <c r="P52" s="20">
        <f t="shared" si="8"/>
        <v>27011.592417687152</v>
      </c>
      <c r="Q52" s="21">
        <f t="shared" si="9"/>
        <v>49205.420175501349</v>
      </c>
    </row>
    <row r="53" spans="1:17" ht="13" thickBot="1" x14ac:dyDescent="0.35">
      <c r="A53" s="1" t="s">
        <v>23</v>
      </c>
      <c r="B53" s="14" t="s">
        <v>8</v>
      </c>
      <c r="C53" s="15">
        <f t="shared" ref="C53:G53" si="94">C48+1000</f>
        <v>23617</v>
      </c>
      <c r="D53" s="15">
        <f t="shared" si="94"/>
        <v>23223</v>
      </c>
      <c r="E53" s="15">
        <f t="shared" si="94"/>
        <v>27417</v>
      </c>
      <c r="F53" s="15">
        <f t="shared" si="94"/>
        <v>26914</v>
      </c>
      <c r="G53" s="15">
        <f t="shared" si="94"/>
        <v>31034</v>
      </c>
      <c r="H53" s="33">
        <f t="shared" ref="H53:L53" si="95">H48 * 0.99</f>
        <v>0.9043820750088043</v>
      </c>
      <c r="I53" s="33">
        <f t="shared" si="95"/>
        <v>0.9043820750088043</v>
      </c>
      <c r="J53" s="33">
        <f t="shared" si="95"/>
        <v>0.9043820750088043</v>
      </c>
      <c r="K53" s="33">
        <f t="shared" si="95"/>
        <v>0.9043820750088043</v>
      </c>
      <c r="L53" s="33">
        <f t="shared" si="95"/>
        <v>0.9043820750088043</v>
      </c>
      <c r="M53" s="16">
        <f t="shared" si="14"/>
        <v>26113.962950636858</v>
      </c>
      <c r="N53" s="15">
        <f t="shared" si="12"/>
        <v>25678.306372640036</v>
      </c>
      <c r="O53" s="15">
        <f t="shared" si="7"/>
        <v>30315.726900860005</v>
      </c>
      <c r="P53" s="15">
        <f t="shared" si="8"/>
        <v>29759.546041133101</v>
      </c>
      <c r="Q53" s="15">
        <f t="shared" si="9"/>
        <v>34315.142745059245</v>
      </c>
    </row>
    <row r="54" spans="1:17" ht="13" thickBot="1" x14ac:dyDescent="0.35">
      <c r="B54" s="5" t="s">
        <v>9</v>
      </c>
      <c r="C54" s="15">
        <f t="shared" ref="C54:G54" si="96">C49+1000</f>
        <v>23480</v>
      </c>
      <c r="D54" s="15">
        <f t="shared" si="96"/>
        <v>23280</v>
      </c>
      <c r="E54" s="15">
        <f t="shared" si="96"/>
        <v>28190</v>
      </c>
      <c r="F54" s="15">
        <f t="shared" si="96"/>
        <v>27920</v>
      </c>
      <c r="G54" s="15">
        <f t="shared" si="96"/>
        <v>30130</v>
      </c>
      <c r="H54" s="33">
        <f t="shared" ref="H54:L54" si="97">H49 * 0.99</f>
        <v>0.81394386750792413</v>
      </c>
      <c r="I54" s="33">
        <f t="shared" si="97"/>
        <v>0.81394386750792413</v>
      </c>
      <c r="J54" s="33">
        <f t="shared" si="97"/>
        <v>0.81394386750792413</v>
      </c>
      <c r="K54" s="33">
        <f t="shared" si="97"/>
        <v>0.81394386750792413</v>
      </c>
      <c r="L54" s="33">
        <f t="shared" si="97"/>
        <v>0.72350566000704353</v>
      </c>
      <c r="M54" s="9">
        <f t="shared" si="14"/>
        <v>28847.198114397503</v>
      </c>
      <c r="N54" s="6">
        <f t="shared" si="12"/>
        <v>28601.480924325973</v>
      </c>
      <c r="O54" s="6">
        <f t="shared" si="7"/>
        <v>34633.837940582009</v>
      </c>
      <c r="P54" s="6">
        <f t="shared" si="8"/>
        <v>34302.119733985448</v>
      </c>
      <c r="Q54" s="6">
        <f t="shared" si="9"/>
        <v>41644.45651981033</v>
      </c>
    </row>
    <row r="55" spans="1:17" ht="13" thickBot="1" x14ac:dyDescent="0.35">
      <c r="B55" s="5" t="s">
        <v>10</v>
      </c>
      <c r="C55" s="15">
        <f t="shared" ref="C55:G55" si="98">C50+1000</f>
        <v>23654</v>
      </c>
      <c r="D55" s="15">
        <f t="shared" si="98"/>
        <v>23459</v>
      </c>
      <c r="E55" s="15">
        <f t="shared" si="98"/>
        <v>27751</v>
      </c>
      <c r="F55" s="15">
        <f t="shared" si="98"/>
        <v>27497</v>
      </c>
      <c r="G55" s="15">
        <f t="shared" si="98"/>
        <v>28706</v>
      </c>
      <c r="H55" s="33">
        <f t="shared" ref="H55:L55" si="99">H50 * 0.99</f>
        <v>0.9043820750088043</v>
      </c>
      <c r="I55" s="33">
        <f t="shared" si="99"/>
        <v>0.9043820750088043</v>
      </c>
      <c r="J55" s="33">
        <f t="shared" si="99"/>
        <v>0.9043820750088043</v>
      </c>
      <c r="K55" s="33">
        <f t="shared" si="99"/>
        <v>0.9043820750088043</v>
      </c>
      <c r="L55" s="33">
        <f t="shared" si="99"/>
        <v>0.81394386750792413</v>
      </c>
      <c r="M55" s="9">
        <f t="shared" si="14"/>
        <v>26154.874862783767</v>
      </c>
      <c r="N55" s="6">
        <f t="shared" si="12"/>
        <v>25939.258028496002</v>
      </c>
      <c r="O55" s="6">
        <f t="shared" si="7"/>
        <v>30685.039837537515</v>
      </c>
      <c r="P55" s="6">
        <f t="shared" si="8"/>
        <v>30404.185089285755</v>
      </c>
      <c r="Q55" s="6">
        <f t="shared" si="9"/>
        <v>35267.788290966557</v>
      </c>
    </row>
    <row r="56" spans="1:17" ht="13" thickBot="1" x14ac:dyDescent="0.35">
      <c r="B56" s="5" t="s">
        <v>11</v>
      </c>
      <c r="C56" s="15">
        <f t="shared" ref="C56:G56" si="100">C51+1000</f>
        <v>22795</v>
      </c>
      <c r="D56" s="15">
        <f t="shared" si="100"/>
        <v>22795</v>
      </c>
      <c r="E56" s="15">
        <f t="shared" si="100"/>
        <v>25588</v>
      </c>
      <c r="F56" s="15">
        <f t="shared" si="100"/>
        <v>25588</v>
      </c>
      <c r="G56" s="15">
        <f t="shared" si="100"/>
        <v>27210</v>
      </c>
      <c r="H56" s="33">
        <f t="shared" ref="H56:L56" si="101">H51 * 0.99</f>
        <v>0.54262924500528265</v>
      </c>
      <c r="I56" s="33">
        <f t="shared" si="101"/>
        <v>0.54262924500528265</v>
      </c>
      <c r="J56" s="33">
        <f t="shared" si="101"/>
        <v>0.63306745250616292</v>
      </c>
      <c r="K56" s="33">
        <f t="shared" si="101"/>
        <v>0.63306745250616292</v>
      </c>
      <c r="L56" s="33">
        <f t="shared" si="101"/>
        <v>0.54262924500528265</v>
      </c>
      <c r="M56" s="9">
        <f t="shared" si="14"/>
        <v>42008.425107603784</v>
      </c>
      <c r="N56" s="6">
        <f t="shared" si="12"/>
        <v>42008.425107603784</v>
      </c>
      <c r="O56" s="6">
        <f t="shared" si="7"/>
        <v>40419.07366853756</v>
      </c>
      <c r="P56" s="6">
        <f t="shared" si="8"/>
        <v>40419.07366853756</v>
      </c>
      <c r="Q56" s="6">
        <f t="shared" si="9"/>
        <v>50144.735563847287</v>
      </c>
    </row>
    <row r="57" spans="1:17" ht="13" thickBot="1" x14ac:dyDescent="0.35">
      <c r="A57" s="18"/>
      <c r="B57" s="19" t="s">
        <v>12</v>
      </c>
      <c r="C57" s="15">
        <f t="shared" ref="C57:G57" si="102">C52+1000</f>
        <v>21211</v>
      </c>
      <c r="D57" s="15">
        <f t="shared" si="102"/>
        <v>21211</v>
      </c>
      <c r="E57" s="15">
        <f t="shared" si="102"/>
        <v>24530</v>
      </c>
      <c r="F57" s="15">
        <f t="shared" si="102"/>
        <v>23208</v>
      </c>
      <c r="G57" s="15">
        <f t="shared" si="102"/>
        <v>27970</v>
      </c>
      <c r="H57" s="33">
        <f t="shared" ref="H57:L57" si="103">H52 * 0.99</f>
        <v>0.72350566000704353</v>
      </c>
      <c r="I57" s="33">
        <f t="shared" si="103"/>
        <v>0.81394386750792413</v>
      </c>
      <c r="J57" s="33">
        <f t="shared" si="103"/>
        <v>0.9043820750088043</v>
      </c>
      <c r="K57" s="33">
        <f t="shared" si="103"/>
        <v>0.81394386750792413</v>
      </c>
      <c r="L57" s="33">
        <f t="shared" si="103"/>
        <v>0.54262924500528265</v>
      </c>
      <c r="M57" s="22">
        <f t="shared" si="14"/>
        <v>29316.978667165513</v>
      </c>
      <c r="N57" s="20">
        <f t="shared" si="12"/>
        <v>26059.536593036006</v>
      </c>
      <c r="O57" s="20">
        <f t="shared" si="7"/>
        <v>27123.492026045737</v>
      </c>
      <c r="P57" s="20">
        <f t="shared" si="8"/>
        <v>28513.022735900224</v>
      </c>
      <c r="Q57" s="21">
        <f t="shared" si="9"/>
        <v>51545.323547255</v>
      </c>
    </row>
    <row r="58" spans="1:17" ht="13" thickBot="1" x14ac:dyDescent="0.35">
      <c r="A58" s="1" t="s">
        <v>24</v>
      </c>
      <c r="B58" s="14" t="s">
        <v>8</v>
      </c>
      <c r="C58" s="15">
        <f t="shared" ref="C58:G58" si="104">C53+1000</f>
        <v>24617</v>
      </c>
      <c r="D58" s="15">
        <f t="shared" si="104"/>
        <v>24223</v>
      </c>
      <c r="E58" s="15">
        <f t="shared" si="104"/>
        <v>28417</v>
      </c>
      <c r="F58" s="15">
        <f t="shared" si="104"/>
        <v>27914</v>
      </c>
      <c r="G58" s="15">
        <f t="shared" si="104"/>
        <v>32034</v>
      </c>
      <c r="H58" s="33">
        <f t="shared" ref="H58:L58" si="105">H53 * 0.99</f>
        <v>0.89533825425871627</v>
      </c>
      <c r="I58" s="33">
        <f t="shared" si="105"/>
        <v>0.89533825425871627</v>
      </c>
      <c r="J58" s="33">
        <f t="shared" si="105"/>
        <v>0.89533825425871627</v>
      </c>
      <c r="K58" s="33">
        <f t="shared" si="105"/>
        <v>0.89533825425871627</v>
      </c>
      <c r="L58" s="33">
        <f t="shared" si="105"/>
        <v>0.89533825425871627</v>
      </c>
      <c r="M58" s="16">
        <f t="shared" si="14"/>
        <v>27494.636672685596</v>
      </c>
      <c r="N58" s="15">
        <f t="shared" si="12"/>
        <v>27054.579523193857</v>
      </c>
      <c r="O58" s="15">
        <f t="shared" si="7"/>
        <v>31738.842683012004</v>
      </c>
      <c r="P58" s="15">
        <f t="shared" si="8"/>
        <v>31177.043834803011</v>
      </c>
      <c r="Q58" s="15">
        <f t="shared" si="9"/>
        <v>35778.656667051648</v>
      </c>
    </row>
    <row r="59" spans="1:17" ht="13" thickBot="1" x14ac:dyDescent="0.35">
      <c r="B59" s="5" t="s">
        <v>9</v>
      </c>
      <c r="C59" s="15">
        <f t="shared" ref="C59:G59" si="106">C54+1000</f>
        <v>24480</v>
      </c>
      <c r="D59" s="15">
        <f t="shared" si="106"/>
        <v>24280</v>
      </c>
      <c r="E59" s="15">
        <f t="shared" si="106"/>
        <v>29190</v>
      </c>
      <c r="F59" s="15">
        <f t="shared" si="106"/>
        <v>28920</v>
      </c>
      <c r="G59" s="15">
        <f t="shared" si="106"/>
        <v>31130</v>
      </c>
      <c r="H59" s="33">
        <f t="shared" ref="H59:L59" si="107">H54 * 0.99</f>
        <v>0.80580442883284487</v>
      </c>
      <c r="I59" s="33">
        <f t="shared" si="107"/>
        <v>0.80580442883284487</v>
      </c>
      <c r="J59" s="33">
        <f t="shared" si="107"/>
        <v>0.80580442883284487</v>
      </c>
      <c r="K59" s="33">
        <f t="shared" si="107"/>
        <v>0.80580442883284487</v>
      </c>
      <c r="L59" s="33">
        <f t="shared" si="107"/>
        <v>0.71627060340697313</v>
      </c>
      <c r="M59" s="9">
        <f t="shared" si="14"/>
        <v>30379.579863389041</v>
      </c>
      <c r="N59" s="6">
        <f t="shared" si="12"/>
        <v>30131.380681498606</v>
      </c>
      <c r="O59" s="6">
        <f t="shared" si="7"/>
        <v>36224.670596908742</v>
      </c>
      <c r="P59" s="6">
        <f t="shared" si="8"/>
        <v>35889.60170135666</v>
      </c>
      <c r="Q59" s="6">
        <f t="shared" si="9"/>
        <v>43461.227993901695</v>
      </c>
    </row>
    <row r="60" spans="1:17" ht="13" thickBot="1" x14ac:dyDescent="0.35">
      <c r="B60" s="5" t="s">
        <v>10</v>
      </c>
      <c r="C60" s="15">
        <f t="shared" ref="C60:G60" si="108">C55+1000</f>
        <v>24654</v>
      </c>
      <c r="D60" s="15">
        <f t="shared" si="108"/>
        <v>24459</v>
      </c>
      <c r="E60" s="15">
        <f t="shared" si="108"/>
        <v>28751</v>
      </c>
      <c r="F60" s="15">
        <f t="shared" si="108"/>
        <v>28497</v>
      </c>
      <c r="G60" s="15">
        <f t="shared" si="108"/>
        <v>29706</v>
      </c>
      <c r="H60" s="33">
        <f t="shared" ref="H60:L60" si="109">H55 * 0.99</f>
        <v>0.89533825425871627</v>
      </c>
      <c r="I60" s="33">
        <f t="shared" si="109"/>
        <v>0.89533825425871627</v>
      </c>
      <c r="J60" s="33">
        <f t="shared" si="109"/>
        <v>0.89533825425871627</v>
      </c>
      <c r="K60" s="33">
        <f t="shared" si="109"/>
        <v>0.89533825425871627</v>
      </c>
      <c r="L60" s="33">
        <f t="shared" si="109"/>
        <v>0.80580442883284487</v>
      </c>
      <c r="M60" s="9">
        <f t="shared" si="14"/>
        <v>27535.961836470353</v>
      </c>
      <c r="N60" s="6">
        <f t="shared" si="12"/>
        <v>27318.167054361496</v>
      </c>
      <c r="O60" s="6">
        <f t="shared" si="7"/>
        <v>32111.886053393326</v>
      </c>
      <c r="P60" s="6">
        <f t="shared" si="8"/>
        <v>31828.19438849256</v>
      </c>
      <c r="Q60" s="6">
        <f t="shared" si="9"/>
        <v>36865.024486186063</v>
      </c>
    </row>
    <row r="61" spans="1:17" ht="13" thickBot="1" x14ac:dyDescent="0.35">
      <c r="B61" s="5" t="s">
        <v>11</v>
      </c>
      <c r="C61" s="15">
        <f t="shared" ref="C61:G61" si="110">C56+1000</f>
        <v>23795</v>
      </c>
      <c r="D61" s="15">
        <f t="shared" si="110"/>
        <v>23795</v>
      </c>
      <c r="E61" s="15">
        <f t="shared" si="110"/>
        <v>26588</v>
      </c>
      <c r="F61" s="15">
        <f t="shared" si="110"/>
        <v>26588</v>
      </c>
      <c r="G61" s="15">
        <f t="shared" si="110"/>
        <v>28210</v>
      </c>
      <c r="H61" s="33">
        <f t="shared" ref="H61:L61" si="111">H56 * 0.99</f>
        <v>0.53720295255522976</v>
      </c>
      <c r="I61" s="33">
        <f t="shared" si="111"/>
        <v>0.53720295255522976</v>
      </c>
      <c r="J61" s="33">
        <f t="shared" si="111"/>
        <v>0.62673677798110128</v>
      </c>
      <c r="K61" s="33">
        <f t="shared" si="111"/>
        <v>0.62673677798110128</v>
      </c>
      <c r="L61" s="33">
        <f t="shared" si="111"/>
        <v>0.53720295255522976</v>
      </c>
      <c r="M61" s="9">
        <f t="shared" si="14"/>
        <v>44294.246498121473</v>
      </c>
      <c r="N61" s="6">
        <f t="shared" si="12"/>
        <v>44294.246498121473</v>
      </c>
      <c r="O61" s="6">
        <f t="shared" si="7"/>
        <v>42422.913309232572</v>
      </c>
      <c r="P61" s="6">
        <f t="shared" si="8"/>
        <v>42422.913309232572</v>
      </c>
      <c r="Q61" s="6">
        <f t="shared" si="9"/>
        <v>52512.741908468444</v>
      </c>
    </row>
    <row r="62" spans="1:17" ht="13" thickBot="1" x14ac:dyDescent="0.35">
      <c r="A62" s="18"/>
      <c r="B62" s="19" t="s">
        <v>12</v>
      </c>
      <c r="C62" s="15">
        <f t="shared" ref="C62:G62" si="112">C57+1000</f>
        <v>22211</v>
      </c>
      <c r="D62" s="15">
        <f t="shared" si="112"/>
        <v>22211</v>
      </c>
      <c r="E62" s="15">
        <f t="shared" si="112"/>
        <v>25530</v>
      </c>
      <c r="F62" s="15">
        <f t="shared" si="112"/>
        <v>24208</v>
      </c>
      <c r="G62" s="15">
        <f t="shared" si="112"/>
        <v>28970</v>
      </c>
      <c r="H62" s="33">
        <f t="shared" ref="H62:L62" si="113">H57 * 0.99</f>
        <v>0.71627060340697313</v>
      </c>
      <c r="I62" s="33">
        <f t="shared" si="113"/>
        <v>0.80580442883284487</v>
      </c>
      <c r="J62" s="33">
        <f t="shared" si="113"/>
        <v>0.89533825425871627</v>
      </c>
      <c r="K62" s="33">
        <f t="shared" si="113"/>
        <v>0.80580442883284487</v>
      </c>
      <c r="L62" s="33">
        <f t="shared" si="113"/>
        <v>0.53720295255522976</v>
      </c>
      <c r="M62" s="22">
        <f t="shared" si="14"/>
        <v>31009.230162947337</v>
      </c>
      <c r="N62" s="20">
        <f t="shared" si="12"/>
        <v>27563.760144842072</v>
      </c>
      <c r="O62" s="20">
        <f t="shared" si="7"/>
        <v>28514.363011482441</v>
      </c>
      <c r="P62" s="20">
        <f t="shared" si="8"/>
        <v>30042.028976018049</v>
      </c>
      <c r="Q62" s="21">
        <f t="shared" si="9"/>
        <v>53927.477245243914</v>
      </c>
    </row>
    <row r="63" spans="1:17" ht="13" thickBot="1" x14ac:dyDescent="0.35">
      <c r="A63" s="1" t="s">
        <v>25</v>
      </c>
      <c r="B63" s="14" t="s">
        <v>8</v>
      </c>
      <c r="C63" s="15">
        <f t="shared" ref="C63:G63" si="114">C58+1000</f>
        <v>25617</v>
      </c>
      <c r="D63" s="15">
        <f t="shared" si="114"/>
        <v>25223</v>
      </c>
      <c r="E63" s="15">
        <f t="shared" si="114"/>
        <v>29417</v>
      </c>
      <c r="F63" s="15">
        <f t="shared" si="114"/>
        <v>28914</v>
      </c>
      <c r="G63" s="15">
        <f t="shared" si="114"/>
        <v>33034</v>
      </c>
      <c r="H63" s="33">
        <f t="shared" ref="H63:L63" si="115">H58 * 0.99</f>
        <v>0.88638487171612912</v>
      </c>
      <c r="I63" s="33">
        <f t="shared" si="115"/>
        <v>0.88638487171612912</v>
      </c>
      <c r="J63" s="33">
        <f t="shared" si="115"/>
        <v>0.88638487171612912</v>
      </c>
      <c r="K63" s="33">
        <f t="shared" si="115"/>
        <v>0.88638487171612912</v>
      </c>
      <c r="L63" s="33">
        <f t="shared" si="115"/>
        <v>0.88638487171612912</v>
      </c>
      <c r="M63" s="16">
        <f t="shared" si="14"/>
        <v>28900.538374941963</v>
      </c>
      <c r="N63" s="15">
        <f t="shared" si="12"/>
        <v>28456.036203738189</v>
      </c>
      <c r="O63" s="15">
        <f t="shared" si="7"/>
        <v>33187.615153049454</v>
      </c>
      <c r="P63" s="15">
        <f t="shared" si="8"/>
        <v>32620.141568999959</v>
      </c>
      <c r="Q63" s="15">
        <f t="shared" si="9"/>
        <v>37268.235338948078</v>
      </c>
    </row>
    <row r="64" spans="1:17" ht="13" thickBot="1" x14ac:dyDescent="0.35">
      <c r="B64" s="5" t="s">
        <v>9</v>
      </c>
      <c r="C64" s="15">
        <f t="shared" ref="C64:G64" si="116">C59+1000</f>
        <v>25480</v>
      </c>
      <c r="D64" s="15">
        <f t="shared" si="116"/>
        <v>25280</v>
      </c>
      <c r="E64" s="15">
        <f t="shared" si="116"/>
        <v>30190</v>
      </c>
      <c r="F64" s="15">
        <f t="shared" si="116"/>
        <v>29920</v>
      </c>
      <c r="G64" s="15">
        <f t="shared" si="116"/>
        <v>32130</v>
      </c>
      <c r="H64" s="33">
        <f t="shared" ref="H64:L64" si="117">H59 * 0.99</f>
        <v>0.79774638454451641</v>
      </c>
      <c r="I64" s="33">
        <f t="shared" si="117"/>
        <v>0.79774638454451641</v>
      </c>
      <c r="J64" s="33">
        <f t="shared" si="117"/>
        <v>0.79774638454451641</v>
      </c>
      <c r="K64" s="33">
        <f t="shared" si="117"/>
        <v>0.79774638454451641</v>
      </c>
      <c r="L64" s="33">
        <f t="shared" si="117"/>
        <v>0.70910789737290336</v>
      </c>
      <c r="M64" s="9">
        <f t="shared" si="14"/>
        <v>31939.975528122432</v>
      </c>
      <c r="N64" s="6">
        <f t="shared" si="12"/>
        <v>31689.269283788661</v>
      </c>
      <c r="O64" s="6">
        <f t="shared" si="7"/>
        <v>37844.10758218274</v>
      </c>
      <c r="P64" s="6">
        <f t="shared" si="8"/>
        <v>37505.65415233215</v>
      </c>
      <c r="Q64" s="6">
        <f t="shared" si="9"/>
        <v>45310.452921247866</v>
      </c>
    </row>
    <row r="65" spans="1:17" ht="13" thickBot="1" x14ac:dyDescent="0.35">
      <c r="B65" s="5" t="s">
        <v>10</v>
      </c>
      <c r="C65" s="15">
        <f t="shared" ref="C65:G65" si="118">C60+1000</f>
        <v>25654</v>
      </c>
      <c r="D65" s="15">
        <f t="shared" si="118"/>
        <v>25459</v>
      </c>
      <c r="E65" s="15">
        <f t="shared" si="118"/>
        <v>29751</v>
      </c>
      <c r="F65" s="15">
        <f t="shared" si="118"/>
        <v>29497</v>
      </c>
      <c r="G65" s="15">
        <f t="shared" si="118"/>
        <v>30706</v>
      </c>
      <c r="H65" s="33">
        <f t="shared" ref="H65:L65" si="119">H60 * 0.99</f>
        <v>0.88638487171612912</v>
      </c>
      <c r="I65" s="33">
        <f t="shared" si="119"/>
        <v>0.88638487171612912</v>
      </c>
      <c r="J65" s="33">
        <f t="shared" si="119"/>
        <v>0.88638487171612912</v>
      </c>
      <c r="K65" s="33">
        <f t="shared" si="119"/>
        <v>0.88638487171612912</v>
      </c>
      <c r="L65" s="33">
        <f t="shared" si="119"/>
        <v>0.79774638454451641</v>
      </c>
      <c r="M65" s="9">
        <f t="shared" si="14"/>
        <v>28942.280964623536</v>
      </c>
      <c r="N65" s="6">
        <f t="shared" si="12"/>
        <v>28722.286235220654</v>
      </c>
      <c r="O65" s="6">
        <f t="shared" si="7"/>
        <v>33564.426638283112</v>
      </c>
      <c r="P65" s="6">
        <f t="shared" si="8"/>
        <v>33277.869401009608</v>
      </c>
      <c r="Q65" s="6">
        <f t="shared" si="9"/>
        <v>38490.92969256387</v>
      </c>
    </row>
    <row r="66" spans="1:17" ht="13" thickBot="1" x14ac:dyDescent="0.35">
      <c r="B66" s="5" t="s">
        <v>11</v>
      </c>
      <c r="C66" s="15">
        <f t="shared" ref="C66:G66" si="120">C61+1000</f>
        <v>24795</v>
      </c>
      <c r="D66" s="15">
        <f t="shared" si="120"/>
        <v>24795</v>
      </c>
      <c r="E66" s="15">
        <f t="shared" si="120"/>
        <v>27588</v>
      </c>
      <c r="F66" s="15">
        <f t="shared" si="120"/>
        <v>27588</v>
      </c>
      <c r="G66" s="15">
        <f t="shared" si="120"/>
        <v>29210</v>
      </c>
      <c r="H66" s="33">
        <f t="shared" ref="H66:L66" si="121">H61 * 0.99</f>
        <v>0.53183092302967749</v>
      </c>
      <c r="I66" s="33">
        <f t="shared" si="121"/>
        <v>0.53183092302967749</v>
      </c>
      <c r="J66" s="33">
        <f t="shared" si="121"/>
        <v>0.62046941020129021</v>
      </c>
      <c r="K66" s="33">
        <f t="shared" si="121"/>
        <v>0.62046941020129021</v>
      </c>
      <c r="L66" s="33">
        <f t="shared" si="121"/>
        <v>0.53183092302967749</v>
      </c>
      <c r="M66" s="9">
        <f t="shared" si="14"/>
        <v>46621.95996191891</v>
      </c>
      <c r="N66" s="6">
        <f t="shared" si="12"/>
        <v>46621.95996191891</v>
      </c>
      <c r="O66" s="6">
        <f t="shared" si="7"/>
        <v>44463.110584371934</v>
      </c>
      <c r="P66" s="6">
        <f t="shared" si="8"/>
        <v>44463.110584371934</v>
      </c>
      <c r="Q66" s="6">
        <f t="shared" si="9"/>
        <v>54923.470477420902</v>
      </c>
    </row>
    <row r="67" spans="1:17" ht="13" thickBot="1" x14ac:dyDescent="0.35">
      <c r="A67" s="18"/>
      <c r="B67" s="19" t="s">
        <v>12</v>
      </c>
      <c r="C67" s="15">
        <f t="shared" ref="C67:G67" si="122">C62+1000</f>
        <v>23211</v>
      </c>
      <c r="D67" s="15">
        <f t="shared" si="122"/>
        <v>23211</v>
      </c>
      <c r="E67" s="15">
        <f t="shared" si="122"/>
        <v>26530</v>
      </c>
      <c r="F67" s="15">
        <f t="shared" si="122"/>
        <v>25208</v>
      </c>
      <c r="G67" s="15">
        <f t="shared" si="122"/>
        <v>29970</v>
      </c>
      <c r="H67" s="33">
        <f t="shared" ref="H67:L67" si="123">H62 * 0.99</f>
        <v>0.70910789737290336</v>
      </c>
      <c r="I67" s="33">
        <f t="shared" si="123"/>
        <v>0.79774638454451641</v>
      </c>
      <c r="J67" s="33">
        <f t="shared" si="123"/>
        <v>0.88638487171612912</v>
      </c>
      <c r="K67" s="33">
        <f t="shared" si="123"/>
        <v>0.79774638454451641</v>
      </c>
      <c r="L67" s="33">
        <f t="shared" si="123"/>
        <v>0.53183092302967749</v>
      </c>
      <c r="M67" s="22">
        <f t="shared" si="14"/>
        <v>32732.67733442528</v>
      </c>
      <c r="N67" s="20">
        <f t="shared" si="12"/>
        <v>29095.713186155797</v>
      </c>
      <c r="O67" s="20">
        <f t="shared" si="7"/>
        <v>29930.564979787265</v>
      </c>
      <c r="P67" s="20">
        <f t="shared" si="8"/>
        <v>31599.015035828503</v>
      </c>
      <c r="Q67" s="21">
        <f t="shared" si="9"/>
        <v>56352.496070123394</v>
      </c>
    </row>
    <row r="68" spans="1:17" ht="13" thickBot="1" x14ac:dyDescent="0.35">
      <c r="A68" s="1" t="s">
        <v>26</v>
      </c>
      <c r="B68" s="14" t="s">
        <v>8</v>
      </c>
      <c r="C68" s="15">
        <f t="shared" ref="C68:G68" si="124">C63+1000</f>
        <v>26617</v>
      </c>
      <c r="D68" s="15">
        <f t="shared" si="124"/>
        <v>26223</v>
      </c>
      <c r="E68" s="15">
        <f t="shared" si="124"/>
        <v>30417</v>
      </c>
      <c r="F68" s="15">
        <f t="shared" si="124"/>
        <v>29914</v>
      </c>
      <c r="G68" s="15">
        <f t="shared" si="124"/>
        <v>34034</v>
      </c>
      <c r="H68" s="33">
        <f t="shared" ref="H68:L68" si="125">H63 * 0.99</f>
        <v>0.87752102299896784</v>
      </c>
      <c r="I68" s="33">
        <f t="shared" si="125"/>
        <v>0.87752102299896784</v>
      </c>
      <c r="J68" s="33">
        <f t="shared" si="125"/>
        <v>0.87752102299896784</v>
      </c>
      <c r="K68" s="33">
        <f t="shared" si="125"/>
        <v>0.87752102299896784</v>
      </c>
      <c r="L68" s="33">
        <f t="shared" si="125"/>
        <v>0.87752102299896784</v>
      </c>
      <c r="M68" s="16">
        <f t="shared" si="14"/>
        <v>30332.036842872662</v>
      </c>
      <c r="N68" s="15">
        <f t="shared" si="12"/>
        <v>29883.044750747635</v>
      </c>
      <c r="O68" s="15">
        <f t="shared" si="7"/>
        <v>34662.417426819615</v>
      </c>
      <c r="P68" s="15">
        <f t="shared" si="8"/>
        <v>34089.211786365588</v>
      </c>
      <c r="Q68" s="15">
        <f t="shared" si="9"/>
        <v>38784.25599843439</v>
      </c>
    </row>
    <row r="69" spans="1:17" ht="13" thickBot="1" x14ac:dyDescent="0.35">
      <c r="B69" s="5" t="s">
        <v>9</v>
      </c>
      <c r="C69" s="15">
        <f t="shared" ref="C69:G69" si="126">C64+1000</f>
        <v>26480</v>
      </c>
      <c r="D69" s="15">
        <f t="shared" si="126"/>
        <v>26280</v>
      </c>
      <c r="E69" s="15">
        <f t="shared" si="126"/>
        <v>31190</v>
      </c>
      <c r="F69" s="15">
        <f t="shared" si="126"/>
        <v>30920</v>
      </c>
      <c r="G69" s="15">
        <f t="shared" si="126"/>
        <v>33130</v>
      </c>
      <c r="H69" s="33">
        <f t="shared" ref="H69:L69" si="127">H64 * 0.99</f>
        <v>0.78976892069907123</v>
      </c>
      <c r="I69" s="33">
        <f t="shared" si="127"/>
        <v>0.78976892069907123</v>
      </c>
      <c r="J69" s="33">
        <f t="shared" si="127"/>
        <v>0.78976892069907123</v>
      </c>
      <c r="K69" s="33">
        <f t="shared" si="127"/>
        <v>0.78976892069907123</v>
      </c>
      <c r="L69" s="33">
        <f t="shared" si="127"/>
        <v>0.70201681839917429</v>
      </c>
      <c r="M69" s="9">
        <f t="shared" si="14"/>
        <v>33528.794696758872</v>
      </c>
      <c r="N69" s="6">
        <f t="shared" si="12"/>
        <v>33275.556066118705</v>
      </c>
      <c r="O69" s="6">
        <f t="shared" si="7"/>
        <v>39492.564448334946</v>
      </c>
      <c r="P69" s="6">
        <f t="shared" si="8"/>
        <v>39150.692296970708</v>
      </c>
      <c r="Q69" s="6">
        <f t="shared" si="9"/>
        <v>47192.601561237709</v>
      </c>
    </row>
    <row r="70" spans="1:17" ht="13" thickBot="1" x14ac:dyDescent="0.35">
      <c r="B70" s="5" t="s">
        <v>10</v>
      </c>
      <c r="C70" s="15">
        <f t="shared" ref="C70:G70" si="128">C65+1000</f>
        <v>26654</v>
      </c>
      <c r="D70" s="15">
        <f t="shared" si="128"/>
        <v>26459</v>
      </c>
      <c r="E70" s="15">
        <f t="shared" si="128"/>
        <v>30751</v>
      </c>
      <c r="F70" s="15">
        <f t="shared" si="128"/>
        <v>30497</v>
      </c>
      <c r="G70" s="15">
        <f t="shared" si="128"/>
        <v>31706</v>
      </c>
      <c r="H70" s="33">
        <f t="shared" ref="H70:L70" si="129">H65 * 0.99</f>
        <v>0.87752102299896784</v>
      </c>
      <c r="I70" s="33">
        <f t="shared" si="129"/>
        <v>0.87752102299896784</v>
      </c>
      <c r="J70" s="33">
        <f t="shared" si="129"/>
        <v>0.87752102299896784</v>
      </c>
      <c r="K70" s="33">
        <f t="shared" si="129"/>
        <v>0.87752102299896784</v>
      </c>
      <c r="L70" s="33">
        <f t="shared" si="129"/>
        <v>0.78976892069907123</v>
      </c>
      <c r="M70" s="9">
        <f t="shared" si="14"/>
        <v>30374.20107487425</v>
      </c>
      <c r="N70" s="6">
        <f t="shared" si="12"/>
        <v>30151.984176487498</v>
      </c>
      <c r="O70" s="6">
        <f t="shared" si="7"/>
        <v>35043.035088671793</v>
      </c>
      <c r="P70" s="6">
        <f t="shared" si="8"/>
        <v>34753.583333850082</v>
      </c>
      <c r="Q70" s="6">
        <f t="shared" si="9"/>
        <v>40145.920115386587</v>
      </c>
    </row>
    <row r="71" spans="1:17" ht="13" thickBot="1" x14ac:dyDescent="0.35">
      <c r="B71" s="5" t="s">
        <v>11</v>
      </c>
      <c r="C71" s="15">
        <f t="shared" ref="C71:G71" si="130">C66+1000</f>
        <v>25795</v>
      </c>
      <c r="D71" s="15">
        <f t="shared" si="130"/>
        <v>25795</v>
      </c>
      <c r="E71" s="15">
        <f t="shared" si="130"/>
        <v>28588</v>
      </c>
      <c r="F71" s="15">
        <f t="shared" si="130"/>
        <v>28588</v>
      </c>
      <c r="G71" s="15">
        <f t="shared" si="130"/>
        <v>30210</v>
      </c>
      <c r="H71" s="33">
        <f t="shared" ref="H71:L71" si="131">H66 * 0.99</f>
        <v>0.52651261379938075</v>
      </c>
      <c r="I71" s="33">
        <f t="shared" si="131"/>
        <v>0.52651261379938075</v>
      </c>
      <c r="J71" s="33">
        <f t="shared" si="131"/>
        <v>0.61426471609927735</v>
      </c>
      <c r="K71" s="33">
        <f t="shared" si="131"/>
        <v>0.61426471609927735</v>
      </c>
      <c r="L71" s="33">
        <f t="shared" si="131"/>
        <v>0.52651261379938075</v>
      </c>
      <c r="M71" s="9">
        <f t="shared" si="14"/>
        <v>48992.178580224434</v>
      </c>
      <c r="N71" s="6">
        <f t="shared" si="12"/>
        <v>48992.178580224434</v>
      </c>
      <c r="O71" s="6">
        <f t="shared" si="7"/>
        <v>46540.195539050976</v>
      </c>
      <c r="P71" s="6">
        <f t="shared" si="8"/>
        <v>46540.195539050976</v>
      </c>
      <c r="Q71" s="6">
        <f t="shared" si="9"/>
        <v>57377.542737297154</v>
      </c>
    </row>
    <row r="72" spans="1:17" ht="13" thickBot="1" x14ac:dyDescent="0.35">
      <c r="A72" s="18"/>
      <c r="B72" s="19" t="s">
        <v>12</v>
      </c>
      <c r="C72" s="15">
        <f t="shared" ref="C72:G72" si="132">C67+1000</f>
        <v>24211</v>
      </c>
      <c r="D72" s="15">
        <f t="shared" si="132"/>
        <v>24211</v>
      </c>
      <c r="E72" s="15">
        <f t="shared" si="132"/>
        <v>27530</v>
      </c>
      <c r="F72" s="15">
        <f t="shared" si="132"/>
        <v>26208</v>
      </c>
      <c r="G72" s="15">
        <f t="shared" si="132"/>
        <v>30970</v>
      </c>
      <c r="H72" s="33">
        <f t="shared" ref="H72:L72" si="133">H67 * 0.99</f>
        <v>0.70201681839917429</v>
      </c>
      <c r="I72" s="33">
        <f t="shared" si="133"/>
        <v>0.78976892069907123</v>
      </c>
      <c r="J72" s="33">
        <f t="shared" si="133"/>
        <v>0.87752102299896784</v>
      </c>
      <c r="K72" s="33">
        <f t="shared" si="133"/>
        <v>0.78976892069907123</v>
      </c>
      <c r="L72" s="33">
        <f t="shared" si="133"/>
        <v>0.52651261379938075</v>
      </c>
      <c r="M72" s="22">
        <f t="shared" si="14"/>
        <v>34487.777736164389</v>
      </c>
      <c r="N72" s="20">
        <f t="shared" ref="N72:N135" si="134">D72/I72</f>
        <v>30655.802432146116</v>
      </c>
      <c r="O72" s="20">
        <f t="shared" ref="O72:O135" si="135">E72/J72</f>
        <v>31372.467756857812</v>
      </c>
      <c r="P72" s="20">
        <f t="shared" ref="P72:P135" si="136">F72/K72</f>
        <v>33184.390159088238</v>
      </c>
      <c r="Q72" s="21">
        <f t="shared" ref="Q72:Q135" si="137">G72/L72</f>
        <v>58821.002931946139</v>
      </c>
    </row>
    <row r="73" spans="1:17" ht="13" thickBot="1" x14ac:dyDescent="0.35">
      <c r="A73" s="1" t="s">
        <v>27</v>
      </c>
      <c r="B73" s="14" t="s">
        <v>8</v>
      </c>
      <c r="C73" s="15">
        <f t="shared" ref="C73:G73" si="138">C68+1000</f>
        <v>27617</v>
      </c>
      <c r="D73" s="15">
        <f t="shared" si="138"/>
        <v>27223</v>
      </c>
      <c r="E73" s="15">
        <f t="shared" si="138"/>
        <v>31417</v>
      </c>
      <c r="F73" s="15">
        <f t="shared" si="138"/>
        <v>30914</v>
      </c>
      <c r="G73" s="15">
        <f t="shared" si="138"/>
        <v>35034</v>
      </c>
      <c r="H73" s="33">
        <f t="shared" ref="H73:L73" si="139">H68 * 0.99</f>
        <v>0.86874581276897811</v>
      </c>
      <c r="I73" s="33">
        <f t="shared" si="139"/>
        <v>0.86874581276897811</v>
      </c>
      <c r="J73" s="33">
        <f t="shared" si="139"/>
        <v>0.86874581276897811</v>
      </c>
      <c r="K73" s="33">
        <f t="shared" si="139"/>
        <v>0.86874581276897811</v>
      </c>
      <c r="L73" s="33">
        <f t="shared" si="139"/>
        <v>0.86874581276897811</v>
      </c>
      <c r="M73" s="16">
        <f t="shared" ref="M73:M136" si="140">C73/H73</f>
        <v>31789.505738134787</v>
      </c>
      <c r="N73" s="15">
        <f t="shared" si="134"/>
        <v>31335.978372351932</v>
      </c>
      <c r="O73" s="15">
        <f t="shared" si="135"/>
        <v>36163.627540101414</v>
      </c>
      <c r="P73" s="15">
        <f t="shared" si="136"/>
        <v>35584.631943683198</v>
      </c>
      <c r="Q73" s="15">
        <f t="shared" si="137"/>
        <v>40327.100844762797</v>
      </c>
    </row>
    <row r="74" spans="1:17" ht="13" thickBot="1" x14ac:dyDescent="0.35">
      <c r="B74" s="5" t="s">
        <v>9</v>
      </c>
      <c r="C74" s="15">
        <f t="shared" ref="C74:G74" si="141">C69+1000</f>
        <v>27480</v>
      </c>
      <c r="D74" s="15">
        <f t="shared" si="141"/>
        <v>27280</v>
      </c>
      <c r="E74" s="15">
        <f t="shared" si="141"/>
        <v>32190</v>
      </c>
      <c r="F74" s="15">
        <f t="shared" si="141"/>
        <v>31920</v>
      </c>
      <c r="G74" s="15">
        <f t="shared" si="141"/>
        <v>34130</v>
      </c>
      <c r="H74" s="33">
        <f t="shared" ref="H74:L74" si="142">H69 * 0.99</f>
        <v>0.78187123149208049</v>
      </c>
      <c r="I74" s="33">
        <f t="shared" si="142"/>
        <v>0.78187123149208049</v>
      </c>
      <c r="J74" s="33">
        <f t="shared" si="142"/>
        <v>0.78187123149208049</v>
      </c>
      <c r="K74" s="33">
        <f t="shared" si="142"/>
        <v>0.78187123149208049</v>
      </c>
      <c r="L74" s="33">
        <f t="shared" si="142"/>
        <v>0.69499665021518253</v>
      </c>
      <c r="M74" s="9">
        <f t="shared" si="140"/>
        <v>35146.452373696709</v>
      </c>
      <c r="N74" s="6">
        <f t="shared" si="134"/>
        <v>34890.655777090469</v>
      </c>
      <c r="O74" s="6">
        <f t="shared" si="135"/>
        <v>41170.462223773546</v>
      </c>
      <c r="P74" s="6">
        <f t="shared" si="136"/>
        <v>40825.136818355124</v>
      </c>
      <c r="Q74" s="6">
        <f t="shared" si="137"/>
        <v>49108.150362210785</v>
      </c>
    </row>
    <row r="75" spans="1:17" ht="13" thickBot="1" x14ac:dyDescent="0.35">
      <c r="B75" s="5" t="s">
        <v>10</v>
      </c>
      <c r="C75" s="15">
        <f t="shared" ref="C75:G75" si="143">C70+1000</f>
        <v>27654</v>
      </c>
      <c r="D75" s="15">
        <f t="shared" si="143"/>
        <v>27459</v>
      </c>
      <c r="E75" s="15">
        <f t="shared" si="143"/>
        <v>31751</v>
      </c>
      <c r="F75" s="15">
        <f t="shared" si="143"/>
        <v>31497</v>
      </c>
      <c r="G75" s="15">
        <f t="shared" si="143"/>
        <v>32706</v>
      </c>
      <c r="H75" s="33">
        <f t="shared" ref="H75:L75" si="144">H70 * 0.99</f>
        <v>0.86874581276897811</v>
      </c>
      <c r="I75" s="33">
        <f t="shared" si="144"/>
        <v>0.86874581276897811</v>
      </c>
      <c r="J75" s="33">
        <f t="shared" si="144"/>
        <v>0.86874581276897811</v>
      </c>
      <c r="K75" s="33">
        <f t="shared" si="144"/>
        <v>0.86874581276897811</v>
      </c>
      <c r="L75" s="33">
        <f t="shared" si="144"/>
        <v>0.78187123149208049</v>
      </c>
      <c r="M75" s="9">
        <f t="shared" si="140"/>
        <v>31832.095871469726</v>
      </c>
      <c r="N75" s="6">
        <f t="shared" si="134"/>
        <v>31607.634357947754</v>
      </c>
      <c r="O75" s="6">
        <f t="shared" si="135"/>
        <v>36548.089824800583</v>
      </c>
      <c r="P75" s="6">
        <f t="shared" si="136"/>
        <v>36255.714314879653</v>
      </c>
      <c r="Q75" s="6">
        <f t="shared" si="137"/>
        <v>41830.417443017628</v>
      </c>
    </row>
    <row r="76" spans="1:17" ht="13" thickBot="1" x14ac:dyDescent="0.35">
      <c r="B76" s="5" t="s">
        <v>11</v>
      </c>
      <c r="C76" s="15">
        <f t="shared" ref="C76:G76" si="145">C71+1000</f>
        <v>26795</v>
      </c>
      <c r="D76" s="15">
        <f t="shared" si="145"/>
        <v>26795</v>
      </c>
      <c r="E76" s="15">
        <f t="shared" si="145"/>
        <v>29588</v>
      </c>
      <c r="F76" s="15">
        <f t="shared" si="145"/>
        <v>29588</v>
      </c>
      <c r="G76" s="15">
        <f t="shared" si="145"/>
        <v>31210</v>
      </c>
      <c r="H76" s="33">
        <f t="shared" ref="H76:L76" si="146">H71 * 0.99</f>
        <v>0.52124748766138695</v>
      </c>
      <c r="I76" s="33">
        <f t="shared" si="146"/>
        <v>0.52124748766138695</v>
      </c>
      <c r="J76" s="33">
        <f t="shared" si="146"/>
        <v>0.60812206893828458</v>
      </c>
      <c r="K76" s="33">
        <f t="shared" si="146"/>
        <v>0.60812206893828458</v>
      </c>
      <c r="L76" s="33">
        <f t="shared" si="146"/>
        <v>0.52124748766138695</v>
      </c>
      <c r="M76" s="9">
        <f t="shared" si="140"/>
        <v>51405.52354548053</v>
      </c>
      <c r="N76" s="6">
        <f t="shared" si="134"/>
        <v>51405.52354548053</v>
      </c>
      <c r="O76" s="6">
        <f t="shared" si="135"/>
        <v>48654.705216762566</v>
      </c>
      <c r="P76" s="6">
        <f t="shared" si="136"/>
        <v>48654.705216762566</v>
      </c>
      <c r="Q76" s="6">
        <f t="shared" si="137"/>
        <v>59875.588350604492</v>
      </c>
    </row>
    <row r="77" spans="1:17" ht="13" thickBot="1" x14ac:dyDescent="0.35">
      <c r="A77" s="18"/>
      <c r="B77" s="19" t="s">
        <v>12</v>
      </c>
      <c r="C77" s="15">
        <f t="shared" ref="C77:G77" si="147">C72+1000</f>
        <v>25211</v>
      </c>
      <c r="D77" s="15">
        <f t="shared" si="147"/>
        <v>25211</v>
      </c>
      <c r="E77" s="15">
        <f t="shared" si="147"/>
        <v>28530</v>
      </c>
      <c r="F77" s="15">
        <f t="shared" si="147"/>
        <v>27208</v>
      </c>
      <c r="G77" s="15">
        <f t="shared" si="147"/>
        <v>31970</v>
      </c>
      <c r="H77" s="33">
        <f t="shared" ref="H77:L77" si="148">H72 * 0.99</f>
        <v>0.69499665021518253</v>
      </c>
      <c r="I77" s="33">
        <f t="shared" si="148"/>
        <v>0.78187123149208049</v>
      </c>
      <c r="J77" s="33">
        <f t="shared" si="148"/>
        <v>0.86874581276897811</v>
      </c>
      <c r="K77" s="33">
        <f t="shared" si="148"/>
        <v>0.78187123149208049</v>
      </c>
      <c r="L77" s="33">
        <f t="shared" si="148"/>
        <v>0.52124748766138695</v>
      </c>
      <c r="M77" s="22">
        <f t="shared" si="140"/>
        <v>36274.99498334885</v>
      </c>
      <c r="N77" s="20">
        <f t="shared" si="134"/>
        <v>32244.439985198969</v>
      </c>
      <c r="O77" s="20">
        <f t="shared" si="135"/>
        <v>32840.446055291504</v>
      </c>
      <c r="P77" s="20">
        <f t="shared" si="136"/>
        <v>34798.56900231223</v>
      </c>
      <c r="Q77" s="21">
        <f t="shared" si="137"/>
        <v>61333.628951260034</v>
      </c>
    </row>
    <row r="78" spans="1:17" ht="13" thickBot="1" x14ac:dyDescent="0.35">
      <c r="A78" s="1" t="s">
        <v>28</v>
      </c>
      <c r="B78" s="14" t="s">
        <v>8</v>
      </c>
      <c r="C78" s="15">
        <f t="shared" ref="C78:G78" si="149">C73+1000</f>
        <v>28617</v>
      </c>
      <c r="D78" s="15">
        <f t="shared" si="149"/>
        <v>28223</v>
      </c>
      <c r="E78" s="15">
        <f t="shared" si="149"/>
        <v>32417</v>
      </c>
      <c r="F78" s="15">
        <f t="shared" si="149"/>
        <v>31914</v>
      </c>
      <c r="G78" s="15">
        <f t="shared" si="149"/>
        <v>36034</v>
      </c>
      <c r="H78" s="33">
        <f t="shared" ref="H78:L78" si="150">H73 * 0.99</f>
        <v>0.86005835464128833</v>
      </c>
      <c r="I78" s="33">
        <f t="shared" si="150"/>
        <v>0.86005835464128833</v>
      </c>
      <c r="J78" s="33">
        <f t="shared" si="150"/>
        <v>0.86005835464128833</v>
      </c>
      <c r="K78" s="33">
        <f t="shared" si="150"/>
        <v>0.86005835464128833</v>
      </c>
      <c r="L78" s="33">
        <f t="shared" si="150"/>
        <v>0.86005835464128833</v>
      </c>
      <c r="M78" s="16">
        <f t="shared" si="140"/>
        <v>33273.323659457419</v>
      </c>
      <c r="N78" s="15">
        <f t="shared" si="134"/>
        <v>32815.215209171707</v>
      </c>
      <c r="O78" s="15">
        <f t="shared" si="135"/>
        <v>37691.628509928756</v>
      </c>
      <c r="P78" s="15">
        <f t="shared" si="136"/>
        <v>37106.784473142681</v>
      </c>
      <c r="Q78" s="15">
        <f t="shared" si="137"/>
        <v>41897.157100495817</v>
      </c>
    </row>
    <row r="79" spans="1:17" ht="13" thickBot="1" x14ac:dyDescent="0.35">
      <c r="B79" s="5" t="s">
        <v>9</v>
      </c>
      <c r="C79" s="15">
        <f t="shared" ref="C79:G79" si="151">C74+1000</f>
        <v>28480</v>
      </c>
      <c r="D79" s="15">
        <f t="shared" si="151"/>
        <v>28280</v>
      </c>
      <c r="E79" s="15">
        <f t="shared" si="151"/>
        <v>33190</v>
      </c>
      <c r="F79" s="15">
        <f t="shared" si="151"/>
        <v>32920</v>
      </c>
      <c r="G79" s="15">
        <f t="shared" si="151"/>
        <v>35130</v>
      </c>
      <c r="H79" s="33">
        <f t="shared" ref="H79:L79" si="152">H74 * 0.99</f>
        <v>0.77405251917715967</v>
      </c>
      <c r="I79" s="33">
        <f t="shared" si="152"/>
        <v>0.77405251917715967</v>
      </c>
      <c r="J79" s="33">
        <f t="shared" si="152"/>
        <v>0.77405251917715967</v>
      </c>
      <c r="K79" s="33">
        <f t="shared" si="152"/>
        <v>0.77405251917715967</v>
      </c>
      <c r="L79" s="33">
        <f t="shared" si="152"/>
        <v>0.68804668371303068</v>
      </c>
      <c r="M79" s="9">
        <f t="shared" si="140"/>
        <v>36793.369047199885</v>
      </c>
      <c r="N79" s="6">
        <f t="shared" si="134"/>
        <v>36534.988646587524</v>
      </c>
      <c r="O79" s="6">
        <f t="shared" si="135"/>
        <v>42878.227481620932</v>
      </c>
      <c r="P79" s="6">
        <f t="shared" si="136"/>
        <v>42529.413940794249</v>
      </c>
      <c r="Q79" s="6">
        <f t="shared" si="137"/>
        <v>51057.58203850592</v>
      </c>
    </row>
    <row r="80" spans="1:17" ht="13" thickBot="1" x14ac:dyDescent="0.35">
      <c r="B80" s="5" t="s">
        <v>10</v>
      </c>
      <c r="C80" s="15">
        <f t="shared" ref="C80:G80" si="153">C75+1000</f>
        <v>28654</v>
      </c>
      <c r="D80" s="15">
        <f t="shared" si="153"/>
        <v>28459</v>
      </c>
      <c r="E80" s="15">
        <f t="shared" si="153"/>
        <v>32751</v>
      </c>
      <c r="F80" s="15">
        <f t="shared" si="153"/>
        <v>32497</v>
      </c>
      <c r="G80" s="15">
        <f t="shared" si="153"/>
        <v>33706</v>
      </c>
      <c r="H80" s="33">
        <f t="shared" ref="H80:L80" si="154">H75 * 0.99</f>
        <v>0.86005835464128833</v>
      </c>
      <c r="I80" s="33">
        <f t="shared" si="154"/>
        <v>0.86005835464128833</v>
      </c>
      <c r="J80" s="33">
        <f t="shared" si="154"/>
        <v>0.86005835464128833</v>
      </c>
      <c r="K80" s="33">
        <f t="shared" si="154"/>
        <v>0.86005835464128833</v>
      </c>
      <c r="L80" s="33">
        <f t="shared" si="154"/>
        <v>0.77405251917715967</v>
      </c>
      <c r="M80" s="9">
        <f t="shared" si="140"/>
        <v>33316.343996159376</v>
      </c>
      <c r="N80" s="6">
        <f t="shared" si="134"/>
        <v>33089.615194622034</v>
      </c>
      <c r="O80" s="6">
        <f t="shared" si="135"/>
        <v>38079.974252049135</v>
      </c>
      <c r="P80" s="6">
        <f t="shared" si="136"/>
        <v>37784.645454149206</v>
      </c>
      <c r="Q80" s="6">
        <f t="shared" si="137"/>
        <v>43544.848915200819</v>
      </c>
    </row>
    <row r="81" spans="1:17" ht="13" thickBot="1" x14ac:dyDescent="0.35">
      <c r="B81" s="5" t="s">
        <v>11</v>
      </c>
      <c r="C81" s="15">
        <f t="shared" ref="C81:G81" si="155">C76+1000</f>
        <v>27795</v>
      </c>
      <c r="D81" s="15">
        <f t="shared" si="155"/>
        <v>27795</v>
      </c>
      <c r="E81" s="15">
        <f t="shared" si="155"/>
        <v>30588</v>
      </c>
      <c r="F81" s="15">
        <f t="shared" si="155"/>
        <v>30588</v>
      </c>
      <c r="G81" s="15">
        <f t="shared" si="155"/>
        <v>32210</v>
      </c>
      <c r="H81" s="33">
        <f t="shared" ref="H81:L81" si="156">H76 * 0.99</f>
        <v>0.51603501278477304</v>
      </c>
      <c r="I81" s="33">
        <f t="shared" si="156"/>
        <v>0.51603501278477304</v>
      </c>
      <c r="J81" s="33">
        <f t="shared" si="156"/>
        <v>0.60204084824890169</v>
      </c>
      <c r="K81" s="33">
        <f t="shared" si="156"/>
        <v>0.60204084824890169</v>
      </c>
      <c r="L81" s="33">
        <f t="shared" si="156"/>
        <v>0.51603501278477304</v>
      </c>
      <c r="M81" s="9">
        <f t="shared" si="140"/>
        <v>53862.624262653837</v>
      </c>
      <c r="N81" s="6">
        <f t="shared" si="134"/>
        <v>53862.624262653837</v>
      </c>
      <c r="O81" s="6">
        <f t="shared" si="135"/>
        <v>50807.183746698211</v>
      </c>
      <c r="P81" s="6">
        <f t="shared" si="136"/>
        <v>50807.183746698211</v>
      </c>
      <c r="Q81" s="6">
        <f t="shared" si="137"/>
        <v>62418.245277930568</v>
      </c>
    </row>
    <row r="82" spans="1:17" ht="13" thickBot="1" x14ac:dyDescent="0.35">
      <c r="A82" s="18"/>
      <c r="B82" s="19" t="s">
        <v>12</v>
      </c>
      <c r="C82" s="15">
        <f t="shared" ref="C82:G82" si="157">C77+1000</f>
        <v>26211</v>
      </c>
      <c r="D82" s="15">
        <f t="shared" si="157"/>
        <v>26211</v>
      </c>
      <c r="E82" s="15">
        <f t="shared" si="157"/>
        <v>29530</v>
      </c>
      <c r="F82" s="15">
        <f t="shared" si="157"/>
        <v>28208</v>
      </c>
      <c r="G82" s="15">
        <f t="shared" si="157"/>
        <v>32970</v>
      </c>
      <c r="H82" s="33">
        <f t="shared" ref="H82:L82" si="158">H77 * 0.99</f>
        <v>0.68804668371303068</v>
      </c>
      <c r="I82" s="33">
        <f t="shared" si="158"/>
        <v>0.77405251917715967</v>
      </c>
      <c r="J82" s="33">
        <f t="shared" si="158"/>
        <v>0.86005835464128833</v>
      </c>
      <c r="K82" s="33">
        <f t="shared" si="158"/>
        <v>0.77405251917715967</v>
      </c>
      <c r="L82" s="33">
        <f t="shared" si="158"/>
        <v>0.51603501278477304</v>
      </c>
      <c r="M82" s="22">
        <f t="shared" si="140"/>
        <v>38094.798827534265</v>
      </c>
      <c r="N82" s="20">
        <f t="shared" si="134"/>
        <v>33862.043402252675</v>
      </c>
      <c r="O82" s="20">
        <f t="shared" si="135"/>
        <v>34334.8795353733</v>
      </c>
      <c r="P82" s="20">
        <f t="shared" si="136"/>
        <v>36441.971702367075</v>
      </c>
      <c r="Q82" s="21">
        <f t="shared" si="137"/>
        <v>63891.013561421016</v>
      </c>
    </row>
    <row r="83" spans="1:17" ht="13" thickBot="1" x14ac:dyDescent="0.35">
      <c r="A83" s="1" t="s">
        <v>29</v>
      </c>
      <c r="B83" s="14" t="s">
        <v>8</v>
      </c>
      <c r="C83" s="15">
        <f t="shared" ref="C83:G83" si="159">C78+1000</f>
        <v>29617</v>
      </c>
      <c r="D83" s="15">
        <f t="shared" si="159"/>
        <v>29223</v>
      </c>
      <c r="E83" s="15">
        <f t="shared" si="159"/>
        <v>33417</v>
      </c>
      <c r="F83" s="15">
        <f t="shared" si="159"/>
        <v>32914</v>
      </c>
      <c r="G83" s="15">
        <f t="shared" si="159"/>
        <v>37034</v>
      </c>
      <c r="H83" s="33">
        <f t="shared" ref="H83:L83" si="160">H78 * 0.99</f>
        <v>0.85145777109487542</v>
      </c>
      <c r="I83" s="33">
        <f t="shared" si="160"/>
        <v>0.85145777109487542</v>
      </c>
      <c r="J83" s="33">
        <f t="shared" si="160"/>
        <v>0.85145777109487542</v>
      </c>
      <c r="K83" s="33">
        <f t="shared" si="160"/>
        <v>0.85145777109487542</v>
      </c>
      <c r="L83" s="33">
        <f t="shared" si="160"/>
        <v>0.85145777109487542</v>
      </c>
      <c r="M83" s="16">
        <f t="shared" si="140"/>
        <v>34783.87420425559</v>
      </c>
      <c r="N83" s="15">
        <f t="shared" si="134"/>
        <v>34321.138395886184</v>
      </c>
      <c r="O83" s="15">
        <f t="shared" si="135"/>
        <v>39246.808396650878</v>
      </c>
      <c r="P83" s="15">
        <f t="shared" si="136"/>
        <v>38656.056844341714</v>
      </c>
      <c r="Q83" s="15">
        <f t="shared" si="137"/>
        <v>43494.81707399134</v>
      </c>
    </row>
    <row r="84" spans="1:17" ht="13" thickBot="1" x14ac:dyDescent="0.35">
      <c r="B84" s="5" t="s">
        <v>9</v>
      </c>
      <c r="C84" s="15">
        <f t="shared" ref="C84:G84" si="161">C79+1000</f>
        <v>29480</v>
      </c>
      <c r="D84" s="15">
        <f t="shared" si="161"/>
        <v>29280</v>
      </c>
      <c r="E84" s="15">
        <f t="shared" si="161"/>
        <v>34190</v>
      </c>
      <c r="F84" s="15">
        <f t="shared" si="161"/>
        <v>33920</v>
      </c>
      <c r="G84" s="15">
        <f t="shared" si="161"/>
        <v>36130</v>
      </c>
      <c r="H84" s="33">
        <f t="shared" ref="H84:L84" si="162">H79 * 0.99</f>
        <v>0.76631199398538807</v>
      </c>
      <c r="I84" s="33">
        <f t="shared" si="162"/>
        <v>0.76631199398538807</v>
      </c>
      <c r="J84" s="33">
        <f t="shared" si="162"/>
        <v>0.76631199398538807</v>
      </c>
      <c r="K84" s="33">
        <f t="shared" si="162"/>
        <v>0.76631199398538807</v>
      </c>
      <c r="L84" s="33">
        <f t="shared" si="162"/>
        <v>0.6811662168759004</v>
      </c>
      <c r="M84" s="9">
        <f t="shared" si="140"/>
        <v>38469.970757840078</v>
      </c>
      <c r="N84" s="6">
        <f t="shared" si="134"/>
        <v>38208.980454191231</v>
      </c>
      <c r="O84" s="6">
        <f t="shared" si="135"/>
        <v>44616.29240877043</v>
      </c>
      <c r="P84" s="6">
        <f t="shared" si="136"/>
        <v>44263.955498844487</v>
      </c>
      <c r="Q84" s="6">
        <f t="shared" si="137"/>
        <v>53041.385648434785</v>
      </c>
    </row>
    <row r="85" spans="1:17" ht="13" thickBot="1" x14ac:dyDescent="0.35">
      <c r="B85" s="5" t="s">
        <v>10</v>
      </c>
      <c r="C85" s="15">
        <f t="shared" ref="C85:G85" si="163">C80+1000</f>
        <v>29654</v>
      </c>
      <c r="D85" s="15">
        <f t="shared" si="163"/>
        <v>29459</v>
      </c>
      <c r="E85" s="15">
        <f t="shared" si="163"/>
        <v>33751</v>
      </c>
      <c r="F85" s="15">
        <f t="shared" si="163"/>
        <v>33497</v>
      </c>
      <c r="G85" s="15">
        <f t="shared" si="163"/>
        <v>34706</v>
      </c>
      <c r="H85" s="33">
        <f t="shared" ref="H85:L85" si="164">H80 * 0.99</f>
        <v>0.85145777109487542</v>
      </c>
      <c r="I85" s="33">
        <f t="shared" si="164"/>
        <v>0.85145777109487542</v>
      </c>
      <c r="J85" s="33">
        <f t="shared" si="164"/>
        <v>0.85145777109487542</v>
      </c>
      <c r="K85" s="33">
        <f t="shared" si="164"/>
        <v>0.85145777109487542</v>
      </c>
      <c r="L85" s="33">
        <f t="shared" si="164"/>
        <v>0.76631199398538807</v>
      </c>
      <c r="M85" s="9">
        <f t="shared" si="140"/>
        <v>34827.329089813124</v>
      </c>
      <c r="N85" s="6">
        <f t="shared" si="134"/>
        <v>34598.31009836126</v>
      </c>
      <c r="O85" s="6">
        <f t="shared" si="135"/>
        <v>39639.076823035095</v>
      </c>
      <c r="P85" s="6">
        <f t="shared" si="136"/>
        <v>39340.764905964468</v>
      </c>
      <c r="Q85" s="6">
        <f t="shared" si="137"/>
        <v>45289.647392184452</v>
      </c>
    </row>
    <row r="86" spans="1:17" ht="13" thickBot="1" x14ac:dyDescent="0.35">
      <c r="B86" s="5" t="s">
        <v>11</v>
      </c>
      <c r="C86" s="15">
        <f t="shared" ref="C86:G86" si="165">C81+1000</f>
        <v>28795</v>
      </c>
      <c r="D86" s="15">
        <f t="shared" si="165"/>
        <v>28795</v>
      </c>
      <c r="E86" s="15">
        <f t="shared" si="165"/>
        <v>31588</v>
      </c>
      <c r="F86" s="15">
        <f t="shared" si="165"/>
        <v>31588</v>
      </c>
      <c r="G86" s="15">
        <f t="shared" si="165"/>
        <v>33210</v>
      </c>
      <c r="H86" s="33">
        <f t="shared" ref="H86:L86" si="166">H81 * 0.99</f>
        <v>0.51087466265692527</v>
      </c>
      <c r="I86" s="33">
        <f t="shared" si="166"/>
        <v>0.51087466265692527</v>
      </c>
      <c r="J86" s="33">
        <f t="shared" si="166"/>
        <v>0.59602043976641272</v>
      </c>
      <c r="K86" s="33">
        <f t="shared" si="166"/>
        <v>0.59602043976641272</v>
      </c>
      <c r="L86" s="33">
        <f t="shared" si="166"/>
        <v>0.51087466265692527</v>
      </c>
      <c r="M86" s="9">
        <f t="shared" si="140"/>
        <v>56364.118451764174</v>
      </c>
      <c r="N86" s="6">
        <f t="shared" si="134"/>
        <v>56364.118451764174</v>
      </c>
      <c r="O86" s="6">
        <f t="shared" si="135"/>
        <v>52998.182432098642</v>
      </c>
      <c r="P86" s="6">
        <f t="shared" si="136"/>
        <v>52998.182432098642</v>
      </c>
      <c r="Q86" s="6">
        <f t="shared" si="137"/>
        <v>65006.159881336629</v>
      </c>
    </row>
    <row r="87" spans="1:17" ht="13" thickBot="1" x14ac:dyDescent="0.35">
      <c r="A87" s="18"/>
      <c r="B87" s="19" t="s">
        <v>12</v>
      </c>
      <c r="C87" s="15">
        <f t="shared" ref="C87:G87" si="167">C82+1000</f>
        <v>27211</v>
      </c>
      <c r="D87" s="15">
        <f t="shared" si="167"/>
        <v>27211</v>
      </c>
      <c r="E87" s="15">
        <f t="shared" si="167"/>
        <v>30530</v>
      </c>
      <c r="F87" s="15">
        <f t="shared" si="167"/>
        <v>29208</v>
      </c>
      <c r="G87" s="15">
        <f t="shared" si="167"/>
        <v>33970</v>
      </c>
      <c r="H87" s="33">
        <f t="shared" ref="H87:L87" si="168">H82 * 0.99</f>
        <v>0.6811662168759004</v>
      </c>
      <c r="I87" s="33">
        <f t="shared" si="168"/>
        <v>0.76631199398538807</v>
      </c>
      <c r="J87" s="33">
        <f t="shared" si="168"/>
        <v>0.85145777109487542</v>
      </c>
      <c r="K87" s="33">
        <f t="shared" si="168"/>
        <v>0.76631199398538807</v>
      </c>
      <c r="L87" s="33">
        <f t="shared" si="168"/>
        <v>0.51087466265692527</v>
      </c>
      <c r="M87" s="22">
        <f t="shared" si="140"/>
        <v>39947.665233311898</v>
      </c>
      <c r="N87" s="20">
        <f t="shared" si="134"/>
        <v>35509.035762943902</v>
      </c>
      <c r="O87" s="20">
        <f t="shared" si="135"/>
        <v>35856.152866796881</v>
      </c>
      <c r="P87" s="20">
        <f t="shared" si="136"/>
        <v>38115.023944877641</v>
      </c>
      <c r="Q87" s="21">
        <f t="shared" si="137"/>
        <v>66493.804612135064</v>
      </c>
    </row>
    <row r="88" spans="1:17" ht="13" thickBot="1" x14ac:dyDescent="0.35">
      <c r="A88" s="1" t="s">
        <v>30</v>
      </c>
      <c r="B88" s="14" t="s">
        <v>8</v>
      </c>
      <c r="C88" s="15">
        <f t="shared" ref="C88:G88" si="169">C83+1000</f>
        <v>30617</v>
      </c>
      <c r="D88" s="15">
        <f t="shared" si="169"/>
        <v>30223</v>
      </c>
      <c r="E88" s="15">
        <f t="shared" si="169"/>
        <v>34417</v>
      </c>
      <c r="F88" s="15">
        <f t="shared" si="169"/>
        <v>33914</v>
      </c>
      <c r="G88" s="15">
        <f t="shared" si="169"/>
        <v>38034</v>
      </c>
      <c r="H88" s="33">
        <f t="shared" ref="H88:L88" si="170">H83 * 0.99</f>
        <v>0.84294319338392665</v>
      </c>
      <c r="I88" s="33">
        <f t="shared" si="170"/>
        <v>0.84294319338392665</v>
      </c>
      <c r="J88" s="33">
        <f t="shared" si="170"/>
        <v>0.84294319338392665</v>
      </c>
      <c r="K88" s="33">
        <f t="shared" si="170"/>
        <v>0.84294319338392665</v>
      </c>
      <c r="L88" s="33">
        <f t="shared" si="170"/>
        <v>0.84294319338392665</v>
      </c>
      <c r="M88" s="16">
        <f t="shared" si="140"/>
        <v>36321.546030985257</v>
      </c>
      <c r="N88" s="15">
        <f t="shared" si="134"/>
        <v>35854.136123541415</v>
      </c>
      <c r="O88" s="15">
        <f t="shared" si="135"/>
        <v>40829.560366738078</v>
      </c>
      <c r="P88" s="15">
        <f t="shared" si="136"/>
        <v>40232.841627031848</v>
      </c>
      <c r="Q88" s="15">
        <f t="shared" si="137"/>
        <v>45120.478222637532</v>
      </c>
    </row>
    <row r="89" spans="1:17" ht="13" thickBot="1" x14ac:dyDescent="0.35">
      <c r="B89" s="5" t="s">
        <v>9</v>
      </c>
      <c r="C89" s="15">
        <f t="shared" ref="C89:G89" si="171">C84+1000</f>
        <v>30480</v>
      </c>
      <c r="D89" s="15">
        <f t="shared" si="171"/>
        <v>30280</v>
      </c>
      <c r="E89" s="15">
        <f t="shared" si="171"/>
        <v>35190</v>
      </c>
      <c r="F89" s="15">
        <f t="shared" si="171"/>
        <v>34920</v>
      </c>
      <c r="G89" s="15">
        <f t="shared" si="171"/>
        <v>37130</v>
      </c>
      <c r="H89" s="33">
        <f t="shared" ref="H89:L89" si="172">H84 * 0.99</f>
        <v>0.75864887404553416</v>
      </c>
      <c r="I89" s="33">
        <f t="shared" si="172"/>
        <v>0.75864887404553416</v>
      </c>
      <c r="J89" s="33">
        <f t="shared" si="172"/>
        <v>0.75864887404553416</v>
      </c>
      <c r="K89" s="33">
        <f t="shared" si="172"/>
        <v>0.75864887404553416</v>
      </c>
      <c r="L89" s="33">
        <f t="shared" si="172"/>
        <v>0.67435455470714134</v>
      </c>
      <c r="M89" s="9">
        <f t="shared" si="140"/>
        <v>40176.689167761935</v>
      </c>
      <c r="N89" s="6">
        <f t="shared" si="134"/>
        <v>39913.062598419667</v>
      </c>
      <c r="O89" s="6">
        <f t="shared" si="135"/>
        <v>46385.094875772389</v>
      </c>
      <c r="P89" s="6">
        <f t="shared" si="136"/>
        <v>46029.199007160329</v>
      </c>
      <c r="Q89" s="6">
        <f t="shared" si="137"/>
        <v>55060.056673191473</v>
      </c>
    </row>
    <row r="90" spans="1:17" ht="13" thickBot="1" x14ac:dyDescent="0.35">
      <c r="B90" s="5" t="s">
        <v>10</v>
      </c>
      <c r="C90" s="15">
        <f t="shared" ref="C90:G90" si="173">C85+1000</f>
        <v>30654</v>
      </c>
      <c r="D90" s="15">
        <f t="shared" si="173"/>
        <v>30459</v>
      </c>
      <c r="E90" s="15">
        <f t="shared" si="173"/>
        <v>34751</v>
      </c>
      <c r="F90" s="15">
        <f t="shared" si="173"/>
        <v>34497</v>
      </c>
      <c r="G90" s="15">
        <f t="shared" si="173"/>
        <v>35706</v>
      </c>
      <c r="H90" s="33">
        <f t="shared" ref="H90:L90" si="174">H85 * 0.99</f>
        <v>0.84294319338392665</v>
      </c>
      <c r="I90" s="33">
        <f t="shared" si="174"/>
        <v>0.84294319338392665</v>
      </c>
      <c r="J90" s="33">
        <f t="shared" si="174"/>
        <v>0.84294319338392665</v>
      </c>
      <c r="K90" s="33">
        <f t="shared" si="174"/>
        <v>0.84294319338392665</v>
      </c>
      <c r="L90" s="33">
        <f t="shared" si="174"/>
        <v>0.75864887404553416</v>
      </c>
      <c r="M90" s="9">
        <f t="shared" si="140"/>
        <v>36365.439854780743</v>
      </c>
      <c r="N90" s="6">
        <f t="shared" si="134"/>
        <v>36134.107540182908</v>
      </c>
      <c r="O90" s="6">
        <f t="shared" si="135"/>
        <v>41225.791100459508</v>
      </c>
      <c r="P90" s="6">
        <f t="shared" si="136"/>
        <v>40924.465931701292</v>
      </c>
      <c r="Q90" s="6">
        <f t="shared" si="137"/>
        <v>47065.251424675444</v>
      </c>
    </row>
    <row r="91" spans="1:17" ht="13" thickBot="1" x14ac:dyDescent="0.35">
      <c r="B91" s="5" t="s">
        <v>11</v>
      </c>
      <c r="C91" s="15">
        <f t="shared" ref="C91:G91" si="175">C86+1000</f>
        <v>29795</v>
      </c>
      <c r="D91" s="15">
        <f t="shared" si="175"/>
        <v>29795</v>
      </c>
      <c r="E91" s="15">
        <f t="shared" si="175"/>
        <v>32588</v>
      </c>
      <c r="F91" s="15">
        <f t="shared" si="175"/>
        <v>32588</v>
      </c>
      <c r="G91" s="15">
        <f t="shared" si="175"/>
        <v>34210</v>
      </c>
      <c r="H91" s="33">
        <f t="shared" ref="H91:L91" si="176">H86 * 0.99</f>
        <v>0.50576591603035603</v>
      </c>
      <c r="I91" s="33">
        <f t="shared" si="176"/>
        <v>0.50576591603035603</v>
      </c>
      <c r="J91" s="33">
        <f t="shared" si="176"/>
        <v>0.59006023536874863</v>
      </c>
      <c r="K91" s="33">
        <f t="shared" si="176"/>
        <v>0.59006023536874863</v>
      </c>
      <c r="L91" s="33">
        <f t="shared" si="176"/>
        <v>0.50576591603035603</v>
      </c>
      <c r="M91" s="9">
        <f t="shared" si="140"/>
        <v>58910.652251647</v>
      </c>
      <c r="N91" s="6">
        <f t="shared" si="134"/>
        <v>58910.652251647</v>
      </c>
      <c r="O91" s="6">
        <f t="shared" si="135"/>
        <v>55228.259839666462</v>
      </c>
      <c r="P91" s="6">
        <f t="shared" si="136"/>
        <v>55228.259839666462</v>
      </c>
      <c r="Q91" s="6">
        <f t="shared" si="137"/>
        <v>67639.987028992909</v>
      </c>
    </row>
    <row r="92" spans="1:17" ht="13" thickBot="1" x14ac:dyDescent="0.35">
      <c r="A92" s="18"/>
      <c r="B92" s="19" t="s">
        <v>12</v>
      </c>
      <c r="C92" s="15">
        <f t="shared" ref="C92:G92" si="177">C87+1000</f>
        <v>28211</v>
      </c>
      <c r="D92" s="15">
        <f t="shared" si="177"/>
        <v>28211</v>
      </c>
      <c r="E92" s="15">
        <f t="shared" si="177"/>
        <v>31530</v>
      </c>
      <c r="F92" s="15">
        <f t="shared" si="177"/>
        <v>30208</v>
      </c>
      <c r="G92" s="15">
        <f t="shared" si="177"/>
        <v>34970</v>
      </c>
      <c r="H92" s="33">
        <f t="shared" ref="H92:L92" si="178">H87 * 0.99</f>
        <v>0.67435455470714134</v>
      </c>
      <c r="I92" s="33">
        <f t="shared" si="178"/>
        <v>0.75864887404553416</v>
      </c>
      <c r="J92" s="33">
        <f t="shared" si="178"/>
        <v>0.84294319338392665</v>
      </c>
      <c r="K92" s="33">
        <f t="shared" si="178"/>
        <v>0.75864887404553416</v>
      </c>
      <c r="L92" s="33">
        <f t="shared" si="178"/>
        <v>0.50576591603035603</v>
      </c>
      <c r="M92" s="22">
        <f t="shared" si="140"/>
        <v>41834.076455895629</v>
      </c>
      <c r="N92" s="20">
        <f t="shared" si="134"/>
        <v>37185.84573857388</v>
      </c>
      <c r="O92" s="20">
        <f t="shared" si="135"/>
        <v>37404.655791127974</v>
      </c>
      <c r="P92" s="20">
        <f t="shared" si="136"/>
        <v>39818.157033456446</v>
      </c>
      <c r="Q92" s="21">
        <f t="shared" si="137"/>
        <v>69142.658474243857</v>
      </c>
    </row>
    <row r="93" spans="1:17" ht="13" thickBot="1" x14ac:dyDescent="0.35">
      <c r="A93" s="1" t="s">
        <v>31</v>
      </c>
      <c r="B93" s="14" t="s">
        <v>8</v>
      </c>
      <c r="C93" s="15">
        <f t="shared" ref="C93:G93" si="179">C88+1000</f>
        <v>31617</v>
      </c>
      <c r="D93" s="15">
        <f t="shared" si="179"/>
        <v>31223</v>
      </c>
      <c r="E93" s="15">
        <f t="shared" si="179"/>
        <v>35417</v>
      </c>
      <c r="F93" s="15">
        <f t="shared" si="179"/>
        <v>34914</v>
      </c>
      <c r="G93" s="15">
        <f t="shared" si="179"/>
        <v>39034</v>
      </c>
      <c r="H93" s="33">
        <f t="shared" ref="H93:L93" si="180">H88 * 0.99</f>
        <v>0.83451376145008738</v>
      </c>
      <c r="I93" s="33">
        <f t="shared" si="180"/>
        <v>0.83451376145008738</v>
      </c>
      <c r="J93" s="33">
        <f t="shared" si="180"/>
        <v>0.83451376145008738</v>
      </c>
      <c r="K93" s="33">
        <f t="shared" si="180"/>
        <v>0.83451376145008738</v>
      </c>
      <c r="L93" s="33">
        <f t="shared" si="180"/>
        <v>0.83451376145008738</v>
      </c>
      <c r="M93" s="16">
        <f t="shared" si="140"/>
        <v>37886.732922247953</v>
      </c>
      <c r="N93" s="15">
        <f t="shared" si="134"/>
        <v>37414.601702607702</v>
      </c>
      <c r="O93" s="15">
        <f t="shared" si="135"/>
        <v>42440.282756341709</v>
      </c>
      <c r="P93" s="15">
        <f t="shared" si="136"/>
        <v>41837.536554618244</v>
      </c>
      <c r="Q93" s="15">
        <f t="shared" si="137"/>
        <v>46774.543216846207</v>
      </c>
    </row>
    <row r="94" spans="1:17" ht="13" thickBot="1" x14ac:dyDescent="0.35">
      <c r="B94" s="5" t="s">
        <v>9</v>
      </c>
      <c r="C94" s="15">
        <f t="shared" ref="C94:G94" si="181">C89+1000</f>
        <v>31480</v>
      </c>
      <c r="D94" s="15">
        <f t="shared" si="181"/>
        <v>31280</v>
      </c>
      <c r="E94" s="15">
        <f t="shared" si="181"/>
        <v>36190</v>
      </c>
      <c r="F94" s="15">
        <f t="shared" si="181"/>
        <v>35920</v>
      </c>
      <c r="G94" s="15">
        <f t="shared" si="181"/>
        <v>38130</v>
      </c>
      <c r="H94" s="33">
        <f t="shared" ref="H94:L94" si="182">H89 * 0.99</f>
        <v>0.75106238530507885</v>
      </c>
      <c r="I94" s="33">
        <f t="shared" si="182"/>
        <v>0.75106238530507885</v>
      </c>
      <c r="J94" s="33">
        <f t="shared" si="182"/>
        <v>0.75106238530507885</v>
      </c>
      <c r="K94" s="33">
        <f t="shared" si="182"/>
        <v>0.75106238530507885</v>
      </c>
      <c r="L94" s="33">
        <f t="shared" si="182"/>
        <v>0.66761100916006988</v>
      </c>
      <c r="M94" s="9">
        <f t="shared" si="140"/>
        <v>41913.961630781094</v>
      </c>
      <c r="N94" s="6">
        <f t="shared" si="134"/>
        <v>41647.672166798999</v>
      </c>
      <c r="O94" s="6">
        <f t="shared" si="135"/>
        <v>48185.07850755933</v>
      </c>
      <c r="P94" s="6">
        <f t="shared" si="136"/>
        <v>47825.587731183507</v>
      </c>
      <c r="Q94" s="6">
        <f t="shared" si="137"/>
        <v>57114.097096708829</v>
      </c>
    </row>
    <row r="95" spans="1:17" ht="13" thickBot="1" x14ac:dyDescent="0.35">
      <c r="B95" s="5" t="s">
        <v>10</v>
      </c>
      <c r="C95" s="15">
        <f t="shared" ref="C95:G95" si="183">C90+1000</f>
        <v>31654</v>
      </c>
      <c r="D95" s="15">
        <f t="shared" si="183"/>
        <v>31459</v>
      </c>
      <c r="E95" s="15">
        <f t="shared" si="183"/>
        <v>35751</v>
      </c>
      <c r="F95" s="15">
        <f t="shared" si="183"/>
        <v>35497</v>
      </c>
      <c r="G95" s="15">
        <f t="shared" si="183"/>
        <v>36706</v>
      </c>
      <c r="H95" s="33">
        <f t="shared" ref="H95:L95" si="184">H90 * 0.99</f>
        <v>0.83451376145008738</v>
      </c>
      <c r="I95" s="33">
        <f t="shared" si="184"/>
        <v>0.83451376145008738</v>
      </c>
      <c r="J95" s="33">
        <f t="shared" si="184"/>
        <v>0.83451376145008738</v>
      </c>
      <c r="K95" s="33">
        <f t="shared" si="184"/>
        <v>0.83451376145008738</v>
      </c>
      <c r="L95" s="33">
        <f t="shared" si="184"/>
        <v>0.75106238530507885</v>
      </c>
      <c r="M95" s="9">
        <f t="shared" si="140"/>
        <v>37931.070118000971</v>
      </c>
      <c r="N95" s="6">
        <f t="shared" si="134"/>
        <v>37697.401113356689</v>
      </c>
      <c r="O95" s="6">
        <f t="shared" si="135"/>
        <v>42840.515820706787</v>
      </c>
      <c r="P95" s="6">
        <f t="shared" si="136"/>
        <v>42536.146963375257</v>
      </c>
      <c r="Q95" s="6">
        <f t="shared" si="137"/>
        <v>48872.105324633128</v>
      </c>
    </row>
    <row r="96" spans="1:17" ht="13" thickBot="1" x14ac:dyDescent="0.35">
      <c r="B96" s="5" t="s">
        <v>11</v>
      </c>
      <c r="C96" s="15">
        <f t="shared" ref="C96:G96" si="185">C91+1000</f>
        <v>30795</v>
      </c>
      <c r="D96" s="15">
        <f t="shared" si="185"/>
        <v>30795</v>
      </c>
      <c r="E96" s="15">
        <f t="shared" si="185"/>
        <v>33588</v>
      </c>
      <c r="F96" s="15">
        <f t="shared" si="185"/>
        <v>33588</v>
      </c>
      <c r="G96" s="15">
        <f t="shared" si="185"/>
        <v>35210</v>
      </c>
      <c r="H96" s="33">
        <f t="shared" ref="H96:L96" si="186">H91 * 0.99</f>
        <v>0.50070825687005249</v>
      </c>
      <c r="I96" s="33">
        <f t="shared" si="186"/>
        <v>0.50070825687005249</v>
      </c>
      <c r="J96" s="33">
        <f t="shared" si="186"/>
        <v>0.58415963301506113</v>
      </c>
      <c r="K96" s="33">
        <f t="shared" si="186"/>
        <v>0.58415963301506113</v>
      </c>
      <c r="L96" s="33">
        <f t="shared" si="186"/>
        <v>0.50070825687005249</v>
      </c>
      <c r="M96" s="9">
        <f t="shared" si="140"/>
        <v>61502.880324963655</v>
      </c>
      <c r="N96" s="6">
        <f t="shared" si="134"/>
        <v>61502.880324963655</v>
      </c>
      <c r="O96" s="6">
        <f t="shared" si="135"/>
        <v>57497.981890053015</v>
      </c>
      <c r="P96" s="6">
        <f t="shared" si="136"/>
        <v>57497.981890053015</v>
      </c>
      <c r="Q96" s="6">
        <f t="shared" si="137"/>
        <v>70320.390201070637</v>
      </c>
    </row>
    <row r="97" spans="1:17" ht="13" thickBot="1" x14ac:dyDescent="0.35">
      <c r="A97" s="18"/>
      <c r="B97" s="19" t="s">
        <v>12</v>
      </c>
      <c r="C97" s="15">
        <f t="shared" ref="C97:G97" si="187">C92+1000</f>
        <v>29211</v>
      </c>
      <c r="D97" s="15">
        <f t="shared" si="187"/>
        <v>29211</v>
      </c>
      <c r="E97" s="15">
        <f t="shared" si="187"/>
        <v>32530</v>
      </c>
      <c r="F97" s="15">
        <f t="shared" si="187"/>
        <v>31208</v>
      </c>
      <c r="G97" s="15">
        <f t="shared" si="187"/>
        <v>35970</v>
      </c>
      <c r="H97" s="33">
        <f t="shared" ref="H97:L97" si="188">H92 * 0.99</f>
        <v>0.66761100916006988</v>
      </c>
      <c r="I97" s="33">
        <f t="shared" si="188"/>
        <v>0.75106238530507885</v>
      </c>
      <c r="J97" s="33">
        <f t="shared" si="188"/>
        <v>0.83451376145008738</v>
      </c>
      <c r="K97" s="33">
        <f t="shared" si="188"/>
        <v>0.75106238530507885</v>
      </c>
      <c r="L97" s="33">
        <f t="shared" si="188"/>
        <v>0.50070825687005249</v>
      </c>
      <c r="M97" s="22">
        <f t="shared" si="140"/>
        <v>43754.521119642319</v>
      </c>
      <c r="N97" s="20">
        <f t="shared" si="134"/>
        <v>38892.907661904275</v>
      </c>
      <c r="O97" s="20">
        <f t="shared" si="135"/>
        <v>38980.783185018372</v>
      </c>
      <c r="P97" s="20">
        <f t="shared" si="136"/>
        <v>41551.807959765451</v>
      </c>
      <c r="Q97" s="21">
        <f t="shared" si="137"/>
        <v>71838.240145768563</v>
      </c>
    </row>
    <row r="98" spans="1:17" ht="13" thickBot="1" x14ac:dyDescent="0.35">
      <c r="A98" s="1" t="s">
        <v>32</v>
      </c>
      <c r="B98" s="14" t="s">
        <v>8</v>
      </c>
      <c r="C98" s="15">
        <f t="shared" ref="C98:G98" si="189">C93+1000</f>
        <v>32617</v>
      </c>
      <c r="D98" s="15">
        <f t="shared" si="189"/>
        <v>32223</v>
      </c>
      <c r="E98" s="15">
        <f t="shared" si="189"/>
        <v>36417</v>
      </c>
      <c r="F98" s="15">
        <f t="shared" si="189"/>
        <v>35914</v>
      </c>
      <c r="G98" s="15">
        <f t="shared" si="189"/>
        <v>40034</v>
      </c>
      <c r="H98" s="33">
        <f t="shared" ref="H98:L98" si="190">H93 * 0.99</f>
        <v>0.82616862383558654</v>
      </c>
      <c r="I98" s="33">
        <f t="shared" si="190"/>
        <v>0.82616862383558654</v>
      </c>
      <c r="J98" s="33">
        <f t="shared" si="190"/>
        <v>0.82616862383558654</v>
      </c>
      <c r="K98" s="33">
        <f t="shared" si="190"/>
        <v>0.82616862383558654</v>
      </c>
      <c r="L98" s="33">
        <f t="shared" si="190"/>
        <v>0.82616862383558654</v>
      </c>
      <c r="M98" s="16">
        <f t="shared" si="140"/>
        <v>39479.8338486539</v>
      </c>
      <c r="N98" s="15">
        <f t="shared" si="134"/>
        <v>39002.933626795064</v>
      </c>
      <c r="O98" s="15">
        <f t="shared" si="135"/>
        <v>44079.379135617288</v>
      </c>
      <c r="P98" s="15">
        <f t="shared" si="136"/>
        <v>43470.544588421872</v>
      </c>
      <c r="Q98" s="15">
        <f t="shared" si="137"/>
        <v>48457.420004813757</v>
      </c>
    </row>
    <row r="99" spans="1:17" ht="13" thickBot="1" x14ac:dyDescent="0.35">
      <c r="B99" s="5" t="s">
        <v>9</v>
      </c>
      <c r="C99" s="15">
        <f t="shared" ref="C99:G99" si="191">C94+1000</f>
        <v>32480</v>
      </c>
      <c r="D99" s="15">
        <f t="shared" si="191"/>
        <v>32280</v>
      </c>
      <c r="E99" s="15">
        <f t="shared" si="191"/>
        <v>37190</v>
      </c>
      <c r="F99" s="15">
        <f t="shared" si="191"/>
        <v>36920</v>
      </c>
      <c r="G99" s="15">
        <f t="shared" si="191"/>
        <v>39130</v>
      </c>
      <c r="H99" s="33">
        <f t="shared" ref="H99:L99" si="192">H94 * 0.99</f>
        <v>0.74355176145202806</v>
      </c>
      <c r="I99" s="33">
        <f t="shared" si="192"/>
        <v>0.74355176145202806</v>
      </c>
      <c r="J99" s="33">
        <f t="shared" si="192"/>
        <v>0.74355176145202806</v>
      </c>
      <c r="K99" s="33">
        <f t="shared" si="192"/>
        <v>0.74355176145202806</v>
      </c>
      <c r="L99" s="33">
        <f t="shared" si="192"/>
        <v>0.66093489906846914</v>
      </c>
      <c r="M99" s="9">
        <f t="shared" si="140"/>
        <v>43682.231263324793</v>
      </c>
      <c r="N99" s="6">
        <f t="shared" si="134"/>
        <v>43413.252006777228</v>
      </c>
      <c r="O99" s="6">
        <f t="shared" si="135"/>
        <v>50016.692755019983</v>
      </c>
      <c r="P99" s="6">
        <f t="shared" si="136"/>
        <v>49653.570758680769</v>
      </c>
      <c r="Q99" s="6">
        <f t="shared" si="137"/>
        <v>59204.015486472825</v>
      </c>
    </row>
    <row r="100" spans="1:17" ht="13" thickBot="1" x14ac:dyDescent="0.35">
      <c r="B100" s="5" t="s">
        <v>10</v>
      </c>
      <c r="C100" s="15">
        <f t="shared" ref="C100:G100" si="193">C95+1000</f>
        <v>32654</v>
      </c>
      <c r="D100" s="15">
        <f t="shared" si="193"/>
        <v>32459</v>
      </c>
      <c r="E100" s="15">
        <f t="shared" si="193"/>
        <v>36751</v>
      </c>
      <c r="F100" s="15">
        <f t="shared" si="193"/>
        <v>36497</v>
      </c>
      <c r="G100" s="15">
        <f t="shared" si="193"/>
        <v>37706</v>
      </c>
      <c r="H100" s="33">
        <f t="shared" ref="H100:L100" si="194">H95 * 0.99</f>
        <v>0.82616862383558654</v>
      </c>
      <c r="I100" s="33">
        <f t="shared" si="194"/>
        <v>0.82616862383558654</v>
      </c>
      <c r="J100" s="33">
        <f t="shared" si="194"/>
        <v>0.82616862383558654</v>
      </c>
      <c r="K100" s="33">
        <f t="shared" si="194"/>
        <v>0.82616862383558654</v>
      </c>
      <c r="L100" s="33">
        <f t="shared" si="194"/>
        <v>0.74355176145202806</v>
      </c>
      <c r="M100" s="9">
        <f t="shared" si="140"/>
        <v>39524.618894869069</v>
      </c>
      <c r="N100" s="6">
        <f t="shared" si="134"/>
        <v>39288.589597248581</v>
      </c>
      <c r="O100" s="6">
        <f t="shared" si="135"/>
        <v>44483.654958208281</v>
      </c>
      <c r="P100" s="6">
        <f t="shared" si="136"/>
        <v>44176.211667974414</v>
      </c>
      <c r="Q100" s="6">
        <f t="shared" si="137"/>
        <v>50710.659236912703</v>
      </c>
    </row>
    <row r="101" spans="1:17" ht="13" thickBot="1" x14ac:dyDescent="0.35">
      <c r="B101" s="5" t="s">
        <v>11</v>
      </c>
      <c r="C101" s="15">
        <f t="shared" ref="C101:G101" si="195">C96+1000</f>
        <v>31795</v>
      </c>
      <c r="D101" s="15">
        <f t="shared" si="195"/>
        <v>31795</v>
      </c>
      <c r="E101" s="15">
        <f t="shared" si="195"/>
        <v>34588</v>
      </c>
      <c r="F101" s="15">
        <f t="shared" si="195"/>
        <v>34588</v>
      </c>
      <c r="G101" s="15">
        <f t="shared" si="195"/>
        <v>36210</v>
      </c>
      <c r="H101" s="33">
        <f t="shared" ref="H101:L101" si="196">H96 * 0.99</f>
        <v>0.49570117430135197</v>
      </c>
      <c r="I101" s="33">
        <f t="shared" si="196"/>
        <v>0.49570117430135197</v>
      </c>
      <c r="J101" s="33">
        <f t="shared" si="196"/>
        <v>0.57831803668491055</v>
      </c>
      <c r="K101" s="33">
        <f t="shared" si="196"/>
        <v>0.57831803668491055</v>
      </c>
      <c r="L101" s="33">
        <f t="shared" si="196"/>
        <v>0.49570117430135197</v>
      </c>
      <c r="M101" s="9">
        <f t="shared" si="140"/>
        <v>64141.465964474082</v>
      </c>
      <c r="N101" s="6">
        <f t="shared" si="134"/>
        <v>64141.465964474082</v>
      </c>
      <c r="O101" s="6">
        <f t="shared" si="135"/>
        <v>59807.921949432202</v>
      </c>
      <c r="P101" s="6">
        <f t="shared" si="136"/>
        <v>59807.921949432202</v>
      </c>
      <c r="Q101" s="6">
        <f t="shared" si="137"/>
        <v>73048.041596905372</v>
      </c>
    </row>
    <row r="102" spans="1:17" ht="13" thickBot="1" x14ac:dyDescent="0.35">
      <c r="A102" s="18"/>
      <c r="B102" s="19" t="s">
        <v>12</v>
      </c>
      <c r="C102" s="15">
        <f t="shared" ref="C102:G102" si="197">C97+1000</f>
        <v>30211</v>
      </c>
      <c r="D102" s="15">
        <f t="shared" si="197"/>
        <v>30211</v>
      </c>
      <c r="E102" s="15">
        <f t="shared" si="197"/>
        <v>33530</v>
      </c>
      <c r="F102" s="15">
        <f t="shared" si="197"/>
        <v>32208</v>
      </c>
      <c r="G102" s="15">
        <f t="shared" si="197"/>
        <v>36970</v>
      </c>
      <c r="H102" s="33">
        <f t="shared" ref="H102:L102" si="198">H97 * 0.99</f>
        <v>0.66093489906846914</v>
      </c>
      <c r="I102" s="33">
        <f t="shared" si="198"/>
        <v>0.74355176145202806</v>
      </c>
      <c r="J102" s="33">
        <f t="shared" si="198"/>
        <v>0.82616862383558654</v>
      </c>
      <c r="K102" s="33">
        <f t="shared" si="198"/>
        <v>0.74355176145202806</v>
      </c>
      <c r="L102" s="33">
        <f t="shared" si="198"/>
        <v>0.49570117430135197</v>
      </c>
      <c r="M102" s="22">
        <f t="shared" si="140"/>
        <v>45709.494297516751</v>
      </c>
      <c r="N102" s="20">
        <f t="shared" si="134"/>
        <v>40630.661597792656</v>
      </c>
      <c r="O102" s="20">
        <f t="shared" si="135"/>
        <v>40584.935124179574</v>
      </c>
      <c r="P102" s="20">
        <f t="shared" si="136"/>
        <v>43316.419474420101</v>
      </c>
      <c r="Q102" s="21">
        <f t="shared" si="137"/>
        <v>74581.223359226511</v>
      </c>
    </row>
    <row r="103" spans="1:17" ht="13" thickBot="1" x14ac:dyDescent="0.35">
      <c r="A103" s="1" t="s">
        <v>33</v>
      </c>
      <c r="B103" s="14" t="s">
        <v>8</v>
      </c>
      <c r="C103" s="15">
        <f t="shared" ref="C103:G103" si="199">C98+1000</f>
        <v>33617</v>
      </c>
      <c r="D103" s="15">
        <f t="shared" si="199"/>
        <v>33223</v>
      </c>
      <c r="E103" s="15">
        <f t="shared" si="199"/>
        <v>37417</v>
      </c>
      <c r="F103" s="15">
        <f t="shared" si="199"/>
        <v>36914</v>
      </c>
      <c r="G103" s="15">
        <f t="shared" si="199"/>
        <v>41034</v>
      </c>
      <c r="H103" s="33">
        <f t="shared" ref="H103:L103" si="200">H98 * 0.99</f>
        <v>0.81790693759723065</v>
      </c>
      <c r="I103" s="33">
        <f t="shared" si="200"/>
        <v>0.81790693759723065</v>
      </c>
      <c r="J103" s="33">
        <f t="shared" si="200"/>
        <v>0.81790693759723065</v>
      </c>
      <c r="K103" s="33">
        <f t="shared" si="200"/>
        <v>0.81790693759723065</v>
      </c>
      <c r="L103" s="33">
        <f t="shared" si="200"/>
        <v>0.81790693759723065</v>
      </c>
      <c r="M103" s="16">
        <f t="shared" si="140"/>
        <v>41101.253033452471</v>
      </c>
      <c r="N103" s="15">
        <f t="shared" si="134"/>
        <v>40619.535637635468</v>
      </c>
      <c r="O103" s="15">
        <f t="shared" si="135"/>
        <v>45747.258373819532</v>
      </c>
      <c r="P103" s="15">
        <f t="shared" si="136"/>
        <v>45132.27398271305</v>
      </c>
      <c r="Q103" s="15">
        <f t="shared" si="137"/>
        <v>50169.521878058389</v>
      </c>
    </row>
    <row r="104" spans="1:17" ht="13" thickBot="1" x14ac:dyDescent="0.35">
      <c r="B104" s="5" t="s">
        <v>9</v>
      </c>
      <c r="C104" s="15">
        <f t="shared" ref="C104:G104" si="201">C99+1000</f>
        <v>33480</v>
      </c>
      <c r="D104" s="15">
        <f t="shared" si="201"/>
        <v>33280</v>
      </c>
      <c r="E104" s="15">
        <f t="shared" si="201"/>
        <v>38190</v>
      </c>
      <c r="F104" s="15">
        <f t="shared" si="201"/>
        <v>37920</v>
      </c>
      <c r="G104" s="15">
        <f t="shared" si="201"/>
        <v>40130</v>
      </c>
      <c r="H104" s="33">
        <f t="shared" ref="H104:L104" si="202">H99 * 0.99</f>
        <v>0.73611624383750773</v>
      </c>
      <c r="I104" s="33">
        <f t="shared" si="202"/>
        <v>0.73611624383750773</v>
      </c>
      <c r="J104" s="33">
        <f t="shared" si="202"/>
        <v>0.73611624383750773</v>
      </c>
      <c r="K104" s="33">
        <f t="shared" si="202"/>
        <v>0.73611624383750773</v>
      </c>
      <c r="L104" s="33">
        <f t="shared" si="202"/>
        <v>0.65432555007778448</v>
      </c>
      <c r="M104" s="9">
        <f t="shared" si="140"/>
        <v>45481.947016224876</v>
      </c>
      <c r="N104" s="6">
        <f t="shared" si="134"/>
        <v>45210.250797489964</v>
      </c>
      <c r="O104" s="6">
        <f t="shared" si="135"/>
        <v>51880.392967432141</v>
      </c>
      <c r="P104" s="6">
        <f t="shared" si="136"/>
        <v>51513.603072140009</v>
      </c>
      <c r="Q104" s="6">
        <f t="shared" si="137"/>
        <v>61330.327075305941</v>
      </c>
    </row>
    <row r="105" spans="1:17" ht="13" thickBot="1" x14ac:dyDescent="0.35">
      <c r="B105" s="5" t="s">
        <v>10</v>
      </c>
      <c r="C105" s="15">
        <f t="shared" ref="C105:G105" si="203">C100+1000</f>
        <v>33654</v>
      </c>
      <c r="D105" s="15">
        <f t="shared" si="203"/>
        <v>33459</v>
      </c>
      <c r="E105" s="15">
        <f t="shared" si="203"/>
        <v>37751</v>
      </c>
      <c r="F105" s="15">
        <f t="shared" si="203"/>
        <v>37497</v>
      </c>
      <c r="G105" s="15">
        <f t="shared" si="203"/>
        <v>38706</v>
      </c>
      <c r="H105" s="33">
        <f t="shared" ref="H105:L105" si="204">H100 * 0.99</f>
        <v>0.81790693759723065</v>
      </c>
      <c r="I105" s="33">
        <f t="shared" si="204"/>
        <v>0.81790693759723065</v>
      </c>
      <c r="J105" s="33">
        <f t="shared" si="204"/>
        <v>0.81790693759723065</v>
      </c>
      <c r="K105" s="33">
        <f t="shared" si="204"/>
        <v>0.81790693759723065</v>
      </c>
      <c r="L105" s="33">
        <f t="shared" si="204"/>
        <v>0.73611624383750773</v>
      </c>
      <c r="M105" s="9">
        <f t="shared" si="140"/>
        <v>41146.49045387184</v>
      </c>
      <c r="N105" s="6">
        <f t="shared" si="134"/>
        <v>40908.077021931946</v>
      </c>
      <c r="O105" s="6">
        <f t="shared" si="135"/>
        <v>46155.617790578108</v>
      </c>
      <c r="P105" s="6">
        <f t="shared" si="136"/>
        <v>45845.069012564105</v>
      </c>
      <c r="Q105" s="6">
        <f t="shared" si="137"/>
        <v>52581.369211768222</v>
      </c>
    </row>
    <row r="106" spans="1:17" ht="13" thickBot="1" x14ac:dyDescent="0.35">
      <c r="B106" s="5" t="s">
        <v>11</v>
      </c>
      <c r="C106" s="15">
        <f t="shared" ref="C106:G106" si="205">C101+1000</f>
        <v>32795</v>
      </c>
      <c r="D106" s="15">
        <f t="shared" si="205"/>
        <v>32795</v>
      </c>
      <c r="E106" s="15">
        <f t="shared" si="205"/>
        <v>35588</v>
      </c>
      <c r="F106" s="15">
        <f t="shared" si="205"/>
        <v>35588</v>
      </c>
      <c r="G106" s="15">
        <f t="shared" si="205"/>
        <v>37210</v>
      </c>
      <c r="H106" s="33">
        <f t="shared" ref="H106:L106" si="206">H101 * 0.99</f>
        <v>0.49074416255833841</v>
      </c>
      <c r="I106" s="33">
        <f t="shared" si="206"/>
        <v>0.49074416255833841</v>
      </c>
      <c r="J106" s="33">
        <f t="shared" si="206"/>
        <v>0.57253485631806145</v>
      </c>
      <c r="K106" s="33">
        <f t="shared" si="206"/>
        <v>0.57253485631806145</v>
      </c>
      <c r="L106" s="33">
        <f t="shared" si="206"/>
        <v>0.49074416255833841</v>
      </c>
      <c r="M106" s="9">
        <f t="shared" si="140"/>
        <v>66827.081200586705</v>
      </c>
      <c r="N106" s="6">
        <f t="shared" si="134"/>
        <v>66827.081200586705</v>
      </c>
      <c r="O106" s="6">
        <f t="shared" si="135"/>
        <v>62158.660922174015</v>
      </c>
      <c r="P106" s="6">
        <f t="shared" si="136"/>
        <v>62158.660922174015</v>
      </c>
      <c r="Q106" s="6">
        <f t="shared" si="137"/>
        <v>75823.622243446589</v>
      </c>
    </row>
    <row r="107" spans="1:17" ht="13" thickBot="1" x14ac:dyDescent="0.35">
      <c r="A107" s="18"/>
      <c r="B107" s="19" t="s">
        <v>12</v>
      </c>
      <c r="C107" s="15">
        <f t="shared" ref="C107:G107" si="207">C102+1000</f>
        <v>31211</v>
      </c>
      <c r="D107" s="15">
        <f t="shared" si="207"/>
        <v>31211</v>
      </c>
      <c r="E107" s="15">
        <f t="shared" si="207"/>
        <v>34530</v>
      </c>
      <c r="F107" s="15">
        <f t="shared" si="207"/>
        <v>33208</v>
      </c>
      <c r="G107" s="15">
        <f t="shared" si="207"/>
        <v>37970</v>
      </c>
      <c r="H107" s="33">
        <f t="shared" ref="H107:L107" si="208">H102 * 0.99</f>
        <v>0.65432555007778448</v>
      </c>
      <c r="I107" s="33">
        <f t="shared" si="208"/>
        <v>0.73611624383750773</v>
      </c>
      <c r="J107" s="33">
        <f t="shared" si="208"/>
        <v>0.81790693759723065</v>
      </c>
      <c r="K107" s="33">
        <f t="shared" si="208"/>
        <v>0.73611624383750773</v>
      </c>
      <c r="L107" s="33">
        <f t="shared" si="208"/>
        <v>0.49074416255833841</v>
      </c>
      <c r="M107" s="22">
        <f t="shared" si="140"/>
        <v>47699.497591511928</v>
      </c>
      <c r="N107" s="20">
        <f t="shared" si="134"/>
        <v>42399.553414677262</v>
      </c>
      <c r="O107" s="20">
        <f t="shared" si="135"/>
        <v>42217.516948124874</v>
      </c>
      <c r="P107" s="20">
        <f t="shared" si="136"/>
        <v>45112.44015874539</v>
      </c>
      <c r="Q107" s="21">
        <f t="shared" si="137"/>
        <v>77372.290690235619</v>
      </c>
    </row>
    <row r="108" spans="1:17" ht="13" thickBot="1" x14ac:dyDescent="0.35">
      <c r="A108" s="1" t="s">
        <v>34</v>
      </c>
      <c r="B108" s="14" t="s">
        <v>8</v>
      </c>
      <c r="C108" s="15">
        <f t="shared" ref="C108:G108" si="209">C103+1000</f>
        <v>34617</v>
      </c>
      <c r="D108" s="15">
        <f t="shared" si="209"/>
        <v>34223</v>
      </c>
      <c r="E108" s="15">
        <f t="shared" si="209"/>
        <v>38417</v>
      </c>
      <c r="F108" s="15">
        <f t="shared" si="209"/>
        <v>37914</v>
      </c>
      <c r="G108" s="15">
        <f t="shared" si="209"/>
        <v>42034</v>
      </c>
      <c r="H108" s="33">
        <f t="shared" ref="H108:L108" si="210">H103 * 0.99</f>
        <v>0.80972786822125831</v>
      </c>
      <c r="I108" s="33">
        <f t="shared" si="210"/>
        <v>0.80972786822125831</v>
      </c>
      <c r="J108" s="33">
        <f t="shared" si="210"/>
        <v>0.80972786822125831</v>
      </c>
      <c r="K108" s="33">
        <f t="shared" si="210"/>
        <v>0.80972786822125831</v>
      </c>
      <c r="L108" s="33">
        <f t="shared" si="210"/>
        <v>0.80972786822125831</v>
      </c>
      <c r="M108" s="16">
        <f t="shared" si="140"/>
        <v>42751.400017938984</v>
      </c>
      <c r="N108" s="15">
        <f t="shared" si="134"/>
        <v>42264.816789841003</v>
      </c>
      <c r="O108" s="15">
        <f t="shared" si="135"/>
        <v>47444.334705178437</v>
      </c>
      <c r="P108" s="15">
        <f t="shared" si="136"/>
        <v>46823.138350525427</v>
      </c>
      <c r="Q108" s="15">
        <f t="shared" si="137"/>
        <v>51911.26753774294</v>
      </c>
    </row>
    <row r="109" spans="1:17" ht="13" thickBot="1" x14ac:dyDescent="0.35">
      <c r="B109" s="5" t="s">
        <v>9</v>
      </c>
      <c r="C109" s="15">
        <f t="shared" ref="C109:G109" si="211">C104+1000</f>
        <v>34480</v>
      </c>
      <c r="D109" s="15">
        <f t="shared" si="211"/>
        <v>34280</v>
      </c>
      <c r="E109" s="15">
        <f t="shared" si="211"/>
        <v>39190</v>
      </c>
      <c r="F109" s="15">
        <f t="shared" si="211"/>
        <v>38920</v>
      </c>
      <c r="G109" s="15">
        <f t="shared" si="211"/>
        <v>41130</v>
      </c>
      <c r="H109" s="33">
        <f t="shared" ref="H109:L109" si="212">H104 * 0.99</f>
        <v>0.7287550813991327</v>
      </c>
      <c r="I109" s="33">
        <f t="shared" si="212"/>
        <v>0.7287550813991327</v>
      </c>
      <c r="J109" s="33">
        <f t="shared" si="212"/>
        <v>0.7287550813991327</v>
      </c>
      <c r="K109" s="33">
        <f t="shared" si="212"/>
        <v>0.7287550813991327</v>
      </c>
      <c r="L109" s="33">
        <f t="shared" si="212"/>
        <v>0.64778229457700665</v>
      </c>
      <c r="M109" s="9">
        <f t="shared" si="140"/>
        <v>47313.563747373184</v>
      </c>
      <c r="N109" s="6">
        <f t="shared" si="134"/>
        <v>47039.123122388424</v>
      </c>
      <c r="O109" s="6">
        <f t="shared" si="135"/>
        <v>53776.640465764358</v>
      </c>
      <c r="P109" s="6">
        <f t="shared" si="136"/>
        <v>53406.145622034928</v>
      </c>
      <c r="Q109" s="6">
        <f t="shared" si="137"/>
        <v>63493.553844131151</v>
      </c>
    </row>
    <row r="110" spans="1:17" ht="13" thickBot="1" x14ac:dyDescent="0.35">
      <c r="B110" s="5" t="s">
        <v>10</v>
      </c>
      <c r="C110" s="15">
        <f t="shared" ref="C110:G110" si="213">C105+1000</f>
        <v>34654</v>
      </c>
      <c r="D110" s="15">
        <f t="shared" si="213"/>
        <v>34459</v>
      </c>
      <c r="E110" s="15">
        <f t="shared" si="213"/>
        <v>38751</v>
      </c>
      <c r="F110" s="15">
        <f t="shared" si="213"/>
        <v>38497</v>
      </c>
      <c r="G110" s="15">
        <f t="shared" si="213"/>
        <v>39706</v>
      </c>
      <c r="H110" s="33">
        <f t="shared" ref="H110:L110" si="214">H105 * 0.99</f>
        <v>0.80972786822125831</v>
      </c>
      <c r="I110" s="33">
        <f t="shared" si="214"/>
        <v>0.80972786822125831</v>
      </c>
      <c r="J110" s="33">
        <f t="shared" si="214"/>
        <v>0.80972786822125831</v>
      </c>
      <c r="K110" s="33">
        <f t="shared" si="214"/>
        <v>0.80972786822125831</v>
      </c>
      <c r="L110" s="33">
        <f t="shared" si="214"/>
        <v>0.7287550813991327</v>
      </c>
      <c r="M110" s="9">
        <f t="shared" si="140"/>
        <v>42797.094381998948</v>
      </c>
      <c r="N110" s="6">
        <f t="shared" si="134"/>
        <v>42556.27273357482</v>
      </c>
      <c r="O110" s="6">
        <f t="shared" si="135"/>
        <v>47856.818964530539</v>
      </c>
      <c r="P110" s="6">
        <f t="shared" si="136"/>
        <v>47543.133330172954</v>
      </c>
      <c r="Q110" s="6">
        <f t="shared" si="137"/>
        <v>54484.697278225052</v>
      </c>
    </row>
    <row r="111" spans="1:17" ht="13" thickBot="1" x14ac:dyDescent="0.35">
      <c r="B111" s="5" t="s">
        <v>11</v>
      </c>
      <c r="C111" s="15">
        <f t="shared" ref="C111:G111" si="215">C106+1000</f>
        <v>33795</v>
      </c>
      <c r="D111" s="15">
        <f t="shared" si="215"/>
        <v>33795</v>
      </c>
      <c r="E111" s="15">
        <f t="shared" si="215"/>
        <v>36588</v>
      </c>
      <c r="F111" s="15">
        <f t="shared" si="215"/>
        <v>36588</v>
      </c>
      <c r="G111" s="15">
        <f t="shared" si="215"/>
        <v>38210</v>
      </c>
      <c r="H111" s="33">
        <f t="shared" ref="H111:L111" si="216">H106 * 0.99</f>
        <v>0.48583672093275504</v>
      </c>
      <c r="I111" s="33">
        <f t="shared" si="216"/>
        <v>0.48583672093275504</v>
      </c>
      <c r="J111" s="33">
        <f t="shared" si="216"/>
        <v>0.56680950775488081</v>
      </c>
      <c r="K111" s="33">
        <f t="shared" si="216"/>
        <v>0.56680950775488081</v>
      </c>
      <c r="L111" s="33">
        <f t="shared" si="216"/>
        <v>0.48583672093275504</v>
      </c>
      <c r="M111" s="9">
        <f t="shared" si="140"/>
        <v>69560.406910200574</v>
      </c>
      <c r="N111" s="6">
        <f t="shared" si="134"/>
        <v>69560.406910200574</v>
      </c>
      <c r="O111" s="6">
        <f t="shared" si="135"/>
        <v>64550.787344630495</v>
      </c>
      <c r="P111" s="6">
        <f t="shared" si="136"/>
        <v>64550.787344630495</v>
      </c>
      <c r="Q111" s="6">
        <f t="shared" si="137"/>
        <v>78647.822105008541</v>
      </c>
    </row>
    <row r="112" spans="1:17" ht="13" thickBot="1" x14ac:dyDescent="0.35">
      <c r="A112" s="18"/>
      <c r="B112" s="19" t="s">
        <v>12</v>
      </c>
      <c r="C112" s="15">
        <f t="shared" ref="C112:G112" si="217">C107+1000</f>
        <v>32211</v>
      </c>
      <c r="D112" s="15">
        <f t="shared" si="217"/>
        <v>32211</v>
      </c>
      <c r="E112" s="15">
        <f t="shared" si="217"/>
        <v>35530</v>
      </c>
      <c r="F112" s="15">
        <f t="shared" si="217"/>
        <v>34208</v>
      </c>
      <c r="G112" s="15">
        <f t="shared" si="217"/>
        <v>38970</v>
      </c>
      <c r="H112" s="33">
        <f t="shared" ref="H112:L112" si="218">H107 * 0.99</f>
        <v>0.64778229457700665</v>
      </c>
      <c r="I112" s="33">
        <f t="shared" si="218"/>
        <v>0.7287550813991327</v>
      </c>
      <c r="J112" s="33">
        <f t="shared" si="218"/>
        <v>0.80972786822125831</v>
      </c>
      <c r="K112" s="33">
        <f t="shared" si="218"/>
        <v>0.7287550813991327</v>
      </c>
      <c r="L112" s="33">
        <f t="shared" si="218"/>
        <v>0.48583672093275504</v>
      </c>
      <c r="M112" s="22">
        <f t="shared" si="140"/>
        <v>49725.039214036195</v>
      </c>
      <c r="N112" s="20">
        <f t="shared" si="134"/>
        <v>44200.034856921047</v>
      </c>
      <c r="O112" s="20">
        <f t="shared" si="135"/>
        <v>43878.939325688887</v>
      </c>
      <c r="P112" s="20">
        <f t="shared" si="136"/>
        <v>46940.324497393907</v>
      </c>
      <c r="Q112" s="21">
        <f t="shared" si="137"/>
        <v>80212.133667421702</v>
      </c>
    </row>
    <row r="113" spans="1:17" ht="13" thickBot="1" x14ac:dyDescent="0.35">
      <c r="A113" s="1" t="s">
        <v>35</v>
      </c>
      <c r="B113" s="14" t="s">
        <v>8</v>
      </c>
      <c r="C113" s="15">
        <f t="shared" ref="C113:G113" si="219">C108+1000</f>
        <v>35617</v>
      </c>
      <c r="D113" s="15">
        <f t="shared" si="219"/>
        <v>35223</v>
      </c>
      <c r="E113" s="15">
        <f t="shared" si="219"/>
        <v>39417</v>
      </c>
      <c r="F113" s="15">
        <f t="shared" si="219"/>
        <v>38914</v>
      </c>
      <c r="G113" s="15">
        <f t="shared" si="219"/>
        <v>43034</v>
      </c>
      <c r="H113" s="33">
        <f t="shared" ref="H113:L113" si="220">H108 * 0.99</f>
        <v>0.80163058953904576</v>
      </c>
      <c r="I113" s="33">
        <f t="shared" si="220"/>
        <v>0.80163058953904576</v>
      </c>
      <c r="J113" s="33">
        <f t="shared" si="220"/>
        <v>0.80163058953904576</v>
      </c>
      <c r="K113" s="33">
        <f t="shared" si="220"/>
        <v>0.80163058953904576</v>
      </c>
      <c r="L113" s="33">
        <f t="shared" si="220"/>
        <v>0.80163058953904576</v>
      </c>
      <c r="M113" s="16">
        <f t="shared" si="140"/>
        <v>44430.689727646888</v>
      </c>
      <c r="N113" s="15">
        <f t="shared" si="134"/>
        <v>43939.191517446903</v>
      </c>
      <c r="O113" s="15">
        <f t="shared" si="135"/>
        <v>49171.027795565526</v>
      </c>
      <c r="P113" s="15">
        <f t="shared" si="136"/>
        <v>48543.556730259457</v>
      </c>
      <c r="Q113" s="15">
        <f t="shared" si="137"/>
        <v>53683.081161792295</v>
      </c>
    </row>
    <row r="114" spans="1:17" ht="13" thickBot="1" x14ac:dyDescent="0.35">
      <c r="B114" s="5" t="s">
        <v>9</v>
      </c>
      <c r="C114" s="15">
        <f t="shared" ref="C114:G114" si="221">C109+1000</f>
        <v>35480</v>
      </c>
      <c r="D114" s="15">
        <f t="shared" si="221"/>
        <v>35280</v>
      </c>
      <c r="E114" s="15">
        <f t="shared" si="221"/>
        <v>40190</v>
      </c>
      <c r="F114" s="15">
        <f t="shared" si="221"/>
        <v>39920</v>
      </c>
      <c r="G114" s="15">
        <f t="shared" si="221"/>
        <v>42130</v>
      </c>
      <c r="H114" s="33">
        <f t="shared" ref="H114:L114" si="222">H109 * 0.99</f>
        <v>0.72146753058514135</v>
      </c>
      <c r="I114" s="33">
        <f t="shared" si="222"/>
        <v>0.72146753058514135</v>
      </c>
      <c r="J114" s="33">
        <f t="shared" si="222"/>
        <v>0.72146753058514135</v>
      </c>
      <c r="K114" s="33">
        <f t="shared" si="222"/>
        <v>0.72146753058514135</v>
      </c>
      <c r="L114" s="33">
        <f t="shared" si="222"/>
        <v>0.64130447163123661</v>
      </c>
      <c r="M114" s="9">
        <f t="shared" si="140"/>
        <v>49177.542295249499</v>
      </c>
      <c r="N114" s="6">
        <f t="shared" si="134"/>
        <v>48900.329542739637</v>
      </c>
      <c r="O114" s="6">
        <f t="shared" si="135"/>
        <v>55705.902616856743</v>
      </c>
      <c r="P114" s="6">
        <f t="shared" si="136"/>
        <v>55331.665400968435</v>
      </c>
      <c r="Q114" s="6">
        <f t="shared" si="137"/>
        <v>65694.224605727723</v>
      </c>
    </row>
    <row r="115" spans="1:17" ht="13" thickBot="1" x14ac:dyDescent="0.35">
      <c r="B115" s="5" t="s">
        <v>10</v>
      </c>
      <c r="C115" s="15">
        <f t="shared" ref="C115:G115" si="223">C110+1000</f>
        <v>35654</v>
      </c>
      <c r="D115" s="15">
        <f t="shared" si="223"/>
        <v>35459</v>
      </c>
      <c r="E115" s="15">
        <f t="shared" si="223"/>
        <v>39751</v>
      </c>
      <c r="F115" s="15">
        <f t="shared" si="223"/>
        <v>39497</v>
      </c>
      <c r="G115" s="15">
        <f t="shared" si="223"/>
        <v>40706</v>
      </c>
      <c r="H115" s="33">
        <f t="shared" ref="H115:L115" si="224">H110 * 0.99</f>
        <v>0.80163058953904576</v>
      </c>
      <c r="I115" s="33">
        <f t="shared" si="224"/>
        <v>0.80163058953904576</v>
      </c>
      <c r="J115" s="33">
        <f t="shared" si="224"/>
        <v>0.80163058953904576</v>
      </c>
      <c r="K115" s="33">
        <f t="shared" si="224"/>
        <v>0.80163058953904576</v>
      </c>
      <c r="L115" s="33">
        <f t="shared" si="224"/>
        <v>0.72146753058514135</v>
      </c>
      <c r="M115" s="9">
        <f t="shared" si="140"/>
        <v>44476.84565093978</v>
      </c>
      <c r="N115" s="6">
        <f t="shared" si="134"/>
        <v>44233.591460612377</v>
      </c>
      <c r="O115" s="6">
        <f t="shared" si="135"/>
        <v>49587.678562587847</v>
      </c>
      <c r="P115" s="6">
        <f t="shared" si="136"/>
        <v>49270.824386469081</v>
      </c>
      <c r="Q115" s="6">
        <f t="shared" si="137"/>
        <v>56421.111518332189</v>
      </c>
    </row>
    <row r="116" spans="1:17" ht="13" thickBot="1" x14ac:dyDescent="0.35">
      <c r="B116" s="5" t="s">
        <v>11</v>
      </c>
      <c r="C116" s="15">
        <f t="shared" ref="C116:G116" si="225">C111+1000</f>
        <v>34795</v>
      </c>
      <c r="D116" s="15">
        <f t="shared" si="225"/>
        <v>34795</v>
      </c>
      <c r="E116" s="15">
        <f t="shared" si="225"/>
        <v>37588</v>
      </c>
      <c r="F116" s="15">
        <f t="shared" si="225"/>
        <v>37588</v>
      </c>
      <c r="G116" s="15">
        <f t="shared" si="225"/>
        <v>39210</v>
      </c>
      <c r="H116" s="33">
        <f t="shared" ref="H116:L116" si="226">H111 * 0.99</f>
        <v>0.48097835372342751</v>
      </c>
      <c r="I116" s="33">
        <f t="shared" si="226"/>
        <v>0.48097835372342751</v>
      </c>
      <c r="J116" s="33">
        <f t="shared" si="226"/>
        <v>0.56114141267733197</v>
      </c>
      <c r="K116" s="33">
        <f t="shared" si="226"/>
        <v>0.56114141267733197</v>
      </c>
      <c r="L116" s="33">
        <f t="shared" si="226"/>
        <v>0.48097835372342751</v>
      </c>
      <c r="M116" s="9">
        <f t="shared" si="140"/>
        <v>72342.132926854843</v>
      </c>
      <c r="N116" s="6">
        <f t="shared" si="134"/>
        <v>72342.132926854843</v>
      </c>
      <c r="O116" s="6">
        <f t="shared" si="135"/>
        <v>66984.897480047308</v>
      </c>
      <c r="P116" s="6">
        <f t="shared" si="136"/>
        <v>66984.897480047308</v>
      </c>
      <c r="Q116" s="6">
        <f t="shared" si="137"/>
        <v>81521.340194337638</v>
      </c>
    </row>
    <row r="117" spans="1:17" ht="13" thickBot="1" x14ac:dyDescent="0.35">
      <c r="A117" s="18"/>
      <c r="B117" s="19" t="s">
        <v>12</v>
      </c>
      <c r="C117" s="15">
        <f t="shared" ref="C117:G117" si="227">C112+1000</f>
        <v>33211</v>
      </c>
      <c r="D117" s="15">
        <f t="shared" si="227"/>
        <v>33211</v>
      </c>
      <c r="E117" s="15">
        <f t="shared" si="227"/>
        <v>36530</v>
      </c>
      <c r="F117" s="15">
        <f t="shared" si="227"/>
        <v>35208</v>
      </c>
      <c r="G117" s="15">
        <f t="shared" si="227"/>
        <v>39970</v>
      </c>
      <c r="H117" s="33">
        <f t="shared" ref="H117:L117" si="228">H112 * 0.99</f>
        <v>0.64130447163123661</v>
      </c>
      <c r="I117" s="33">
        <f t="shared" si="228"/>
        <v>0.72146753058514135</v>
      </c>
      <c r="J117" s="33">
        <f t="shared" si="228"/>
        <v>0.80163058953904576</v>
      </c>
      <c r="K117" s="33">
        <f t="shared" si="228"/>
        <v>0.72146753058514135</v>
      </c>
      <c r="L117" s="33">
        <f t="shared" si="228"/>
        <v>0.48097835372342751</v>
      </c>
      <c r="M117" s="22">
        <f t="shared" si="140"/>
        <v>51786.634070278269</v>
      </c>
      <c r="N117" s="20">
        <f t="shared" si="134"/>
        <v>46032.563618025117</v>
      </c>
      <c r="O117" s="20">
        <f t="shared" si="135"/>
        <v>45569.618321333655</v>
      </c>
      <c r="P117" s="20">
        <f t="shared" si="136"/>
        <v>48800.532951836089</v>
      </c>
      <c r="Q117" s="21">
        <f t="shared" si="137"/>
        <v>83101.452883643855</v>
      </c>
    </row>
    <row r="118" spans="1:17" ht="13" thickBot="1" x14ac:dyDescent="0.35">
      <c r="A118" s="1" t="s">
        <v>36</v>
      </c>
      <c r="B118" s="14" t="s">
        <v>8</v>
      </c>
      <c r="C118" s="15">
        <f t="shared" ref="C118:G118" si="229">C113+1000</f>
        <v>36617</v>
      </c>
      <c r="D118" s="15">
        <f t="shared" si="229"/>
        <v>36223</v>
      </c>
      <c r="E118" s="15">
        <f t="shared" si="229"/>
        <v>40417</v>
      </c>
      <c r="F118" s="15">
        <f t="shared" si="229"/>
        <v>39914</v>
      </c>
      <c r="G118" s="15">
        <f t="shared" si="229"/>
        <v>44034</v>
      </c>
      <c r="H118" s="33">
        <f t="shared" ref="H118:L118" si="230">H113 * 0.99</f>
        <v>0.79361428364365527</v>
      </c>
      <c r="I118" s="33">
        <f t="shared" si="230"/>
        <v>0.79361428364365527</v>
      </c>
      <c r="J118" s="33">
        <f t="shared" si="230"/>
        <v>0.79361428364365527</v>
      </c>
      <c r="K118" s="33">
        <f t="shared" si="230"/>
        <v>0.79361428364365527</v>
      </c>
      <c r="L118" s="33">
        <f t="shared" si="230"/>
        <v>0.79361428364365527</v>
      </c>
      <c r="M118" s="16">
        <f t="shared" si="140"/>
        <v>46139.542539334616</v>
      </c>
      <c r="N118" s="15">
        <f t="shared" si="134"/>
        <v>45643.079700748771</v>
      </c>
      <c r="O118" s="15">
        <f t="shared" si="135"/>
        <v>50927.762809959502</v>
      </c>
      <c r="P118" s="15">
        <f t="shared" si="136"/>
        <v>50293.953653084682</v>
      </c>
      <c r="Q118" s="15">
        <f t="shared" si="137"/>
        <v>55485.392472814827</v>
      </c>
    </row>
    <row r="119" spans="1:17" ht="13" thickBot="1" x14ac:dyDescent="0.35">
      <c r="B119" s="5" t="s">
        <v>9</v>
      </c>
      <c r="C119" s="15">
        <f t="shared" ref="C119:G119" si="231">C114+1000</f>
        <v>36480</v>
      </c>
      <c r="D119" s="15">
        <f t="shared" si="231"/>
        <v>36280</v>
      </c>
      <c r="E119" s="15">
        <f t="shared" si="231"/>
        <v>41190</v>
      </c>
      <c r="F119" s="15">
        <f t="shared" si="231"/>
        <v>40920</v>
      </c>
      <c r="G119" s="15">
        <f t="shared" si="231"/>
        <v>43130</v>
      </c>
      <c r="H119" s="33">
        <f t="shared" ref="H119:L119" si="232">H114 * 0.99</f>
        <v>0.71425285527928994</v>
      </c>
      <c r="I119" s="33">
        <f t="shared" si="232"/>
        <v>0.71425285527928994</v>
      </c>
      <c r="J119" s="33">
        <f t="shared" si="232"/>
        <v>0.71425285527928994</v>
      </c>
      <c r="K119" s="33">
        <f t="shared" si="232"/>
        <v>0.71425285527928994</v>
      </c>
      <c r="L119" s="33">
        <f t="shared" si="232"/>
        <v>0.63489142691492428</v>
      </c>
      <c r="M119" s="9">
        <f t="shared" si="140"/>
        <v>51074.349553332126</v>
      </c>
      <c r="N119" s="6">
        <f t="shared" si="134"/>
        <v>50794.336672009034</v>
      </c>
      <c r="O119" s="6">
        <f t="shared" si="135"/>
        <v>57668.652908490963</v>
      </c>
      <c r="P119" s="6">
        <f t="shared" si="136"/>
        <v>57290.635518704788</v>
      </c>
      <c r="Q119" s="6">
        <f t="shared" si="137"/>
        <v>67932.875089490597</v>
      </c>
    </row>
    <row r="120" spans="1:17" ht="13" thickBot="1" x14ac:dyDescent="0.35">
      <c r="B120" s="5" t="s">
        <v>10</v>
      </c>
      <c r="C120" s="15">
        <f t="shared" ref="C120:G120" si="233">C115+1000</f>
        <v>36654</v>
      </c>
      <c r="D120" s="15">
        <f t="shared" si="233"/>
        <v>36459</v>
      </c>
      <c r="E120" s="15">
        <f t="shared" si="233"/>
        <v>40751</v>
      </c>
      <c r="F120" s="15">
        <f t="shared" si="233"/>
        <v>40497</v>
      </c>
      <c r="G120" s="15">
        <f t="shared" si="233"/>
        <v>41706</v>
      </c>
      <c r="H120" s="33">
        <f t="shared" ref="H120:L120" si="234">H115 * 0.99</f>
        <v>0.79361428364365527</v>
      </c>
      <c r="I120" s="33">
        <f t="shared" si="234"/>
        <v>0.79361428364365527</v>
      </c>
      <c r="J120" s="33">
        <f t="shared" si="234"/>
        <v>0.79361428364365527</v>
      </c>
      <c r="K120" s="33">
        <f t="shared" si="234"/>
        <v>0.79361428364365527</v>
      </c>
      <c r="L120" s="33">
        <f t="shared" si="234"/>
        <v>0.71425285527928994</v>
      </c>
      <c r="M120" s="9">
        <f t="shared" si="140"/>
        <v>46186.164684074909</v>
      </c>
      <c r="N120" s="6">
        <f t="shared" si="134"/>
        <v>45940.453380713894</v>
      </c>
      <c r="O120" s="6">
        <f t="shared" si="135"/>
        <v>51348.622170588111</v>
      </c>
      <c r="P120" s="6">
        <f t="shared" si="136"/>
        <v>51028.567447235815</v>
      </c>
      <c r="Q120" s="6">
        <f t="shared" si="137"/>
        <v>58391.086142304543</v>
      </c>
    </row>
    <row r="121" spans="1:17" ht="13" thickBot="1" x14ac:dyDescent="0.35">
      <c r="B121" s="5" t="s">
        <v>11</v>
      </c>
      <c r="C121" s="15">
        <f t="shared" ref="C121:G121" si="235">C116+1000</f>
        <v>35795</v>
      </c>
      <c r="D121" s="15">
        <f t="shared" si="235"/>
        <v>35795</v>
      </c>
      <c r="E121" s="15">
        <f t="shared" si="235"/>
        <v>38588</v>
      </c>
      <c r="F121" s="15">
        <f t="shared" si="235"/>
        <v>38588</v>
      </c>
      <c r="G121" s="15">
        <f t="shared" si="235"/>
        <v>40210</v>
      </c>
      <c r="H121" s="33">
        <f t="shared" ref="H121:L121" si="236">H116 * 0.99</f>
        <v>0.47616857018619324</v>
      </c>
      <c r="I121" s="33">
        <f t="shared" si="236"/>
        <v>0.47616857018619324</v>
      </c>
      <c r="J121" s="33">
        <f t="shared" si="236"/>
        <v>0.55552999855055862</v>
      </c>
      <c r="K121" s="33">
        <f t="shared" si="236"/>
        <v>0.55552999855055862</v>
      </c>
      <c r="L121" s="33">
        <f t="shared" si="236"/>
        <v>0.47616857018619324</v>
      </c>
      <c r="M121" s="9">
        <f t="shared" si="140"/>
        <v>75172.958152200808</v>
      </c>
      <c r="N121" s="6">
        <f t="shared" si="134"/>
        <v>75172.958152200808</v>
      </c>
      <c r="O121" s="6">
        <f t="shared" si="135"/>
        <v>69461.595414613985</v>
      </c>
      <c r="P121" s="6">
        <f t="shared" si="136"/>
        <v>69461.595414613985</v>
      </c>
      <c r="Q121" s="6">
        <f t="shared" si="137"/>
        <v>84444.884685011726</v>
      </c>
    </row>
    <row r="122" spans="1:17" ht="13" thickBot="1" x14ac:dyDescent="0.35">
      <c r="A122" s="18"/>
      <c r="B122" s="19" t="s">
        <v>12</v>
      </c>
      <c r="C122" s="15">
        <f t="shared" ref="C122:G122" si="237">C117+1000</f>
        <v>34211</v>
      </c>
      <c r="D122" s="15">
        <f t="shared" si="237"/>
        <v>34211</v>
      </c>
      <c r="E122" s="15">
        <f t="shared" si="237"/>
        <v>37530</v>
      </c>
      <c r="F122" s="15">
        <f t="shared" si="237"/>
        <v>36208</v>
      </c>
      <c r="G122" s="15">
        <f t="shared" si="237"/>
        <v>40970</v>
      </c>
      <c r="H122" s="33">
        <f t="shared" ref="H122:L122" si="238">H117 * 0.99</f>
        <v>0.63489142691492428</v>
      </c>
      <c r="I122" s="33">
        <f t="shared" si="238"/>
        <v>0.71425285527928994</v>
      </c>
      <c r="J122" s="33">
        <f t="shared" si="238"/>
        <v>0.79361428364365527</v>
      </c>
      <c r="K122" s="33">
        <f t="shared" si="238"/>
        <v>0.71425285527928994</v>
      </c>
      <c r="L122" s="33">
        <f t="shared" si="238"/>
        <v>0.47616857018619324</v>
      </c>
      <c r="M122" s="22">
        <f t="shared" si="140"/>
        <v>53884.803841561858</v>
      </c>
      <c r="N122" s="20">
        <f t="shared" si="134"/>
        <v>47897.603414721641</v>
      </c>
      <c r="O122" s="20">
        <f t="shared" si="135"/>
        <v>47289.975462250542</v>
      </c>
      <c r="P122" s="20">
        <f t="shared" si="136"/>
        <v>50693.532034732722</v>
      </c>
      <c r="Q122" s="21">
        <f t="shared" si="137"/>
        <v>86040.958108553357</v>
      </c>
    </row>
    <row r="123" spans="1:17" ht="13" thickBot="1" x14ac:dyDescent="0.35">
      <c r="A123" s="1" t="s">
        <v>37</v>
      </c>
      <c r="B123" s="14" t="s">
        <v>8</v>
      </c>
      <c r="C123" s="15">
        <f t="shared" ref="C123:G123" si="239">C118+1000</f>
        <v>37617</v>
      </c>
      <c r="D123" s="15">
        <f t="shared" si="239"/>
        <v>37223</v>
      </c>
      <c r="E123" s="15">
        <f t="shared" si="239"/>
        <v>41417</v>
      </c>
      <c r="F123" s="15">
        <f t="shared" si="239"/>
        <v>40914</v>
      </c>
      <c r="G123" s="15">
        <f t="shared" si="239"/>
        <v>45034</v>
      </c>
      <c r="H123" s="33">
        <f t="shared" ref="H123:L123" si="240">H118 * 0.99</f>
        <v>0.78567814080721876</v>
      </c>
      <c r="I123" s="33">
        <f t="shared" si="240"/>
        <v>0.78567814080721876</v>
      </c>
      <c r="J123" s="33">
        <f t="shared" si="240"/>
        <v>0.78567814080721876</v>
      </c>
      <c r="K123" s="33">
        <f t="shared" si="240"/>
        <v>0.78567814080721876</v>
      </c>
      <c r="L123" s="33">
        <f t="shared" si="240"/>
        <v>0.78567814080721876</v>
      </c>
      <c r="M123" s="16">
        <f t="shared" si="140"/>
        <v>47878.384348776293</v>
      </c>
      <c r="N123" s="15">
        <f t="shared" si="134"/>
        <v>47376.906734043121</v>
      </c>
      <c r="O123" s="15">
        <f t="shared" si="135"/>
        <v>52714.970480720629</v>
      </c>
      <c r="P123" s="15">
        <f t="shared" si="136"/>
        <v>52074.7592111501</v>
      </c>
      <c r="Q123" s="15">
        <f t="shared" si="137"/>
        <v>57318.636806837108</v>
      </c>
    </row>
    <row r="124" spans="1:17" ht="13" thickBot="1" x14ac:dyDescent="0.35">
      <c r="B124" s="5" t="s">
        <v>9</v>
      </c>
      <c r="C124" s="15">
        <f t="shared" ref="C124:G124" si="241">C119+1000</f>
        <v>37480</v>
      </c>
      <c r="D124" s="15">
        <f t="shared" si="241"/>
        <v>37280</v>
      </c>
      <c r="E124" s="15">
        <f t="shared" si="241"/>
        <v>42190</v>
      </c>
      <c r="F124" s="15">
        <f t="shared" si="241"/>
        <v>41920</v>
      </c>
      <c r="G124" s="15">
        <f t="shared" si="241"/>
        <v>44130</v>
      </c>
      <c r="H124" s="33">
        <f t="shared" ref="H124:L124" si="242">H119 * 0.99</f>
        <v>0.70711032672649698</v>
      </c>
      <c r="I124" s="33">
        <f t="shared" si="242"/>
        <v>0.70711032672649698</v>
      </c>
      <c r="J124" s="33">
        <f t="shared" si="242"/>
        <v>0.70711032672649698</v>
      </c>
      <c r="K124" s="33">
        <f t="shared" si="242"/>
        <v>0.70711032672649698</v>
      </c>
      <c r="L124" s="33">
        <f t="shared" si="242"/>
        <v>0.62854251264577499</v>
      </c>
      <c r="M124" s="9">
        <f t="shared" si="140"/>
        <v>53004.458545401612</v>
      </c>
      <c r="N124" s="6">
        <f t="shared" si="134"/>
        <v>52721.61725113586</v>
      </c>
      <c r="O124" s="6">
        <f t="shared" si="135"/>
        <v>59665.371025360037</v>
      </c>
      <c r="P124" s="6">
        <f t="shared" si="136"/>
        <v>59283.53527810127</v>
      </c>
      <c r="Q124" s="6">
        <f t="shared" si="137"/>
        <v>70210.048027205048</v>
      </c>
    </row>
    <row r="125" spans="1:17" ht="13" thickBot="1" x14ac:dyDescent="0.35">
      <c r="B125" s="5" t="s">
        <v>10</v>
      </c>
      <c r="C125" s="15">
        <f t="shared" ref="C125:G125" si="243">C120+1000</f>
        <v>37654</v>
      </c>
      <c r="D125" s="15">
        <f t="shared" si="243"/>
        <v>37459</v>
      </c>
      <c r="E125" s="15">
        <f t="shared" si="243"/>
        <v>41751</v>
      </c>
      <c r="F125" s="15">
        <f t="shared" si="243"/>
        <v>41497</v>
      </c>
      <c r="G125" s="15">
        <f t="shared" si="243"/>
        <v>42706</v>
      </c>
      <c r="H125" s="33">
        <f t="shared" ref="H125:L125" si="244">H120 * 0.99</f>
        <v>0.78567814080721876</v>
      </c>
      <c r="I125" s="33">
        <f t="shared" si="244"/>
        <v>0.78567814080721876</v>
      </c>
      <c r="J125" s="33">
        <f t="shared" si="244"/>
        <v>0.78567814080721876</v>
      </c>
      <c r="K125" s="33">
        <f t="shared" si="244"/>
        <v>0.78567814080721876</v>
      </c>
      <c r="L125" s="33">
        <f t="shared" si="244"/>
        <v>0.70711032672649698</v>
      </c>
      <c r="M125" s="9">
        <f t="shared" si="140"/>
        <v>47925.477424271543</v>
      </c>
      <c r="N125" s="6">
        <f t="shared" si="134"/>
        <v>47677.284188553349</v>
      </c>
      <c r="O125" s="6">
        <f t="shared" si="135"/>
        <v>53140.080946002046</v>
      </c>
      <c r="P125" s="6">
        <f t="shared" si="136"/>
        <v>52816.793346656297</v>
      </c>
      <c r="Q125" s="6">
        <f t="shared" si="137"/>
        <v>60395.101564565666</v>
      </c>
    </row>
    <row r="126" spans="1:17" ht="13" thickBot="1" x14ac:dyDescent="0.35">
      <c r="B126" s="5" t="s">
        <v>11</v>
      </c>
      <c r="C126" s="15">
        <f t="shared" ref="C126:G126" si="245">C121+1000</f>
        <v>36795</v>
      </c>
      <c r="D126" s="15">
        <f t="shared" si="245"/>
        <v>36795</v>
      </c>
      <c r="E126" s="15">
        <f t="shared" si="245"/>
        <v>39588</v>
      </c>
      <c r="F126" s="15">
        <f t="shared" si="245"/>
        <v>39588</v>
      </c>
      <c r="G126" s="15">
        <f t="shared" si="245"/>
        <v>41210</v>
      </c>
      <c r="H126" s="33">
        <f t="shared" ref="H126:L126" si="246">H121 * 0.99</f>
        <v>0.47140688448433132</v>
      </c>
      <c r="I126" s="33">
        <f t="shared" si="246"/>
        <v>0.47140688448433132</v>
      </c>
      <c r="J126" s="33">
        <f t="shared" si="246"/>
        <v>0.54997469856505299</v>
      </c>
      <c r="K126" s="33">
        <f t="shared" si="246"/>
        <v>0.54997469856505299</v>
      </c>
      <c r="L126" s="33">
        <f t="shared" si="246"/>
        <v>0.47140688448433132</v>
      </c>
      <c r="M126" s="9">
        <f t="shared" si="140"/>
        <v>78053.590668812132</v>
      </c>
      <c r="N126" s="6">
        <f t="shared" si="134"/>
        <v>78053.590668812132</v>
      </c>
      <c r="O126" s="6">
        <f t="shared" si="135"/>
        <v>71981.493154666256</v>
      </c>
      <c r="P126" s="6">
        <f t="shared" si="136"/>
        <v>71981.493154666256</v>
      </c>
      <c r="Q126" s="6">
        <f t="shared" si="137"/>
        <v>87419.173025186785</v>
      </c>
    </row>
    <row r="127" spans="1:17" ht="13" thickBot="1" x14ac:dyDescent="0.35">
      <c r="A127" s="18"/>
      <c r="B127" s="19" t="s">
        <v>12</v>
      </c>
      <c r="C127" s="15">
        <f t="shared" ref="C127:G127" si="247">C122+1000</f>
        <v>35211</v>
      </c>
      <c r="D127" s="15">
        <f t="shared" si="247"/>
        <v>35211</v>
      </c>
      <c r="E127" s="15">
        <f t="shared" si="247"/>
        <v>38530</v>
      </c>
      <c r="F127" s="15">
        <f t="shared" si="247"/>
        <v>37208</v>
      </c>
      <c r="G127" s="15">
        <f t="shared" si="247"/>
        <v>41970</v>
      </c>
      <c r="H127" s="33">
        <f t="shared" ref="H127:L127" si="248">H122 * 0.99</f>
        <v>0.62854251264577499</v>
      </c>
      <c r="I127" s="33">
        <f t="shared" si="248"/>
        <v>0.70711032672649698</v>
      </c>
      <c r="J127" s="33">
        <f t="shared" si="248"/>
        <v>0.78567814080721876</v>
      </c>
      <c r="K127" s="33">
        <f t="shared" si="248"/>
        <v>0.70711032672649698</v>
      </c>
      <c r="L127" s="33">
        <f t="shared" si="248"/>
        <v>0.47140688448433132</v>
      </c>
      <c r="M127" s="22">
        <f t="shared" si="140"/>
        <v>56020.07706970127</v>
      </c>
      <c r="N127" s="20">
        <f t="shared" si="134"/>
        <v>49795.624061956674</v>
      </c>
      <c r="O127" s="20">
        <f t="shared" si="135"/>
        <v>49040.437806267131</v>
      </c>
      <c r="P127" s="20">
        <f t="shared" si="136"/>
        <v>52619.794385200192</v>
      </c>
      <c r="Q127" s="21">
        <f t="shared" si="137"/>
        <v>89031.368402501568</v>
      </c>
    </row>
    <row r="128" spans="1:17" ht="13" thickBot="1" x14ac:dyDescent="0.35">
      <c r="A128" s="1" t="s">
        <v>38</v>
      </c>
      <c r="B128" s="14" t="s">
        <v>8</v>
      </c>
      <c r="C128" s="15">
        <f t="shared" ref="C128:G128" si="249">C123+1000</f>
        <v>38617</v>
      </c>
      <c r="D128" s="15">
        <f t="shared" si="249"/>
        <v>38223</v>
      </c>
      <c r="E128" s="15">
        <f t="shared" si="249"/>
        <v>42417</v>
      </c>
      <c r="F128" s="15">
        <f t="shared" si="249"/>
        <v>41914</v>
      </c>
      <c r="G128" s="15">
        <f t="shared" si="249"/>
        <v>46034</v>
      </c>
      <c r="H128" s="33">
        <f t="shared" ref="H128:L128" si="250">H123 * 0.99</f>
        <v>0.77782135939914654</v>
      </c>
      <c r="I128" s="33">
        <f t="shared" si="250"/>
        <v>0.77782135939914654</v>
      </c>
      <c r="J128" s="33">
        <f t="shared" si="250"/>
        <v>0.77782135939914654</v>
      </c>
      <c r="K128" s="33">
        <f t="shared" si="250"/>
        <v>0.77782135939914654</v>
      </c>
      <c r="L128" s="33">
        <f t="shared" si="250"/>
        <v>0.77782135939914654</v>
      </c>
      <c r="M128" s="16">
        <f t="shared" si="140"/>
        <v>49647.646639365834</v>
      </c>
      <c r="N128" s="15">
        <f t="shared" si="134"/>
        <v>49141.103594180808</v>
      </c>
      <c r="O128" s="15">
        <f t="shared" si="135"/>
        <v>54533.087176683337</v>
      </c>
      <c r="P128" s="15">
        <f t="shared" si="136"/>
        <v>53886.409126612096</v>
      </c>
      <c r="Q128" s="15">
        <f t="shared" si="137"/>
        <v>59183.255182861605</v>
      </c>
    </row>
    <row r="129" spans="1:17" ht="13" thickBot="1" x14ac:dyDescent="0.35">
      <c r="B129" s="5" t="s">
        <v>9</v>
      </c>
      <c r="C129" s="15">
        <f t="shared" ref="C129:G129" si="251">C124+1000</f>
        <v>38480</v>
      </c>
      <c r="D129" s="15">
        <f t="shared" si="251"/>
        <v>38280</v>
      </c>
      <c r="E129" s="15">
        <f t="shared" si="251"/>
        <v>43190</v>
      </c>
      <c r="F129" s="15">
        <f t="shared" si="251"/>
        <v>42920</v>
      </c>
      <c r="G129" s="15">
        <f t="shared" si="251"/>
        <v>45130</v>
      </c>
      <c r="H129" s="33">
        <f t="shared" ref="H129:L129" si="252">H124 * 0.99</f>
        <v>0.70003922345923197</v>
      </c>
      <c r="I129" s="33">
        <f t="shared" si="252"/>
        <v>0.70003922345923197</v>
      </c>
      <c r="J129" s="33">
        <f t="shared" si="252"/>
        <v>0.70003922345923197</v>
      </c>
      <c r="K129" s="33">
        <f t="shared" si="252"/>
        <v>0.70003922345923197</v>
      </c>
      <c r="L129" s="33">
        <f t="shared" si="252"/>
        <v>0.62225708751931719</v>
      </c>
      <c r="M129" s="9">
        <f t="shared" si="140"/>
        <v>54968.348501747845</v>
      </c>
      <c r="N129" s="6">
        <f t="shared" si="134"/>
        <v>54682.650224711739</v>
      </c>
      <c r="O129" s="6">
        <f t="shared" si="135"/>
        <v>61696.54292594827</v>
      </c>
      <c r="P129" s="6">
        <f t="shared" si="136"/>
        <v>61310.850251949523</v>
      </c>
      <c r="Q129" s="6">
        <f t="shared" si="137"/>
        <v>72526.293239848383</v>
      </c>
    </row>
    <row r="130" spans="1:17" ht="13" thickBot="1" x14ac:dyDescent="0.35">
      <c r="B130" s="5" t="s">
        <v>10</v>
      </c>
      <c r="C130" s="15">
        <f t="shared" ref="C130:G130" si="253">C125+1000</f>
        <v>38654</v>
      </c>
      <c r="D130" s="15">
        <f t="shared" si="253"/>
        <v>38459</v>
      </c>
      <c r="E130" s="15">
        <f t="shared" si="253"/>
        <v>42751</v>
      </c>
      <c r="F130" s="15">
        <f t="shared" si="253"/>
        <v>42497</v>
      </c>
      <c r="G130" s="15">
        <f t="shared" si="253"/>
        <v>43706</v>
      </c>
      <c r="H130" s="33">
        <f t="shared" ref="H130:L130" si="254">H125 * 0.99</f>
        <v>0.77782135939914654</v>
      </c>
      <c r="I130" s="33">
        <f t="shared" si="254"/>
        <v>0.77782135939914654</v>
      </c>
      <c r="J130" s="33">
        <f t="shared" si="254"/>
        <v>0.77782135939914654</v>
      </c>
      <c r="K130" s="33">
        <f t="shared" si="254"/>
        <v>0.77782135939914654</v>
      </c>
      <c r="L130" s="33">
        <f t="shared" si="254"/>
        <v>0.70003922345923197</v>
      </c>
      <c r="M130" s="9">
        <f t="shared" si="140"/>
        <v>49695.215402492344</v>
      </c>
      <c r="N130" s="6">
        <f t="shared" si="134"/>
        <v>49444.515164393153</v>
      </c>
      <c r="O130" s="6">
        <f t="shared" si="135"/>
        <v>54962.491687068614</v>
      </c>
      <c r="P130" s="6">
        <f t="shared" si="136"/>
        <v>54635.938556416339</v>
      </c>
      <c r="Q130" s="6">
        <f t="shared" si="137"/>
        <v>62433.644480701441</v>
      </c>
    </row>
    <row r="131" spans="1:17" ht="13" thickBot="1" x14ac:dyDescent="0.35">
      <c r="B131" s="5" t="s">
        <v>11</v>
      </c>
      <c r="C131" s="15">
        <f t="shared" ref="C131:G131" si="255">C126+1000</f>
        <v>37795</v>
      </c>
      <c r="D131" s="15">
        <f t="shared" si="255"/>
        <v>37795</v>
      </c>
      <c r="E131" s="15">
        <f t="shared" si="255"/>
        <v>40588</v>
      </c>
      <c r="F131" s="15">
        <f t="shared" si="255"/>
        <v>40588</v>
      </c>
      <c r="G131" s="15">
        <f t="shared" si="255"/>
        <v>42210</v>
      </c>
      <c r="H131" s="33">
        <f t="shared" ref="H131:L131" si="256">H126 * 0.99</f>
        <v>0.466692815639488</v>
      </c>
      <c r="I131" s="33">
        <f t="shared" si="256"/>
        <v>0.466692815639488</v>
      </c>
      <c r="J131" s="33">
        <f t="shared" si="256"/>
        <v>0.5444749515794024</v>
      </c>
      <c r="K131" s="33">
        <f t="shared" si="256"/>
        <v>0.5444749515794024</v>
      </c>
      <c r="L131" s="33">
        <f t="shared" si="256"/>
        <v>0.466692815639488</v>
      </c>
      <c r="M131" s="9">
        <f t="shared" si="140"/>
        <v>80984.747854348738</v>
      </c>
      <c r="N131" s="6">
        <f t="shared" si="134"/>
        <v>80984.747854348738</v>
      </c>
      <c r="O131" s="6">
        <f t="shared" si="135"/>
        <v>74545.210725053767</v>
      </c>
      <c r="P131" s="6">
        <f t="shared" si="136"/>
        <v>74545.210725053767</v>
      </c>
      <c r="Q131" s="6">
        <f t="shared" si="137"/>
        <v>90444.932052706979</v>
      </c>
    </row>
    <row r="132" spans="1:17" ht="13" thickBot="1" x14ac:dyDescent="0.35">
      <c r="A132" s="18"/>
      <c r="B132" s="19" t="s">
        <v>12</v>
      </c>
      <c r="C132" s="15">
        <f t="shared" ref="C132:G132" si="257">C127+1000</f>
        <v>36211</v>
      </c>
      <c r="D132" s="15">
        <f t="shared" si="257"/>
        <v>36211</v>
      </c>
      <c r="E132" s="15">
        <f t="shared" si="257"/>
        <v>39530</v>
      </c>
      <c r="F132" s="15">
        <f t="shared" si="257"/>
        <v>38208</v>
      </c>
      <c r="G132" s="15">
        <f t="shared" si="257"/>
        <v>42970</v>
      </c>
      <c r="H132" s="33">
        <f t="shared" ref="H132:L132" si="258">H127 * 0.99</f>
        <v>0.62225708751931719</v>
      </c>
      <c r="I132" s="33">
        <f t="shared" si="258"/>
        <v>0.70003922345923197</v>
      </c>
      <c r="J132" s="33">
        <f t="shared" si="258"/>
        <v>0.77782135939914654</v>
      </c>
      <c r="K132" s="33">
        <f t="shared" si="258"/>
        <v>0.70003922345923197</v>
      </c>
      <c r="L132" s="33">
        <f t="shared" si="258"/>
        <v>0.466692815639488</v>
      </c>
      <c r="M132" s="22">
        <f t="shared" si="140"/>
        <v>58192.989242369818</v>
      </c>
      <c r="N132" s="20">
        <f t="shared" si="134"/>
        <v>51727.101548773164</v>
      </c>
      <c r="O132" s="20">
        <f t="shared" si="135"/>
        <v>50821.438010568694</v>
      </c>
      <c r="P132" s="20">
        <f t="shared" si="136"/>
        <v>54579.798844978737</v>
      </c>
      <c r="Q132" s="21">
        <f t="shared" si="137"/>
        <v>92073.412231812821</v>
      </c>
    </row>
    <row r="133" spans="1:17" ht="13" thickBot="1" x14ac:dyDescent="0.35">
      <c r="A133" s="1" t="s">
        <v>39</v>
      </c>
      <c r="B133" s="14" t="s">
        <v>8</v>
      </c>
      <c r="C133" s="15">
        <f t="shared" ref="C133:G133" si="259">C128+1000</f>
        <v>39617</v>
      </c>
      <c r="D133" s="15">
        <f t="shared" si="259"/>
        <v>39223</v>
      </c>
      <c r="E133" s="15">
        <f t="shared" si="259"/>
        <v>43417</v>
      </c>
      <c r="F133" s="15">
        <f t="shared" si="259"/>
        <v>42914</v>
      </c>
      <c r="G133" s="15">
        <f t="shared" si="259"/>
        <v>47034</v>
      </c>
      <c r="H133" s="33">
        <f t="shared" ref="H133:L133" si="260">H128 * 0.99</f>
        <v>0.77004314580515509</v>
      </c>
      <c r="I133" s="33">
        <f t="shared" si="260"/>
        <v>0.77004314580515509</v>
      </c>
      <c r="J133" s="33">
        <f t="shared" si="260"/>
        <v>0.77004314580515509</v>
      </c>
      <c r="K133" s="33">
        <f t="shared" si="260"/>
        <v>0.77004314580515509</v>
      </c>
      <c r="L133" s="33">
        <f t="shared" si="260"/>
        <v>0.77004314580515509</v>
      </c>
      <c r="M133" s="16">
        <f t="shared" si="140"/>
        <v>51447.766551543769</v>
      </c>
      <c r="N133" s="15">
        <f t="shared" si="134"/>
        <v>50936.106909942733</v>
      </c>
      <c r="O133" s="15">
        <f t="shared" si="135"/>
        <v>56382.554973076607</v>
      </c>
      <c r="P133" s="15">
        <f t="shared" si="136"/>
        <v>55729.344821489496</v>
      </c>
      <c r="Q133" s="15">
        <f t="shared" si="137"/>
        <v>61079.694373256672</v>
      </c>
    </row>
    <row r="134" spans="1:17" ht="13" thickBot="1" x14ac:dyDescent="0.35">
      <c r="B134" s="5" t="s">
        <v>9</v>
      </c>
      <c r="C134" s="15">
        <f t="shared" ref="C134:G134" si="261">C129+1000</f>
        <v>39480</v>
      </c>
      <c r="D134" s="15">
        <f t="shared" si="261"/>
        <v>39280</v>
      </c>
      <c r="E134" s="15">
        <f t="shared" si="261"/>
        <v>44190</v>
      </c>
      <c r="F134" s="15">
        <f t="shared" si="261"/>
        <v>43920</v>
      </c>
      <c r="G134" s="15">
        <f t="shared" si="261"/>
        <v>46130</v>
      </c>
      <c r="H134" s="33">
        <f t="shared" ref="H134:L134" si="262">H129 * 0.99</f>
        <v>0.69303883122463961</v>
      </c>
      <c r="I134" s="33">
        <f t="shared" si="262"/>
        <v>0.69303883122463961</v>
      </c>
      <c r="J134" s="33">
        <f t="shared" si="262"/>
        <v>0.69303883122463961</v>
      </c>
      <c r="K134" s="33">
        <f t="shared" si="262"/>
        <v>0.69303883122463961</v>
      </c>
      <c r="L134" s="33">
        <f t="shared" si="262"/>
        <v>0.61603451664412401</v>
      </c>
      <c r="M134" s="9">
        <f t="shared" si="140"/>
        <v>56966.50493629132</v>
      </c>
      <c r="N134" s="6">
        <f t="shared" si="134"/>
        <v>56677.920818073027</v>
      </c>
      <c r="O134" s="6">
        <f t="shared" si="135"/>
        <v>63762.660920332157</v>
      </c>
      <c r="P134" s="6">
        <f t="shared" si="136"/>
        <v>63373.07236073746</v>
      </c>
      <c r="Q134" s="6">
        <f t="shared" si="137"/>
        <v>74882.167725430816</v>
      </c>
    </row>
    <row r="135" spans="1:17" ht="13" thickBot="1" x14ac:dyDescent="0.35">
      <c r="B135" s="5" t="s">
        <v>10</v>
      </c>
      <c r="C135" s="15">
        <f t="shared" ref="C135:G135" si="263">C130+1000</f>
        <v>39654</v>
      </c>
      <c r="D135" s="15">
        <f t="shared" si="263"/>
        <v>39459</v>
      </c>
      <c r="E135" s="15">
        <f t="shared" si="263"/>
        <v>43751</v>
      </c>
      <c r="F135" s="15">
        <f t="shared" si="263"/>
        <v>43497</v>
      </c>
      <c r="G135" s="15">
        <f t="shared" si="263"/>
        <v>44706</v>
      </c>
      <c r="H135" s="33">
        <f t="shared" ref="H135:L135" si="264">H130 * 0.99</f>
        <v>0.77004314580515509</v>
      </c>
      <c r="I135" s="33">
        <f t="shared" si="264"/>
        <v>0.77004314580515509</v>
      </c>
      <c r="J135" s="33">
        <f t="shared" si="264"/>
        <v>0.77004314580515509</v>
      </c>
      <c r="K135" s="33">
        <f t="shared" si="264"/>
        <v>0.77004314580515509</v>
      </c>
      <c r="L135" s="33">
        <f t="shared" si="264"/>
        <v>0.69303883122463961</v>
      </c>
      <c r="M135" s="9">
        <f t="shared" si="140"/>
        <v>51495.815807227118</v>
      </c>
      <c r="N135" s="6">
        <f t="shared" si="134"/>
        <v>51242.583243490561</v>
      </c>
      <c r="O135" s="6">
        <f t="shared" si="135"/>
        <v>56816.296902758702</v>
      </c>
      <c r="P135" s="6">
        <f t="shared" si="136"/>
        <v>56486.44525563519</v>
      </c>
      <c r="Q135" s="6">
        <f t="shared" si="137"/>
        <v>64507.207945335358</v>
      </c>
    </row>
    <row r="136" spans="1:17" ht="13" thickBot="1" x14ac:dyDescent="0.35">
      <c r="B136" s="5" t="s">
        <v>11</v>
      </c>
      <c r="C136" s="15">
        <f t="shared" ref="C136:G136" si="265">C131+1000</f>
        <v>38795</v>
      </c>
      <c r="D136" s="15">
        <f t="shared" si="265"/>
        <v>38795</v>
      </c>
      <c r="E136" s="15">
        <f t="shared" si="265"/>
        <v>41588</v>
      </c>
      <c r="F136" s="15">
        <f t="shared" si="265"/>
        <v>41588</v>
      </c>
      <c r="G136" s="15">
        <f t="shared" si="265"/>
        <v>43210</v>
      </c>
      <c r="H136" s="33">
        <f t="shared" ref="H136:L136" si="266">H131 * 0.99</f>
        <v>0.46202588748309309</v>
      </c>
      <c r="I136" s="33">
        <f t="shared" si="266"/>
        <v>0.46202588748309309</v>
      </c>
      <c r="J136" s="33">
        <f t="shared" si="266"/>
        <v>0.53903020206360841</v>
      </c>
      <c r="K136" s="33">
        <f t="shared" si="266"/>
        <v>0.53903020206360841</v>
      </c>
      <c r="L136" s="33">
        <f t="shared" si="266"/>
        <v>0.46202588748309309</v>
      </c>
      <c r="M136" s="9">
        <f t="shared" si="140"/>
        <v>83967.156497090487</v>
      </c>
      <c r="N136" s="6">
        <f t="shared" ref="N136:N162" si="267">D136/I136</f>
        <v>83967.156497090487</v>
      </c>
      <c r="O136" s="6">
        <f t="shared" ref="O136:O162" si="268">E136/J136</f>
        <v>77153.376268687061</v>
      </c>
      <c r="P136" s="6">
        <f t="shared" ref="P136:P162" si="269">F136/K136</f>
        <v>77153.376268687061</v>
      </c>
      <c r="Q136" s="6">
        <f t="shared" ref="Q136:Q162" si="270">G136/L136</f>
        <v>93522.898111593764</v>
      </c>
    </row>
    <row r="137" spans="1:17" ht="13" thickBot="1" x14ac:dyDescent="0.35">
      <c r="A137" s="18"/>
      <c r="B137" s="19" t="s">
        <v>12</v>
      </c>
      <c r="C137" s="15">
        <f t="shared" ref="C137:G137" si="271">C132+1000</f>
        <v>37211</v>
      </c>
      <c r="D137" s="15">
        <f t="shared" si="271"/>
        <v>37211</v>
      </c>
      <c r="E137" s="15">
        <f t="shared" si="271"/>
        <v>40530</v>
      </c>
      <c r="F137" s="15">
        <f t="shared" si="271"/>
        <v>39208</v>
      </c>
      <c r="G137" s="15">
        <f t="shared" si="271"/>
        <v>43970</v>
      </c>
      <c r="H137" s="33">
        <f t="shared" ref="H137:L137" si="272">H132 * 0.99</f>
        <v>0.61603451664412401</v>
      </c>
      <c r="I137" s="33">
        <f t="shared" si="272"/>
        <v>0.69303883122463961</v>
      </c>
      <c r="J137" s="33">
        <f t="shared" si="272"/>
        <v>0.77004314580515509</v>
      </c>
      <c r="K137" s="33">
        <f t="shared" si="272"/>
        <v>0.69303883122463961</v>
      </c>
      <c r="L137" s="33">
        <f t="shared" si="272"/>
        <v>0.46202588748309309</v>
      </c>
      <c r="M137" s="22">
        <f t="shared" ref="M137:M162" si="273">C137/H137</f>
        <v>60404.082879492875</v>
      </c>
      <c r="N137" s="20">
        <f t="shared" si="267"/>
        <v>53692.518115104773</v>
      </c>
      <c r="O137" s="20">
        <f t="shared" si="268"/>
        <v>52633.41440124363</v>
      </c>
      <c r="P137" s="20">
        <f t="shared" si="269"/>
        <v>56574.030535514437</v>
      </c>
      <c r="Q137" s="21">
        <f t="shared" si="270"/>
        <v>95167.827585438048</v>
      </c>
    </row>
    <row r="138" spans="1:17" ht="13" thickBot="1" x14ac:dyDescent="0.35">
      <c r="A138" s="1" t="s">
        <v>40</v>
      </c>
      <c r="B138" s="14" t="s">
        <v>8</v>
      </c>
      <c r="C138" s="15">
        <f t="shared" ref="C138:G138" si="274">C133+1000</f>
        <v>40617</v>
      </c>
      <c r="D138" s="15">
        <f t="shared" si="274"/>
        <v>40223</v>
      </c>
      <c r="E138" s="15">
        <f t="shared" si="274"/>
        <v>44417</v>
      </c>
      <c r="F138" s="15">
        <f t="shared" si="274"/>
        <v>43914</v>
      </c>
      <c r="G138" s="15">
        <f t="shared" si="274"/>
        <v>48034</v>
      </c>
      <c r="H138" s="33">
        <f t="shared" ref="H138:L138" si="275">H133 * 0.99</f>
        <v>0.76234271434710354</v>
      </c>
      <c r="I138" s="33">
        <f t="shared" si="275"/>
        <v>0.76234271434710354</v>
      </c>
      <c r="J138" s="33">
        <f t="shared" si="275"/>
        <v>0.76234271434710354</v>
      </c>
      <c r="K138" s="33">
        <f t="shared" si="275"/>
        <v>0.76234271434710354</v>
      </c>
      <c r="L138" s="33">
        <f t="shared" si="275"/>
        <v>0.76234271434710354</v>
      </c>
      <c r="M138" s="16">
        <f t="shared" si="273"/>
        <v>53279.186953056662</v>
      </c>
      <c r="N138" s="15">
        <f t="shared" si="267"/>
        <v>52762.359032247536</v>
      </c>
      <c r="O138" s="15">
        <f t="shared" si="268"/>
        <v>58263.821722281747</v>
      </c>
      <c r="P138" s="15">
        <f t="shared" si="269"/>
        <v>57604.013488355376</v>
      </c>
      <c r="Q138" s="15">
        <f t="shared" si="270"/>
        <v>63008.406974988888</v>
      </c>
    </row>
    <row r="139" spans="1:17" ht="13" thickBot="1" x14ac:dyDescent="0.35">
      <c r="B139" s="5" t="s">
        <v>9</v>
      </c>
      <c r="C139" s="15">
        <f t="shared" ref="C139:G139" si="276">C134+1000</f>
        <v>40480</v>
      </c>
      <c r="D139" s="15">
        <f t="shared" si="276"/>
        <v>40280</v>
      </c>
      <c r="E139" s="15">
        <f t="shared" si="276"/>
        <v>45190</v>
      </c>
      <c r="F139" s="15">
        <f t="shared" si="276"/>
        <v>44920</v>
      </c>
      <c r="G139" s="15">
        <f t="shared" si="276"/>
        <v>47130</v>
      </c>
      <c r="H139" s="33">
        <f t="shared" ref="H139:L139" si="277">H134 * 0.99</f>
        <v>0.68610844291239326</v>
      </c>
      <c r="I139" s="33">
        <f t="shared" si="277"/>
        <v>0.68610844291239326</v>
      </c>
      <c r="J139" s="33">
        <f t="shared" si="277"/>
        <v>0.68610844291239326</v>
      </c>
      <c r="K139" s="33">
        <f t="shared" si="277"/>
        <v>0.68610844291239326</v>
      </c>
      <c r="L139" s="33">
        <f t="shared" si="277"/>
        <v>0.60987417147768275</v>
      </c>
      <c r="M139" s="9">
        <f t="shared" si="273"/>
        <v>58999.419724629079</v>
      </c>
      <c r="N139" s="6">
        <f t="shared" si="267"/>
        <v>58707.920615317671</v>
      </c>
      <c r="O139" s="6">
        <f t="shared" si="268"/>
        <v>65864.223748912744</v>
      </c>
      <c r="P139" s="6">
        <f t="shared" si="269"/>
        <v>65470.699951342351</v>
      </c>
      <c r="Q139" s="6">
        <f t="shared" si="270"/>
        <v>77278.235747887607</v>
      </c>
    </row>
    <row r="140" spans="1:17" ht="13" thickBot="1" x14ac:dyDescent="0.35">
      <c r="B140" s="5" t="s">
        <v>10</v>
      </c>
      <c r="C140" s="15">
        <f t="shared" ref="C140:G140" si="278">C135+1000</f>
        <v>40654</v>
      </c>
      <c r="D140" s="15">
        <f t="shared" si="278"/>
        <v>40459</v>
      </c>
      <c r="E140" s="15">
        <f t="shared" si="278"/>
        <v>44751</v>
      </c>
      <c r="F140" s="15">
        <f t="shared" si="278"/>
        <v>44497</v>
      </c>
      <c r="G140" s="15">
        <f t="shared" si="278"/>
        <v>45706</v>
      </c>
      <c r="H140" s="33">
        <f t="shared" ref="H140:L140" si="279">H135 * 0.99</f>
        <v>0.76234271434710354</v>
      </c>
      <c r="I140" s="33">
        <f t="shared" si="279"/>
        <v>0.76234271434710354</v>
      </c>
      <c r="J140" s="33">
        <f t="shared" si="279"/>
        <v>0.76234271434710354</v>
      </c>
      <c r="K140" s="33">
        <f t="shared" si="279"/>
        <v>0.76234271434710354</v>
      </c>
      <c r="L140" s="33">
        <f t="shared" si="279"/>
        <v>0.68610844291239326</v>
      </c>
      <c r="M140" s="9">
        <f t="shared" si="273"/>
        <v>53327.721554757009</v>
      </c>
      <c r="N140" s="6">
        <f t="shared" si="267"/>
        <v>53071.931086336248</v>
      </c>
      <c r="O140" s="6">
        <f t="shared" si="268"/>
        <v>58701.944883576791</v>
      </c>
      <c r="P140" s="6">
        <f t="shared" si="269"/>
        <v>58368.761401633856</v>
      </c>
      <c r="Q140" s="6">
        <f t="shared" si="270"/>
        <v>66616.291450936187</v>
      </c>
    </row>
    <row r="141" spans="1:17" ht="13" thickBot="1" x14ac:dyDescent="0.35">
      <c r="B141" s="5" t="s">
        <v>11</v>
      </c>
      <c r="C141" s="15">
        <f t="shared" ref="C141:G141" si="280">C136+1000</f>
        <v>39795</v>
      </c>
      <c r="D141" s="15">
        <f t="shared" si="280"/>
        <v>39795</v>
      </c>
      <c r="E141" s="15">
        <f t="shared" si="280"/>
        <v>42588</v>
      </c>
      <c r="F141" s="15">
        <f t="shared" si="280"/>
        <v>42588</v>
      </c>
      <c r="G141" s="15">
        <f t="shared" si="280"/>
        <v>44210</v>
      </c>
      <c r="H141" s="33">
        <f t="shared" ref="H141:L141" si="281">H136 * 0.99</f>
        <v>0.45740562860826217</v>
      </c>
      <c r="I141" s="33">
        <f t="shared" si="281"/>
        <v>0.45740562860826217</v>
      </c>
      <c r="J141" s="33">
        <f t="shared" si="281"/>
        <v>0.53363990004297235</v>
      </c>
      <c r="K141" s="33">
        <f t="shared" si="281"/>
        <v>0.53363990004297235</v>
      </c>
      <c r="L141" s="33">
        <f t="shared" si="281"/>
        <v>0.45740562860826217</v>
      </c>
      <c r="M141" s="9">
        <f t="shared" si="273"/>
        <v>87001.552912856263</v>
      </c>
      <c r="N141" s="6">
        <f t="shared" si="267"/>
        <v>87001.552912856263</v>
      </c>
      <c r="O141" s="6">
        <f t="shared" si="268"/>
        <v>79806.626147277449</v>
      </c>
      <c r="P141" s="6">
        <f t="shared" si="269"/>
        <v>79806.626147277449</v>
      </c>
      <c r="Q141" s="6">
        <f t="shared" si="270"/>
        <v>96653.817169930277</v>
      </c>
    </row>
    <row r="142" spans="1:17" ht="13" thickBot="1" x14ac:dyDescent="0.35">
      <c r="A142" s="18"/>
      <c r="B142" s="19" t="s">
        <v>12</v>
      </c>
      <c r="C142" s="15">
        <f t="shared" ref="C142:G142" si="282">C137+1000</f>
        <v>38211</v>
      </c>
      <c r="D142" s="15">
        <f t="shared" si="282"/>
        <v>38211</v>
      </c>
      <c r="E142" s="15">
        <f t="shared" si="282"/>
        <v>41530</v>
      </c>
      <c r="F142" s="15">
        <f t="shared" si="282"/>
        <v>40208</v>
      </c>
      <c r="G142" s="15">
        <f t="shared" si="282"/>
        <v>44970</v>
      </c>
      <c r="H142" s="33">
        <f t="shared" ref="H142:L142" si="283">H137 * 0.99</f>
        <v>0.60987417147768275</v>
      </c>
      <c r="I142" s="33">
        <f t="shared" si="283"/>
        <v>0.68610844291239326</v>
      </c>
      <c r="J142" s="33">
        <f t="shared" si="283"/>
        <v>0.76234271434710354</v>
      </c>
      <c r="K142" s="33">
        <f t="shared" si="283"/>
        <v>0.68610844291239326</v>
      </c>
      <c r="L142" s="33">
        <f t="shared" si="283"/>
        <v>0.45740562860826217</v>
      </c>
      <c r="M142" s="22">
        <f t="shared" si="273"/>
        <v>62653.907620677557</v>
      </c>
      <c r="N142" s="20">
        <f t="shared" si="267"/>
        <v>55692.362329491152</v>
      </c>
      <c r="O142" s="20">
        <f t="shared" si="268"/>
        <v>54476.811043662579</v>
      </c>
      <c r="P142" s="20">
        <f t="shared" si="269"/>
        <v>58602.980935965563</v>
      </c>
      <c r="Q142" s="21">
        <f t="shared" si="270"/>
        <v>98315.3620930053</v>
      </c>
    </row>
    <row r="143" spans="1:17" ht="13" thickBot="1" x14ac:dyDescent="0.35">
      <c r="A143" s="1" t="s">
        <v>41</v>
      </c>
      <c r="B143" s="14" t="s">
        <v>8</v>
      </c>
      <c r="C143" s="15">
        <f t="shared" ref="C143:G143" si="284">C138+1000</f>
        <v>41617</v>
      </c>
      <c r="D143" s="15">
        <f t="shared" si="284"/>
        <v>41223</v>
      </c>
      <c r="E143" s="15">
        <f t="shared" si="284"/>
        <v>45417</v>
      </c>
      <c r="F143" s="15">
        <f t="shared" si="284"/>
        <v>44914</v>
      </c>
      <c r="G143" s="15">
        <f t="shared" si="284"/>
        <v>49034</v>
      </c>
      <c r="H143" s="33">
        <f t="shared" ref="H143:L143" si="285">H138 * 0.99</f>
        <v>0.75471928720363246</v>
      </c>
      <c r="I143" s="33">
        <f t="shared" si="285"/>
        <v>0.75471928720363246</v>
      </c>
      <c r="J143" s="33">
        <f t="shared" si="285"/>
        <v>0.75471928720363246</v>
      </c>
      <c r="K143" s="33">
        <f t="shared" si="285"/>
        <v>0.75471928720363246</v>
      </c>
      <c r="L143" s="33">
        <f t="shared" si="285"/>
        <v>0.75471928720363246</v>
      </c>
      <c r="M143" s="16">
        <f t="shared" si="273"/>
        <v>55142.356510058591</v>
      </c>
      <c r="N143" s="15">
        <f t="shared" si="267"/>
        <v>54620.308105200886</v>
      </c>
      <c r="O143" s="15">
        <f t="shared" si="268"/>
        <v>60177.341125437466</v>
      </c>
      <c r="P143" s="15">
        <f t="shared" si="269"/>
        <v>59510.868161875471</v>
      </c>
      <c r="Q143" s="15">
        <f t="shared" si="270"/>
        <v>64969.851481707301</v>
      </c>
    </row>
    <row r="144" spans="1:17" ht="13" thickBot="1" x14ac:dyDescent="0.35">
      <c r="B144" s="5" t="s">
        <v>9</v>
      </c>
      <c r="C144" s="15">
        <f t="shared" ref="C144:G144" si="286">C139+1000</f>
        <v>41480</v>
      </c>
      <c r="D144" s="15">
        <f t="shared" si="286"/>
        <v>41280</v>
      </c>
      <c r="E144" s="15">
        <f t="shared" si="286"/>
        <v>46190</v>
      </c>
      <c r="F144" s="15">
        <f t="shared" si="286"/>
        <v>45920</v>
      </c>
      <c r="G144" s="15">
        <f t="shared" si="286"/>
        <v>48130</v>
      </c>
      <c r="H144" s="33">
        <f t="shared" ref="H144:L144" si="287">H139 * 0.99</f>
        <v>0.67924735848326934</v>
      </c>
      <c r="I144" s="33">
        <f t="shared" si="287"/>
        <v>0.67924735848326934</v>
      </c>
      <c r="J144" s="33">
        <f t="shared" si="287"/>
        <v>0.67924735848326934</v>
      </c>
      <c r="K144" s="33">
        <f t="shared" si="287"/>
        <v>0.67924735848326934</v>
      </c>
      <c r="L144" s="33">
        <f t="shared" si="287"/>
        <v>0.60377542976290588</v>
      </c>
      <c r="M144" s="9">
        <f t="shared" si="273"/>
        <v>61067.591183016288</v>
      </c>
      <c r="N144" s="6">
        <f t="shared" si="267"/>
        <v>60773.147638257287</v>
      </c>
      <c r="O144" s="6">
        <f t="shared" si="268"/>
        <v>68001.736662090698</v>
      </c>
      <c r="P144" s="6">
        <f t="shared" si="269"/>
        <v>67604.237876666055</v>
      </c>
      <c r="Q144" s="6">
        <f t="shared" si="270"/>
        <v>79715.068927034634</v>
      </c>
    </row>
    <row r="145" spans="1:17" ht="13" thickBot="1" x14ac:dyDescent="0.35">
      <c r="B145" s="5" t="s">
        <v>10</v>
      </c>
      <c r="C145" s="15">
        <f t="shared" ref="C145:G145" si="288">C140+1000</f>
        <v>41654</v>
      </c>
      <c r="D145" s="15">
        <f t="shared" si="288"/>
        <v>41459</v>
      </c>
      <c r="E145" s="15">
        <f t="shared" si="288"/>
        <v>45751</v>
      </c>
      <c r="F145" s="15">
        <f t="shared" si="288"/>
        <v>45497</v>
      </c>
      <c r="G145" s="15">
        <f t="shared" si="288"/>
        <v>46706</v>
      </c>
      <c r="H145" s="33">
        <f t="shared" ref="H145:L145" si="289">H140 * 0.99</f>
        <v>0.75471928720363246</v>
      </c>
      <c r="I145" s="33">
        <f t="shared" si="289"/>
        <v>0.75471928720363246</v>
      </c>
      <c r="J145" s="33">
        <f t="shared" si="289"/>
        <v>0.75471928720363246</v>
      </c>
      <c r="K145" s="33">
        <f t="shared" si="289"/>
        <v>0.75471928720363246</v>
      </c>
      <c r="L145" s="33">
        <f t="shared" si="289"/>
        <v>0.67924735848326934</v>
      </c>
      <c r="M145" s="9">
        <f t="shared" si="273"/>
        <v>55191.381360260959</v>
      </c>
      <c r="N145" s="6">
        <f t="shared" si="267"/>
        <v>54933.007149734942</v>
      </c>
      <c r="O145" s="6">
        <f t="shared" si="268"/>
        <v>60619.889773210241</v>
      </c>
      <c r="P145" s="6">
        <f t="shared" si="269"/>
        <v>60283.340801550701</v>
      </c>
      <c r="Q145" s="6">
        <f t="shared" si="270"/>
        <v>68761.401007568915</v>
      </c>
    </row>
    <row r="146" spans="1:17" ht="13" thickBot="1" x14ac:dyDescent="0.35">
      <c r="B146" s="5" t="s">
        <v>11</v>
      </c>
      <c r="C146" s="15">
        <f t="shared" ref="C146:G146" si="290">C141+1000</f>
        <v>40795</v>
      </c>
      <c r="D146" s="15">
        <f t="shared" si="290"/>
        <v>40795</v>
      </c>
      <c r="E146" s="15">
        <f t="shared" si="290"/>
        <v>43588</v>
      </c>
      <c r="F146" s="15">
        <f t="shared" si="290"/>
        <v>43588</v>
      </c>
      <c r="G146" s="15">
        <f t="shared" si="290"/>
        <v>45210</v>
      </c>
      <c r="H146" s="33">
        <f t="shared" ref="H146:L146" si="291">H141 * 0.99</f>
        <v>0.45283157232217952</v>
      </c>
      <c r="I146" s="33">
        <f t="shared" si="291"/>
        <v>0.45283157232217952</v>
      </c>
      <c r="J146" s="33">
        <f t="shared" si="291"/>
        <v>0.52830350104254264</v>
      </c>
      <c r="K146" s="33">
        <f t="shared" si="291"/>
        <v>0.52830350104254264</v>
      </c>
      <c r="L146" s="33">
        <f t="shared" si="291"/>
        <v>0.45283157232217952</v>
      </c>
      <c r="M146" s="9">
        <f t="shared" si="273"/>
        <v>90088.683063325079</v>
      </c>
      <c r="N146" s="6">
        <f t="shared" si="267"/>
        <v>90088.683063325079</v>
      </c>
      <c r="O146" s="6">
        <f t="shared" si="268"/>
        <v>82505.60504328362</v>
      </c>
      <c r="P146" s="6">
        <f t="shared" si="269"/>
        <v>82505.60504328362</v>
      </c>
      <c r="Q146" s="6">
        <f t="shared" si="270"/>
        <v>99838.444939157416</v>
      </c>
    </row>
    <row r="147" spans="1:17" ht="13" thickBot="1" x14ac:dyDescent="0.35">
      <c r="A147" s="18"/>
      <c r="B147" s="19" t="s">
        <v>12</v>
      </c>
      <c r="C147" s="15">
        <f t="shared" ref="C147:G147" si="292">C142+1000</f>
        <v>39211</v>
      </c>
      <c r="D147" s="15">
        <f t="shared" si="292"/>
        <v>39211</v>
      </c>
      <c r="E147" s="15">
        <f t="shared" si="292"/>
        <v>42530</v>
      </c>
      <c r="F147" s="15">
        <f t="shared" si="292"/>
        <v>41208</v>
      </c>
      <c r="G147" s="15">
        <f t="shared" si="292"/>
        <v>45970</v>
      </c>
      <c r="H147" s="33">
        <f t="shared" ref="H147:L147" si="293">H142 * 0.99</f>
        <v>0.60377542976290588</v>
      </c>
      <c r="I147" s="33">
        <f t="shared" si="293"/>
        <v>0.67924735848326934</v>
      </c>
      <c r="J147" s="33">
        <f t="shared" si="293"/>
        <v>0.75471928720363246</v>
      </c>
      <c r="K147" s="33">
        <f t="shared" si="293"/>
        <v>0.67924735848326934</v>
      </c>
      <c r="L147" s="33">
        <f t="shared" si="293"/>
        <v>0.45283157232217952</v>
      </c>
      <c r="M147" s="22">
        <f t="shared" si="273"/>
        <v>64943.020313691151</v>
      </c>
      <c r="N147" s="20">
        <f t="shared" si="267"/>
        <v>57727.129167725448</v>
      </c>
      <c r="O147" s="20">
        <f t="shared" si="268"/>
        <v>56352.077813700933</v>
      </c>
      <c r="P147" s="20">
        <f t="shared" si="269"/>
        <v>60667.147962144045</v>
      </c>
      <c r="Q147" s="21">
        <f t="shared" si="270"/>
        <v>101516.77314428371</v>
      </c>
    </row>
    <row r="148" spans="1:17" ht="13" thickBot="1" x14ac:dyDescent="0.35">
      <c r="A148" s="1" t="s">
        <v>42</v>
      </c>
      <c r="B148" s="14" t="s">
        <v>8</v>
      </c>
      <c r="C148" s="15">
        <f t="shared" ref="C148:G148" si="294">C143+1000</f>
        <v>42617</v>
      </c>
      <c r="D148" s="15">
        <f t="shared" si="294"/>
        <v>42223</v>
      </c>
      <c r="E148" s="15">
        <f t="shared" si="294"/>
        <v>46417</v>
      </c>
      <c r="F148" s="15">
        <f t="shared" si="294"/>
        <v>45914</v>
      </c>
      <c r="G148" s="15">
        <f t="shared" si="294"/>
        <v>50034</v>
      </c>
      <c r="H148" s="33">
        <f t="shared" ref="H148:L148" si="295">H143 * 0.99</f>
        <v>0.74717209433159615</v>
      </c>
      <c r="I148" s="33">
        <f t="shared" si="295"/>
        <v>0.74717209433159615</v>
      </c>
      <c r="J148" s="33">
        <f t="shared" si="295"/>
        <v>0.74717209433159615</v>
      </c>
      <c r="K148" s="33">
        <f t="shared" si="295"/>
        <v>0.74717209433159615</v>
      </c>
      <c r="L148" s="33">
        <f t="shared" si="295"/>
        <v>0.74717209433159615</v>
      </c>
      <c r="M148" s="16">
        <f t="shared" si="273"/>
        <v>57037.729759064729</v>
      </c>
      <c r="N148" s="15">
        <f t="shared" si="267"/>
        <v>56510.408137996339</v>
      </c>
      <c r="O148" s="15">
        <f t="shared" si="268"/>
        <v>62123.572804901974</v>
      </c>
      <c r="P148" s="15">
        <f t="shared" si="269"/>
        <v>61450.367791202996</v>
      </c>
      <c r="Q148" s="15">
        <f t="shared" si="270"/>
        <v>66964.49235668969</v>
      </c>
    </row>
    <row r="149" spans="1:17" ht="13" thickBot="1" x14ac:dyDescent="0.35">
      <c r="B149" s="5" t="s">
        <v>9</v>
      </c>
      <c r="C149" s="15">
        <f t="shared" ref="C149:G149" si="296">C144+1000</f>
        <v>42480</v>
      </c>
      <c r="D149" s="15">
        <f t="shared" si="296"/>
        <v>42280</v>
      </c>
      <c r="E149" s="15">
        <f t="shared" si="296"/>
        <v>47190</v>
      </c>
      <c r="F149" s="15">
        <f t="shared" si="296"/>
        <v>46920</v>
      </c>
      <c r="G149" s="15">
        <f t="shared" si="296"/>
        <v>49130</v>
      </c>
      <c r="H149" s="33">
        <f t="shared" ref="H149:L149" si="297">H144 * 0.99</f>
        <v>0.67245488489843663</v>
      </c>
      <c r="I149" s="33">
        <f t="shared" si="297"/>
        <v>0.67245488489843663</v>
      </c>
      <c r="J149" s="33">
        <f t="shared" si="297"/>
        <v>0.67245488489843663</v>
      </c>
      <c r="K149" s="33">
        <f t="shared" si="297"/>
        <v>0.67245488489843663</v>
      </c>
      <c r="L149" s="33">
        <f t="shared" si="297"/>
        <v>0.59773767546527679</v>
      </c>
      <c r="M149" s="9">
        <f t="shared" si="273"/>
        <v>63171.524148294222</v>
      </c>
      <c r="N149" s="6">
        <f t="shared" si="267"/>
        <v>62874.106426315433</v>
      </c>
      <c r="O149" s="6">
        <f t="shared" si="268"/>
        <v>70175.711500894642</v>
      </c>
      <c r="P149" s="6">
        <f t="shared" si="269"/>
        <v>69774.197576223276</v>
      </c>
      <c r="Q149" s="6">
        <f t="shared" si="270"/>
        <v>82193.246329600006</v>
      </c>
    </row>
    <row r="150" spans="1:17" ht="13" thickBot="1" x14ac:dyDescent="0.35">
      <c r="B150" s="5" t="s">
        <v>10</v>
      </c>
      <c r="C150" s="15">
        <f t="shared" ref="C150:G150" si="298">C145+1000</f>
        <v>42654</v>
      </c>
      <c r="D150" s="15">
        <f t="shared" si="298"/>
        <v>42459</v>
      </c>
      <c r="E150" s="15">
        <f t="shared" si="298"/>
        <v>46751</v>
      </c>
      <c r="F150" s="15">
        <f t="shared" si="298"/>
        <v>46497</v>
      </c>
      <c r="G150" s="15">
        <f t="shared" si="298"/>
        <v>47706</v>
      </c>
      <c r="H150" s="33">
        <f t="shared" ref="H150:L150" si="299">H145 * 0.99</f>
        <v>0.74717209433159615</v>
      </c>
      <c r="I150" s="33">
        <f t="shared" si="299"/>
        <v>0.74717209433159615</v>
      </c>
      <c r="J150" s="33">
        <f t="shared" si="299"/>
        <v>0.74717209433159615</v>
      </c>
      <c r="K150" s="33">
        <f t="shared" si="299"/>
        <v>0.74717209433159615</v>
      </c>
      <c r="L150" s="33">
        <f t="shared" si="299"/>
        <v>0.67245488489843663</v>
      </c>
      <c r="M150" s="9">
        <f t="shared" si="273"/>
        <v>57087.249809774199</v>
      </c>
      <c r="N150" s="6">
        <f t="shared" si="267"/>
        <v>56826.265758737813</v>
      </c>
      <c r="O150" s="6">
        <f t="shared" si="268"/>
        <v>62570.591641036095</v>
      </c>
      <c r="P150" s="6">
        <f t="shared" si="269"/>
        <v>62230.64318481434</v>
      </c>
      <c r="Q150" s="6">
        <f t="shared" si="270"/>
        <v>70943.049223599912</v>
      </c>
    </row>
    <row r="151" spans="1:17" ht="13" thickBot="1" x14ac:dyDescent="0.35">
      <c r="B151" s="5" t="s">
        <v>11</v>
      </c>
      <c r="C151" s="15">
        <f t="shared" ref="C151:G151" si="300">C146+1000</f>
        <v>41795</v>
      </c>
      <c r="D151" s="15">
        <f t="shared" si="300"/>
        <v>41795</v>
      </c>
      <c r="E151" s="15">
        <f t="shared" si="300"/>
        <v>44588</v>
      </c>
      <c r="F151" s="15">
        <f t="shared" si="300"/>
        <v>44588</v>
      </c>
      <c r="G151" s="15">
        <f t="shared" si="300"/>
        <v>46210</v>
      </c>
      <c r="H151" s="33">
        <f t="shared" ref="H151:L151" si="301">H146 * 0.99</f>
        <v>0.4483032565989577</v>
      </c>
      <c r="I151" s="33">
        <f t="shared" si="301"/>
        <v>0.4483032565989577</v>
      </c>
      <c r="J151" s="33">
        <f t="shared" si="301"/>
        <v>0.52302046603211716</v>
      </c>
      <c r="K151" s="33">
        <f t="shared" si="301"/>
        <v>0.52302046603211716</v>
      </c>
      <c r="L151" s="33">
        <f t="shared" si="301"/>
        <v>0.4483032565989577</v>
      </c>
      <c r="M151" s="9">
        <f t="shared" si="273"/>
        <v>93229.302675775325</v>
      </c>
      <c r="N151" s="6">
        <f t="shared" si="267"/>
        <v>93229.302675775325</v>
      </c>
      <c r="O151" s="6">
        <f t="shared" si="268"/>
        <v>85250.96606307941</v>
      </c>
      <c r="P151" s="6">
        <f t="shared" si="269"/>
        <v>85250.96606307941</v>
      </c>
      <c r="Q151" s="6">
        <f t="shared" si="270"/>
        <v>103077.54699479789</v>
      </c>
    </row>
    <row r="152" spans="1:17" ht="13" thickBot="1" x14ac:dyDescent="0.35">
      <c r="A152" s="18"/>
      <c r="B152" s="19" t="s">
        <v>12</v>
      </c>
      <c r="C152" s="15">
        <f t="shared" ref="C152:G152" si="302">C147+1000</f>
        <v>40211</v>
      </c>
      <c r="D152" s="15">
        <f t="shared" si="302"/>
        <v>40211</v>
      </c>
      <c r="E152" s="15">
        <f t="shared" si="302"/>
        <v>43530</v>
      </c>
      <c r="F152" s="15">
        <f t="shared" si="302"/>
        <v>42208</v>
      </c>
      <c r="G152" s="15">
        <f t="shared" si="302"/>
        <v>46970</v>
      </c>
      <c r="H152" s="33">
        <f t="shared" ref="H152:L152" si="303">H147 * 0.99</f>
        <v>0.59773767546527679</v>
      </c>
      <c r="I152" s="33">
        <f t="shared" si="303"/>
        <v>0.67245488489843663</v>
      </c>
      <c r="J152" s="33">
        <f t="shared" si="303"/>
        <v>0.74717209433159615</v>
      </c>
      <c r="K152" s="33">
        <f t="shared" si="303"/>
        <v>0.67245488489843663</v>
      </c>
      <c r="L152" s="33">
        <f t="shared" si="303"/>
        <v>0.4483032565989577</v>
      </c>
      <c r="M152" s="22">
        <f t="shared" si="273"/>
        <v>67271.985104000531</v>
      </c>
      <c r="N152" s="20">
        <f t="shared" si="267"/>
        <v>59797.32009244489</v>
      </c>
      <c r="O152" s="20">
        <f t="shared" si="268"/>
        <v>58259.67046981457</v>
      </c>
      <c r="P152" s="20">
        <f t="shared" si="269"/>
        <v>62767.036046403067</v>
      </c>
      <c r="Q152" s="21">
        <f t="shared" si="270"/>
        <v>104772.82801007698</v>
      </c>
    </row>
    <row r="153" spans="1:17" ht="13" thickBot="1" x14ac:dyDescent="0.35">
      <c r="A153" s="1" t="s">
        <v>43</v>
      </c>
      <c r="B153" s="14" t="s">
        <v>8</v>
      </c>
      <c r="C153" s="15">
        <f t="shared" ref="C153:G153" si="304">C148+1000</f>
        <v>43617</v>
      </c>
      <c r="D153" s="15">
        <f t="shared" si="304"/>
        <v>43223</v>
      </c>
      <c r="E153" s="15">
        <f t="shared" si="304"/>
        <v>47417</v>
      </c>
      <c r="F153" s="15">
        <f t="shared" si="304"/>
        <v>46914</v>
      </c>
      <c r="G153" s="15">
        <f t="shared" si="304"/>
        <v>51034</v>
      </c>
      <c r="H153" s="33">
        <f t="shared" ref="H153:L153" si="305">H148 * 0.99</f>
        <v>0.73970037338828021</v>
      </c>
      <c r="I153" s="33">
        <f t="shared" si="305"/>
        <v>0.73970037338828021</v>
      </c>
      <c r="J153" s="33">
        <f t="shared" si="305"/>
        <v>0.73970037338828021</v>
      </c>
      <c r="K153" s="33">
        <f t="shared" si="305"/>
        <v>0.73970037338828021</v>
      </c>
      <c r="L153" s="33">
        <f t="shared" si="305"/>
        <v>0.73970037338828021</v>
      </c>
      <c r="M153" s="16">
        <f t="shared" si="273"/>
        <v>58965.767179766932</v>
      </c>
      <c r="N153" s="15">
        <f t="shared" si="267"/>
        <v>58433.119077677657</v>
      </c>
      <c r="O153" s="15">
        <f t="shared" si="268"/>
        <v>64102.982377582339</v>
      </c>
      <c r="P153" s="15">
        <f t="shared" si="269"/>
        <v>63422.977313239928</v>
      </c>
      <c r="Q153" s="15">
        <f t="shared" si="270"/>
        <v>68992.800106660841</v>
      </c>
    </row>
    <row r="154" spans="1:17" ht="13" thickBot="1" x14ac:dyDescent="0.35">
      <c r="B154" s="5" t="s">
        <v>9</v>
      </c>
      <c r="C154" s="15">
        <f t="shared" ref="C154:G154" si="306">C149+1000</f>
        <v>43480</v>
      </c>
      <c r="D154" s="15">
        <f t="shared" si="306"/>
        <v>43280</v>
      </c>
      <c r="E154" s="15">
        <f t="shared" si="306"/>
        <v>48190</v>
      </c>
      <c r="F154" s="15">
        <f t="shared" si="306"/>
        <v>47920</v>
      </c>
      <c r="G154" s="15">
        <f t="shared" si="306"/>
        <v>50130</v>
      </c>
      <c r="H154" s="33">
        <f t="shared" ref="H154:L154" si="307">H149 * 0.99</f>
        <v>0.66573033604945231</v>
      </c>
      <c r="I154" s="33">
        <f t="shared" si="307"/>
        <v>0.66573033604945231</v>
      </c>
      <c r="J154" s="33">
        <f t="shared" si="307"/>
        <v>0.66573033604945231</v>
      </c>
      <c r="K154" s="33">
        <f t="shared" si="307"/>
        <v>0.66573033604945231</v>
      </c>
      <c r="L154" s="33">
        <f t="shared" si="307"/>
        <v>0.59176029871062397</v>
      </c>
      <c r="M154" s="9">
        <f t="shared" si="273"/>
        <v>65311.730058775909</v>
      </c>
      <c r="N154" s="6">
        <f t="shared" si="267"/>
        <v>65011.308117383196</v>
      </c>
      <c r="O154" s="6">
        <f t="shared" si="268"/>
        <v>72386.666778574305</v>
      </c>
      <c r="P154" s="6">
        <f t="shared" si="269"/>
        <v>71981.097157694152</v>
      </c>
      <c r="Q154" s="6">
        <f t="shared" si="270"/>
        <v>84713.354561344124</v>
      </c>
    </row>
    <row r="155" spans="1:17" ht="13" thickBot="1" x14ac:dyDescent="0.35">
      <c r="B155" s="5" t="s">
        <v>10</v>
      </c>
      <c r="C155" s="15">
        <f t="shared" ref="C155:G155" si="308">C150+1000</f>
        <v>43654</v>
      </c>
      <c r="D155" s="15">
        <f t="shared" si="308"/>
        <v>43459</v>
      </c>
      <c r="E155" s="15">
        <f t="shared" si="308"/>
        <v>47751</v>
      </c>
      <c r="F155" s="15">
        <f t="shared" si="308"/>
        <v>47497</v>
      </c>
      <c r="G155" s="15">
        <f t="shared" si="308"/>
        <v>48706</v>
      </c>
      <c r="H155" s="33">
        <f t="shared" ref="H155:L155" si="309">H150 * 0.99</f>
        <v>0.73970037338828021</v>
      </c>
      <c r="I155" s="33">
        <f t="shared" si="309"/>
        <v>0.73970037338828021</v>
      </c>
      <c r="J155" s="33">
        <f t="shared" si="309"/>
        <v>0.73970037338828021</v>
      </c>
      <c r="K155" s="33">
        <f t="shared" si="309"/>
        <v>0.73970037338828021</v>
      </c>
      <c r="L155" s="33">
        <f t="shared" si="309"/>
        <v>0.66573033604945231</v>
      </c>
      <c r="M155" s="9">
        <f t="shared" si="273"/>
        <v>59015.787433008823</v>
      </c>
      <c r="N155" s="6">
        <f t="shared" si="267"/>
        <v>58752.167179436714</v>
      </c>
      <c r="O155" s="6">
        <f t="shared" si="268"/>
        <v>64554.516555495582</v>
      </c>
      <c r="P155" s="6">
        <f t="shared" si="269"/>
        <v>64211.13427648371</v>
      </c>
      <c r="Q155" s="6">
        <f t="shared" si="270"/>
        <v>73161.755387367506</v>
      </c>
    </row>
    <row r="156" spans="1:17" ht="13" thickBot="1" x14ac:dyDescent="0.35">
      <c r="B156" s="5" t="s">
        <v>11</v>
      </c>
      <c r="C156" s="15">
        <f t="shared" ref="C156:G156" si="310">C151+1000</f>
        <v>42795</v>
      </c>
      <c r="D156" s="15">
        <f t="shared" si="310"/>
        <v>42795</v>
      </c>
      <c r="E156" s="15">
        <f t="shared" si="310"/>
        <v>45588</v>
      </c>
      <c r="F156" s="15">
        <f t="shared" si="310"/>
        <v>45588</v>
      </c>
      <c r="G156" s="15">
        <f t="shared" si="310"/>
        <v>47210</v>
      </c>
      <c r="H156" s="33">
        <f t="shared" ref="H156:L156" si="311">H151 * 0.99</f>
        <v>0.44382022403296811</v>
      </c>
      <c r="I156" s="33">
        <f t="shared" si="311"/>
        <v>0.44382022403296811</v>
      </c>
      <c r="J156" s="33">
        <f t="shared" si="311"/>
        <v>0.51779026137179596</v>
      </c>
      <c r="K156" s="33">
        <f t="shared" si="311"/>
        <v>0.51779026137179596</v>
      </c>
      <c r="L156" s="33">
        <f t="shared" si="311"/>
        <v>0.44382022403296811</v>
      </c>
      <c r="M156" s="9">
        <f t="shared" si="273"/>
        <v>96424.177364258809</v>
      </c>
      <c r="N156" s="6">
        <f t="shared" si="267"/>
        <v>96424.177364258809</v>
      </c>
      <c r="O156" s="6">
        <f t="shared" si="268"/>
        <v>88043.37084135662</v>
      </c>
      <c r="P156" s="6">
        <f t="shared" si="269"/>
        <v>88043.37084135662</v>
      </c>
      <c r="Q156" s="6">
        <f t="shared" si="270"/>
        <v>106371.89889862505</v>
      </c>
    </row>
    <row r="157" spans="1:17" ht="13" thickBot="1" x14ac:dyDescent="0.35">
      <c r="A157" s="18"/>
      <c r="B157" s="19" t="s">
        <v>12</v>
      </c>
      <c r="C157" s="15">
        <f t="shared" ref="C157:G157" si="312">C152+1000</f>
        <v>41211</v>
      </c>
      <c r="D157" s="15">
        <f t="shared" si="312"/>
        <v>41211</v>
      </c>
      <c r="E157" s="15">
        <f t="shared" si="312"/>
        <v>44530</v>
      </c>
      <c r="F157" s="15">
        <f t="shared" si="312"/>
        <v>43208</v>
      </c>
      <c r="G157" s="15">
        <f t="shared" si="312"/>
        <v>47970</v>
      </c>
      <c r="H157" s="33">
        <f t="shared" ref="H157:L157" si="313">H152 * 0.99</f>
        <v>0.59176029871062397</v>
      </c>
      <c r="I157" s="33">
        <f t="shared" si="313"/>
        <v>0.66573033604945231</v>
      </c>
      <c r="J157" s="33">
        <f t="shared" si="313"/>
        <v>0.73970037338828021</v>
      </c>
      <c r="K157" s="33">
        <f t="shared" si="313"/>
        <v>0.66573033604945231</v>
      </c>
      <c r="L157" s="33">
        <f t="shared" si="313"/>
        <v>0.44382022403296811</v>
      </c>
      <c r="M157" s="22">
        <f t="shared" si="273"/>
        <v>69641.373525385061</v>
      </c>
      <c r="N157" s="20">
        <f t="shared" si="267"/>
        <v>61903.443133675573</v>
      </c>
      <c r="O157" s="20">
        <f t="shared" si="268"/>
        <v>60200.050725978901</v>
      </c>
      <c r="P157" s="20">
        <f t="shared" si="269"/>
        <v>64903.156218481818</v>
      </c>
      <c r="Q157" s="21">
        <f t="shared" si="270"/>
        <v>108084.30396456351</v>
      </c>
    </row>
    <row r="158" spans="1:17" ht="13" thickBot="1" x14ac:dyDescent="0.35">
      <c r="A158" s="1" t="s">
        <v>44</v>
      </c>
      <c r="B158" s="5" t="s">
        <v>8</v>
      </c>
      <c r="C158" s="15">
        <f t="shared" ref="C158:G158" si="314">C153+1000</f>
        <v>44617</v>
      </c>
      <c r="D158" s="15">
        <f t="shared" si="314"/>
        <v>44223</v>
      </c>
      <c r="E158" s="15">
        <f t="shared" si="314"/>
        <v>48417</v>
      </c>
      <c r="F158" s="15">
        <f t="shared" si="314"/>
        <v>47914</v>
      </c>
      <c r="G158" s="15">
        <f t="shared" si="314"/>
        <v>52034</v>
      </c>
      <c r="H158" s="33">
        <f t="shared" ref="H158:L158" si="315">H153 * 0.99</f>
        <v>0.73230336965439735</v>
      </c>
      <c r="I158" s="33">
        <f t="shared" si="315"/>
        <v>0.73230336965439735</v>
      </c>
      <c r="J158" s="33">
        <f t="shared" si="315"/>
        <v>0.73230336965439735</v>
      </c>
      <c r="K158" s="33">
        <f t="shared" si="315"/>
        <v>0.73230336965439735</v>
      </c>
      <c r="L158" s="33">
        <f t="shared" si="315"/>
        <v>0.73230336965439735</v>
      </c>
      <c r="M158" s="9">
        <f t="shared" si="273"/>
        <v>60926.935268721361</v>
      </c>
      <c r="N158" s="6">
        <f t="shared" si="267"/>
        <v>60388.906882772593</v>
      </c>
      <c r="O158" s="6">
        <f t="shared" si="268"/>
        <v>66116.041529140959</v>
      </c>
      <c r="P158" s="6">
        <f t="shared" si="269"/>
        <v>65429.167726774896</v>
      </c>
      <c r="Q158" s="6">
        <f t="shared" si="270"/>
        <v>71055.251356492983</v>
      </c>
    </row>
    <row r="159" spans="1:17" ht="13" thickBot="1" x14ac:dyDescent="0.35">
      <c r="B159" s="5" t="s">
        <v>9</v>
      </c>
      <c r="C159" s="15">
        <f t="shared" ref="C159:G159" si="316">C154+1000</f>
        <v>44480</v>
      </c>
      <c r="D159" s="15">
        <f t="shared" si="316"/>
        <v>44280</v>
      </c>
      <c r="E159" s="15">
        <f t="shared" si="316"/>
        <v>49190</v>
      </c>
      <c r="F159" s="15">
        <f t="shared" si="316"/>
        <v>48920</v>
      </c>
      <c r="G159" s="15">
        <f t="shared" si="316"/>
        <v>51130</v>
      </c>
      <c r="H159" s="33">
        <f t="shared" ref="H159:L159" si="317">H154 * 0.99</f>
        <v>0.65907303268895778</v>
      </c>
      <c r="I159" s="33">
        <f t="shared" si="317"/>
        <v>0.65907303268895778</v>
      </c>
      <c r="J159" s="33">
        <f t="shared" si="317"/>
        <v>0.65907303268895778</v>
      </c>
      <c r="K159" s="33">
        <f t="shared" si="317"/>
        <v>0.65907303268895778</v>
      </c>
      <c r="L159" s="33">
        <f t="shared" si="317"/>
        <v>0.58584269572351777</v>
      </c>
      <c r="M159" s="9">
        <f t="shared" si="273"/>
        <v>67488.727036100478</v>
      </c>
      <c r="N159" s="6">
        <f t="shared" si="267"/>
        <v>67185.270529643196</v>
      </c>
      <c r="O159" s="6">
        <f t="shared" si="268"/>
        <v>74635.12776316957</v>
      </c>
      <c r="P159" s="6">
        <f t="shared" si="269"/>
        <v>74225.461479452235</v>
      </c>
      <c r="Q159" s="6">
        <f t="shared" si="270"/>
        <v>87275.987860280948</v>
      </c>
    </row>
    <row r="160" spans="1:17" ht="13" thickBot="1" x14ac:dyDescent="0.35">
      <c r="B160" s="5" t="s">
        <v>10</v>
      </c>
      <c r="C160" s="15">
        <f t="shared" ref="C160:G160" si="318">C155+1000</f>
        <v>44654</v>
      </c>
      <c r="D160" s="15">
        <f t="shared" si="318"/>
        <v>44459</v>
      </c>
      <c r="E160" s="15">
        <f t="shared" si="318"/>
        <v>48751</v>
      </c>
      <c r="F160" s="15">
        <f t="shared" si="318"/>
        <v>48497</v>
      </c>
      <c r="G160" s="15">
        <f t="shared" si="318"/>
        <v>49706</v>
      </c>
      <c r="H160" s="33">
        <f t="shared" ref="H160:L160" si="319">H155 * 0.99</f>
        <v>0.73230336965439735</v>
      </c>
      <c r="I160" s="33">
        <f t="shared" si="319"/>
        <v>0.73230336965439735</v>
      </c>
      <c r="J160" s="33">
        <f t="shared" si="319"/>
        <v>0.73230336965439735</v>
      </c>
      <c r="K160" s="33">
        <f t="shared" si="319"/>
        <v>0.73230336965439735</v>
      </c>
      <c r="L160" s="33">
        <f t="shared" si="319"/>
        <v>0.65907303268895778</v>
      </c>
      <c r="M160" s="9">
        <f t="shared" si="273"/>
        <v>60977.460777046501</v>
      </c>
      <c r="N160" s="6">
        <f t="shared" si="267"/>
        <v>60711.177692630234</v>
      </c>
      <c r="O160" s="6">
        <f t="shared" si="268"/>
        <v>66572.136658346266</v>
      </c>
      <c r="P160" s="6">
        <f t="shared" si="269"/>
        <v>66225.285871465589</v>
      </c>
      <c r="Q160" s="6">
        <f t="shared" si="270"/>
        <v>75418.045549829374</v>
      </c>
    </row>
    <row r="161" spans="2:17" ht="13" thickBot="1" x14ac:dyDescent="0.35">
      <c r="B161" s="5" t="s">
        <v>11</v>
      </c>
      <c r="C161" s="15">
        <f t="shared" ref="C161:G161" si="320">C156+1000</f>
        <v>43795</v>
      </c>
      <c r="D161" s="15">
        <f t="shared" si="320"/>
        <v>43795</v>
      </c>
      <c r="E161" s="15">
        <f t="shared" si="320"/>
        <v>46588</v>
      </c>
      <c r="F161" s="15">
        <f t="shared" si="320"/>
        <v>46588</v>
      </c>
      <c r="G161" s="15">
        <f t="shared" si="320"/>
        <v>48210</v>
      </c>
      <c r="H161" s="33">
        <f t="shared" ref="H161:L161" si="321">H156 * 0.99</f>
        <v>0.43938202179263841</v>
      </c>
      <c r="I161" s="33">
        <f t="shared" si="321"/>
        <v>0.43938202179263841</v>
      </c>
      <c r="J161" s="33">
        <f t="shared" si="321"/>
        <v>0.51261235875807798</v>
      </c>
      <c r="K161" s="33">
        <f t="shared" si="321"/>
        <v>0.51261235875807798</v>
      </c>
      <c r="L161" s="33">
        <f t="shared" si="321"/>
        <v>0.43938202179263841</v>
      </c>
      <c r="M161" s="9">
        <f t="shared" si="273"/>
        <v>99674.08275222643</v>
      </c>
      <c r="N161" s="6">
        <f t="shared" si="267"/>
        <v>99674.08275222643</v>
      </c>
      <c r="O161" s="6">
        <f t="shared" si="268"/>
        <v>90883.489646777554</v>
      </c>
      <c r="P161" s="6">
        <f t="shared" si="269"/>
        <v>90883.489646777554</v>
      </c>
      <c r="Q161" s="6">
        <f t="shared" si="270"/>
        <v>109722.28632229334</v>
      </c>
    </row>
    <row r="162" spans="2:17" x14ac:dyDescent="0.3">
      <c r="B162" s="5" t="s">
        <v>12</v>
      </c>
      <c r="C162" s="15">
        <f t="shared" ref="C162:G162" si="322">C157+1000</f>
        <v>42211</v>
      </c>
      <c r="D162" s="15">
        <f t="shared" si="322"/>
        <v>42211</v>
      </c>
      <c r="E162" s="15">
        <f t="shared" si="322"/>
        <v>45530</v>
      </c>
      <c r="F162" s="15">
        <f t="shared" si="322"/>
        <v>44208</v>
      </c>
      <c r="G162" s="15">
        <f t="shared" si="322"/>
        <v>48970</v>
      </c>
      <c r="H162" s="33">
        <f t="shared" ref="H162:L162" si="323">H157 * 0.99</f>
        <v>0.58584269572351777</v>
      </c>
      <c r="I162" s="33">
        <f t="shared" si="323"/>
        <v>0.65907303268895778</v>
      </c>
      <c r="J162" s="33">
        <f t="shared" si="323"/>
        <v>0.73230336965439735</v>
      </c>
      <c r="K162" s="33">
        <f t="shared" si="323"/>
        <v>0.65907303268895778</v>
      </c>
      <c r="L162" s="33">
        <f t="shared" si="323"/>
        <v>0.43938202179263841</v>
      </c>
      <c r="M162" s="9">
        <f t="shared" si="273"/>
        <v>72051.764591635423</v>
      </c>
      <c r="N162" s="6">
        <f t="shared" si="267"/>
        <v>64046.012970342563</v>
      </c>
      <c r="O162" s="6">
        <f t="shared" si="268"/>
        <v>62173.686325501127</v>
      </c>
      <c r="P162" s="6">
        <f t="shared" si="269"/>
        <v>67076.026187318566</v>
      </c>
      <c r="Q162" s="8">
        <f t="shared" si="270"/>
        <v>111451.98840909987</v>
      </c>
    </row>
  </sheetData>
  <mergeCells count="4">
    <mergeCell ref="B1:B2"/>
    <mergeCell ref="C1:G1"/>
    <mergeCell ref="H1:L1"/>
    <mergeCell ref="M1:Q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エリアコスト・INDEX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　万由奈</dc:creator>
  <cp:lastModifiedBy>村田　陸</cp:lastModifiedBy>
  <dcterms:created xsi:type="dcterms:W3CDTF">2026-04-02T09:28:14Z</dcterms:created>
  <dcterms:modified xsi:type="dcterms:W3CDTF">2026-04-09T02:07:45Z</dcterms:modified>
</cp:coreProperties>
</file>